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G\ENTRI'S DATA ANALYTICS COURSE\MINI PROJECT\"/>
    </mc:Choice>
  </mc:AlternateContent>
  <xr:revisionPtr revIDLastSave="0" documentId="13_ncr:1_{C82B812A-5C58-4B90-824F-CEA0B5303437}" xr6:coauthVersionLast="47" xr6:coauthVersionMax="47" xr10:uidLastSave="{00000000-0000-0000-0000-000000000000}"/>
  <bookViews>
    <workbookView xWindow="-110" yWindow="-110" windowWidth="19420" windowHeight="11020" xr2:uid="{607E78C0-8654-4563-9AEC-87E7785A3B9B}"/>
  </bookViews>
  <sheets>
    <sheet name="electric_vehicles_dataset" sheetId="2" r:id="rId1"/>
  </sheets>
  <definedNames>
    <definedName name="ExternalData_1" localSheetId="0" hidden="1">electric_vehicles_dataset!$A$1:$V$3023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M2" i="2" a="1"/>
  <c r="M2" i="2" s="1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7" i="2" a="1"/>
  <c r="M87" i="2" s="1"/>
  <c r="M88" i="2" a="1"/>
  <c r="M88" i="2" s="1"/>
  <c r="M89" i="2" a="1"/>
  <c r="M89" i="2" s="1"/>
  <c r="M90" i="2" a="1"/>
  <c r="M90" i="2" s="1"/>
  <c r="M91" i="2" a="1"/>
  <c r="M91" i="2" s="1"/>
  <c r="M92" i="2" a="1"/>
  <c r="M92" i="2" s="1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99" i="2" a="1"/>
  <c r="M99" i="2" s="1"/>
  <c r="M100" i="2" a="1"/>
  <c r="M100" i="2" s="1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09" i="2" a="1"/>
  <c r="M109" i="2" s="1"/>
  <c r="M110" i="2" a="1"/>
  <c r="M110" i="2" s="1"/>
  <c r="M111" i="2" a="1"/>
  <c r="M111" i="2" s="1"/>
  <c r="M112" i="2" a="1"/>
  <c r="M112" i="2" s="1"/>
  <c r="M113" i="2" a="1"/>
  <c r="M113" i="2" s="1"/>
  <c r="M114" i="2" a="1"/>
  <c r="M114" i="2" s="1"/>
  <c r="M115" i="2" a="1"/>
  <c r="M115" i="2" s="1"/>
  <c r="M116" i="2" a="1"/>
  <c r="M116" i="2" s="1"/>
  <c r="M117" i="2" a="1"/>
  <c r="M117" i="2" s="1"/>
  <c r="M118" i="2" a="1"/>
  <c r="M118" i="2" s="1"/>
  <c r="M119" i="2" a="1"/>
  <c r="M119" i="2" s="1"/>
  <c r="M120" i="2" a="1"/>
  <c r="M120" i="2" s="1"/>
  <c r="M121" i="2" a="1"/>
  <c r="M121" i="2" s="1"/>
  <c r="M122" i="2" a="1"/>
  <c r="M122" i="2" s="1"/>
  <c r="M123" i="2" a="1"/>
  <c r="M123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 s="1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39" i="2" a="1"/>
  <c r="M139" i="2" s="1"/>
  <c r="M140" i="2" a="1"/>
  <c r="M140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 s="1"/>
  <c r="M146" i="2" a="1"/>
  <c r="M146" i="2" s="1"/>
  <c r="M147" i="2" a="1"/>
  <c r="M147" i="2" s="1"/>
  <c r="M148" i="2" a="1"/>
  <c r="M148" i="2" s="1"/>
  <c r="M149" i="2" a="1"/>
  <c r="M149" i="2" s="1"/>
  <c r="M150" i="2" a="1"/>
  <c r="M150" i="2" s="1"/>
  <c r="M151" i="2" a="1"/>
  <c r="M151" i="2" s="1"/>
  <c r="M152" i="2" a="1"/>
  <c r="M152" i="2" s="1"/>
  <c r="M153" i="2" a="1"/>
  <c r="M153" i="2" s="1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 s="1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 s="1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 s="1"/>
  <c r="M178" i="2" a="1"/>
  <c r="M178" i="2" s="1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4" i="2" a="1"/>
  <c r="M184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 s="1"/>
  <c r="M193" i="2" a="1"/>
  <c r="M193" i="2" s="1"/>
  <c r="M194" i="2" a="1"/>
  <c r="M194" i="2" s="1"/>
  <c r="M195" i="2" a="1"/>
  <c r="M195" i="2" s="1"/>
  <c r="M196" i="2" a="1"/>
  <c r="M196" i="2" s="1"/>
  <c r="M197" i="2" a="1"/>
  <c r="M197" i="2" s="1"/>
  <c r="M198" i="2" a="1"/>
  <c r="M198" i="2" s="1"/>
  <c r="M199" i="2" a="1"/>
  <c r="M199" i="2" s="1"/>
  <c r="M200" i="2" a="1"/>
  <c r="M200" i="2" s="1"/>
  <c r="M201" i="2" a="1"/>
  <c r="M201" i="2" s="1"/>
  <c r="M202" i="2" a="1"/>
  <c r="M202" i="2" s="1"/>
  <c r="M203" i="2" a="1"/>
  <c r="M203" i="2" s="1"/>
  <c r="M204" i="2" a="1"/>
  <c r="M204" i="2" s="1"/>
  <c r="M205" i="2" a="1"/>
  <c r="M205" i="2" s="1"/>
  <c r="M206" i="2" a="1"/>
  <c r="M206" i="2" s="1"/>
  <c r="M207" i="2" a="1"/>
  <c r="M207" i="2" s="1"/>
  <c r="M208" i="2" a="1"/>
  <c r="M208" i="2" s="1"/>
  <c r="M209" i="2" a="1"/>
  <c r="M209" i="2" s="1"/>
  <c r="M210" i="2" a="1"/>
  <c r="M210" i="2" s="1"/>
  <c r="M211" i="2" a="1"/>
  <c r="M211" i="2" s="1"/>
  <c r="M212" i="2" a="1"/>
  <c r="M212" i="2" s="1"/>
  <c r="M213" i="2" a="1"/>
  <c r="M213" i="2" s="1"/>
  <c r="M214" i="2" a="1"/>
  <c r="M214" i="2" s="1"/>
  <c r="M215" i="2" a="1"/>
  <c r="M215" i="2" s="1"/>
  <c r="M216" i="2" a="1"/>
  <c r="M216" i="2" s="1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4" i="2" a="1"/>
  <c r="M224" i="2" s="1"/>
  <c r="M225" i="2" a="1"/>
  <c r="M225" i="2" s="1"/>
  <c r="M226" i="2" a="1"/>
  <c r="M226" i="2" s="1"/>
  <c r="M227" i="2" a="1"/>
  <c r="M227" i="2" s="1"/>
  <c r="M228" i="2" a="1"/>
  <c r="M228" i="2" s="1"/>
  <c r="M229" i="2" a="1"/>
  <c r="M229" i="2" s="1"/>
  <c r="M230" i="2" a="1"/>
  <c r="M230" i="2" s="1"/>
  <c r="M231" i="2" a="1"/>
  <c r="M231" i="2" s="1"/>
  <c r="M232" i="2" a="1"/>
  <c r="M232" i="2" s="1"/>
  <c r="M233" i="2" a="1"/>
  <c r="M233" i="2" s="1"/>
  <c r="M234" i="2" a="1"/>
  <c r="M234" i="2" s="1"/>
  <c r="M235" i="2" a="1"/>
  <c r="M235" i="2" s="1"/>
  <c r="M236" i="2" a="1"/>
  <c r="M236" i="2" s="1"/>
  <c r="M237" i="2" a="1"/>
  <c r="M237" i="2" s="1"/>
  <c r="M238" i="2" a="1"/>
  <c r="M238" i="2" s="1"/>
  <c r="M239" i="2" a="1"/>
  <c r="M239" i="2" s="1"/>
  <c r="M240" i="2" a="1"/>
  <c r="M240" i="2" s="1"/>
  <c r="M241" i="2" a="1"/>
  <c r="M241" i="2" s="1"/>
  <c r="M242" i="2" a="1"/>
  <c r="M242" i="2" s="1"/>
  <c r="M243" i="2" a="1"/>
  <c r="M243" i="2" s="1"/>
  <c r="M244" i="2" a="1"/>
  <c r="M244" i="2" s="1"/>
  <c r="M245" i="2" a="1"/>
  <c r="M245" i="2" s="1"/>
  <c r="M246" i="2" a="1"/>
  <c r="M246" i="2" s="1"/>
  <c r="M247" i="2" a="1"/>
  <c r="M247" i="2" s="1"/>
  <c r="M248" i="2" a="1"/>
  <c r="M248" i="2" s="1"/>
  <c r="M249" i="2" a="1"/>
  <c r="M249" i="2" s="1"/>
  <c r="M250" i="2" a="1"/>
  <c r="M250" i="2" s="1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 s="1"/>
  <c r="M257" i="2" a="1"/>
  <c r="M257" i="2" s="1"/>
  <c r="M258" i="2" a="1"/>
  <c r="M258" i="2" s="1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 s="1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 s="1"/>
  <c r="M271" i="2" a="1"/>
  <c r="M271" i="2" s="1"/>
  <c r="M272" i="2" a="1"/>
  <c r="M272" i="2" s="1"/>
  <c r="M273" i="2" a="1"/>
  <c r="M273" i="2" s="1"/>
  <c r="M274" i="2" a="1"/>
  <c r="M274" i="2" s="1"/>
  <c r="M275" i="2" a="1"/>
  <c r="M275" i="2" s="1"/>
  <c r="M276" i="2" a="1"/>
  <c r="M276" i="2" s="1"/>
  <c r="M277" i="2" a="1"/>
  <c r="M277" i="2" s="1"/>
  <c r="M278" i="2" a="1"/>
  <c r="M278" i="2" s="1"/>
  <c r="M279" i="2" a="1"/>
  <c r="M279" i="2" s="1"/>
  <c r="M280" i="2" a="1"/>
  <c r="M280" i="2" s="1"/>
  <c r="M281" i="2" a="1"/>
  <c r="M281" i="2" s="1"/>
  <c r="M282" i="2" a="1"/>
  <c r="M282" i="2" s="1"/>
  <c r="M283" i="2" a="1"/>
  <c r="M283" i="2" s="1"/>
  <c r="M284" i="2" a="1"/>
  <c r="M284" i="2" s="1"/>
  <c r="M285" i="2" a="1"/>
  <c r="M285" i="2" s="1"/>
  <c r="M286" i="2" a="1"/>
  <c r="M286" i="2" s="1"/>
  <c r="M287" i="2" a="1"/>
  <c r="M287" i="2" s="1"/>
  <c r="M288" i="2" a="1"/>
  <c r="M288" i="2" s="1"/>
  <c r="M289" i="2" a="1"/>
  <c r="M289" i="2" s="1"/>
  <c r="M290" i="2" a="1"/>
  <c r="M290" i="2" s="1"/>
  <c r="M291" i="2" a="1"/>
  <c r="M291" i="2" s="1"/>
  <c r="M292" i="2" a="1"/>
  <c r="M292" i="2" s="1"/>
  <c r="M293" i="2" a="1"/>
  <c r="M293" i="2" s="1"/>
  <c r="M294" i="2" a="1"/>
  <c r="M294" i="2" s="1"/>
  <c r="M295" i="2" a="1"/>
  <c r="M295" i="2" s="1"/>
  <c r="M296" i="2" a="1"/>
  <c r="M296" i="2" s="1"/>
  <c r="M297" i="2" a="1"/>
  <c r="M297" i="2" s="1"/>
  <c r="M298" i="2" a="1"/>
  <c r="M298" i="2" s="1"/>
  <c r="M299" i="2" a="1"/>
  <c r="M299" i="2" s="1"/>
  <c r="M300" i="2" a="1"/>
  <c r="M300" i="2" s="1"/>
  <c r="M301" i="2" a="1"/>
  <c r="M301" i="2" s="1"/>
  <c r="M302" i="2" a="1"/>
  <c r="M302" i="2" s="1"/>
  <c r="M303" i="2" a="1"/>
  <c r="M303" i="2" s="1"/>
  <c r="M304" i="2" a="1"/>
  <c r="M304" i="2" s="1"/>
  <c r="M305" i="2" a="1"/>
  <c r="M305" i="2" s="1"/>
  <c r="M306" i="2" a="1"/>
  <c r="M306" i="2" s="1"/>
  <c r="M307" i="2" a="1"/>
  <c r="M307" i="2" s="1"/>
  <c r="M308" i="2" a="1"/>
  <c r="M308" i="2" s="1"/>
  <c r="M309" i="2" a="1"/>
  <c r="M309" i="2" s="1"/>
  <c r="M310" i="2" a="1"/>
  <c r="M310" i="2" s="1"/>
  <c r="M311" i="2" a="1"/>
  <c r="M311" i="2" s="1"/>
  <c r="M312" i="2" a="1"/>
  <c r="M312" i="2" s="1"/>
  <c r="M313" i="2" a="1"/>
  <c r="M313" i="2" s="1"/>
  <c r="M314" i="2" a="1"/>
  <c r="M314" i="2" s="1"/>
  <c r="M315" i="2" a="1"/>
  <c r="M315" i="2" s="1"/>
  <c r="M316" i="2" a="1"/>
  <c r="M316" i="2" s="1"/>
  <c r="M317" i="2" a="1"/>
  <c r="M317" i="2" s="1"/>
  <c r="M318" i="2" a="1"/>
  <c r="M318" i="2" s="1"/>
  <c r="M319" i="2" a="1"/>
  <c r="M319" i="2" s="1"/>
  <c r="M320" i="2" a="1"/>
  <c r="M320" i="2" s="1"/>
  <c r="M321" i="2" a="1"/>
  <c r="M321" i="2" s="1"/>
  <c r="M322" i="2" a="1"/>
  <c r="M322" i="2" s="1"/>
  <c r="M323" i="2" a="1"/>
  <c r="M323" i="2" s="1"/>
  <c r="M324" i="2" a="1"/>
  <c r="M324" i="2" s="1"/>
  <c r="M325" i="2" a="1"/>
  <c r="M325" i="2" s="1"/>
  <c r="M326" i="2" a="1"/>
  <c r="M326" i="2" s="1"/>
  <c r="M327" i="2" a="1"/>
  <c r="M327" i="2" s="1"/>
  <c r="M328" i="2" a="1"/>
  <c r="M328" i="2" s="1"/>
  <c r="M329" i="2" a="1"/>
  <c r="M329" i="2" s="1"/>
  <c r="M330" i="2" a="1"/>
  <c r="M330" i="2" s="1"/>
  <c r="M331" i="2" a="1"/>
  <c r="M331" i="2" s="1"/>
  <c r="M332" i="2" a="1"/>
  <c r="M332" i="2" s="1"/>
  <c r="M333" i="2" a="1"/>
  <c r="M333" i="2" s="1"/>
  <c r="M334" i="2" a="1"/>
  <c r="M334" i="2" s="1"/>
  <c r="M335" i="2" a="1"/>
  <c r="M335" i="2" s="1"/>
  <c r="M336" i="2" a="1"/>
  <c r="M336" i="2" s="1"/>
  <c r="M337" i="2" a="1"/>
  <c r="M337" i="2" s="1"/>
  <c r="M338" i="2" a="1"/>
  <c r="M338" i="2" s="1"/>
  <c r="M339" i="2" a="1"/>
  <c r="M339" i="2" s="1"/>
  <c r="M340" i="2" a="1"/>
  <c r="M340" i="2" s="1"/>
  <c r="M341" i="2" a="1"/>
  <c r="M341" i="2" s="1"/>
  <c r="M342" i="2" a="1"/>
  <c r="M342" i="2" s="1"/>
  <c r="M343" i="2" a="1"/>
  <c r="M343" i="2" s="1"/>
  <c r="M344" i="2" a="1"/>
  <c r="M344" i="2"/>
  <c r="M345" i="2" a="1"/>
  <c r="M345" i="2" s="1"/>
  <c r="M346" i="2" a="1"/>
  <c r="M346" i="2" s="1"/>
  <c r="M347" i="2" a="1"/>
  <c r="M347" i="2" s="1"/>
  <c r="M348" i="2" a="1"/>
  <c r="M348" i="2" s="1"/>
  <c r="M349" i="2" a="1"/>
  <c r="M349" i="2" s="1"/>
  <c r="M350" i="2" a="1"/>
  <c r="M350" i="2" s="1"/>
  <c r="M351" i="2" a="1"/>
  <c r="M351" i="2" s="1"/>
  <c r="M352" i="2" a="1"/>
  <c r="M352" i="2" s="1"/>
  <c r="M353" i="2" a="1"/>
  <c r="M353" i="2" s="1"/>
  <c r="M354" i="2" a="1"/>
  <c r="M354" i="2" s="1"/>
  <c r="M355" i="2" a="1"/>
  <c r="M355" i="2" s="1"/>
  <c r="M356" i="2" a="1"/>
  <c r="M356" i="2" s="1"/>
  <c r="M357" i="2" a="1"/>
  <c r="M357" i="2" s="1"/>
  <c r="M358" i="2" a="1"/>
  <c r="M358" i="2" s="1"/>
  <c r="M359" i="2" a="1"/>
  <c r="M359" i="2" s="1"/>
  <c r="M360" i="2" a="1"/>
  <c r="M360" i="2" s="1"/>
  <c r="M361" i="2" a="1"/>
  <c r="M361" i="2" s="1"/>
  <c r="M362" i="2" a="1"/>
  <c r="M362" i="2" s="1"/>
  <c r="M363" i="2" a="1"/>
  <c r="M363" i="2" s="1"/>
  <c r="M364" i="2" a="1"/>
  <c r="M364" i="2" s="1"/>
  <c r="M365" i="2" a="1"/>
  <c r="M365" i="2" s="1"/>
  <c r="M366" i="2" a="1"/>
  <c r="M366" i="2" s="1"/>
  <c r="M367" i="2" a="1"/>
  <c r="M367" i="2" s="1"/>
  <c r="M368" i="2" a="1"/>
  <c r="M368" i="2" s="1"/>
  <c r="M369" i="2" a="1"/>
  <c r="M369" i="2"/>
  <c r="M370" i="2" a="1"/>
  <c r="M370" i="2" s="1"/>
  <c r="M371" i="2" a="1"/>
  <c r="M371" i="2" s="1"/>
  <c r="M372" i="2" a="1"/>
  <c r="M372" i="2" s="1"/>
  <c r="M373" i="2" a="1"/>
  <c r="M373" i="2" s="1"/>
  <c r="M374" i="2" a="1"/>
  <c r="M374" i="2" s="1"/>
  <c r="M375" i="2" a="1"/>
  <c r="M375" i="2" s="1"/>
  <c r="M376" i="2" a="1"/>
  <c r="M376" i="2" s="1"/>
  <c r="M377" i="2" a="1"/>
  <c r="M377" i="2" s="1"/>
  <c r="M378" i="2" a="1"/>
  <c r="M378" i="2" s="1"/>
  <c r="M379" i="2" a="1"/>
  <c r="M379" i="2" s="1"/>
  <c r="M380" i="2" a="1"/>
  <c r="M380" i="2" s="1"/>
  <c r="M381" i="2" a="1"/>
  <c r="M381" i="2" s="1"/>
  <c r="M382" i="2" a="1"/>
  <c r="M382" i="2" s="1"/>
  <c r="M383" i="2" a="1"/>
  <c r="M383" i="2" s="1"/>
  <c r="M384" i="2" a="1"/>
  <c r="M384" i="2" s="1"/>
  <c r="M385" i="2" a="1"/>
  <c r="M385" i="2" s="1"/>
  <c r="M386" i="2" a="1"/>
  <c r="M386" i="2" s="1"/>
  <c r="M387" i="2" a="1"/>
  <c r="M387" i="2" s="1"/>
  <c r="M388" i="2" a="1"/>
  <c r="M388" i="2" s="1"/>
  <c r="M389" i="2" a="1"/>
  <c r="M389" i="2" s="1"/>
  <c r="M390" i="2" a="1"/>
  <c r="M390" i="2" s="1"/>
  <c r="M391" i="2" a="1"/>
  <c r="M391" i="2" s="1"/>
  <c r="M392" i="2" a="1"/>
  <c r="M392" i="2" s="1"/>
  <c r="M393" i="2" a="1"/>
  <c r="M393" i="2" s="1"/>
  <c r="M394" i="2" a="1"/>
  <c r="M394" i="2" s="1"/>
  <c r="M395" i="2" a="1"/>
  <c r="M395" i="2" s="1"/>
  <c r="M396" i="2" a="1"/>
  <c r="M396" i="2" s="1"/>
  <c r="M397" i="2" a="1"/>
  <c r="M397" i="2" s="1"/>
  <c r="M398" i="2" a="1"/>
  <c r="M398" i="2" s="1"/>
  <c r="M399" i="2" a="1"/>
  <c r="M399" i="2" s="1"/>
  <c r="M400" i="2" a="1"/>
  <c r="M400" i="2" s="1"/>
  <c r="M401" i="2" a="1"/>
  <c r="M401" i="2" s="1"/>
  <c r="M402" i="2" a="1"/>
  <c r="M402" i="2" s="1"/>
  <c r="M403" i="2" a="1"/>
  <c r="M403" i="2" s="1"/>
  <c r="M404" i="2" a="1"/>
  <c r="M404" i="2" s="1"/>
  <c r="M405" i="2" a="1"/>
  <c r="M405" i="2" s="1"/>
  <c r="M406" i="2" a="1"/>
  <c r="M406" i="2" s="1"/>
  <c r="M407" i="2" a="1"/>
  <c r="M407" i="2" s="1"/>
  <c r="M408" i="2" a="1"/>
  <c r="M408" i="2" s="1"/>
  <c r="M409" i="2" a="1"/>
  <c r="M409" i="2" s="1"/>
  <c r="M410" i="2" a="1"/>
  <c r="M410" i="2" s="1"/>
  <c r="M411" i="2" a="1"/>
  <c r="M411" i="2" s="1"/>
  <c r="M412" i="2" a="1"/>
  <c r="M412" i="2" s="1"/>
  <c r="M413" i="2" a="1"/>
  <c r="M413" i="2" s="1"/>
  <c r="M414" i="2" a="1"/>
  <c r="M414" i="2" s="1"/>
  <c r="M415" i="2" a="1"/>
  <c r="M415" i="2" s="1"/>
  <c r="M416" i="2" a="1"/>
  <c r="M416" i="2" s="1"/>
  <c r="M417" i="2" a="1"/>
  <c r="M417" i="2" s="1"/>
  <c r="M418" i="2" a="1"/>
  <c r="M418" i="2" s="1"/>
  <c r="M419" i="2" a="1"/>
  <c r="M419" i="2" s="1"/>
  <c r="M420" i="2" a="1"/>
  <c r="M420" i="2" s="1"/>
  <c r="M421" i="2" a="1"/>
  <c r="M421" i="2" s="1"/>
  <c r="M422" i="2" a="1"/>
  <c r="M422" i="2" s="1"/>
  <c r="M423" i="2" a="1"/>
  <c r="M423" i="2" s="1"/>
  <c r="M424" i="2" a="1"/>
  <c r="M424" i="2" s="1"/>
  <c r="M425" i="2" a="1"/>
  <c r="M425" i="2" s="1"/>
  <c r="M426" i="2" a="1"/>
  <c r="M426" i="2" s="1"/>
  <c r="M427" i="2" a="1"/>
  <c r="M427" i="2" s="1"/>
  <c r="M428" i="2" a="1"/>
  <c r="M428" i="2" s="1"/>
  <c r="M429" i="2" a="1"/>
  <c r="M429" i="2" s="1"/>
  <c r="M430" i="2" a="1"/>
  <c r="M430" i="2" s="1"/>
  <c r="M431" i="2" a="1"/>
  <c r="M431" i="2" s="1"/>
  <c r="M432" i="2" a="1"/>
  <c r="M432" i="2" s="1"/>
  <c r="M433" i="2" a="1"/>
  <c r="M433" i="2" s="1"/>
  <c r="M434" i="2" a="1"/>
  <c r="M434" i="2" s="1"/>
  <c r="M435" i="2" a="1"/>
  <c r="M435" i="2" s="1"/>
  <c r="M436" i="2" a="1"/>
  <c r="M436" i="2" s="1"/>
  <c r="M437" i="2" a="1"/>
  <c r="M437" i="2" s="1"/>
  <c r="M438" i="2" a="1"/>
  <c r="M438" i="2" s="1"/>
  <c r="M439" i="2" a="1"/>
  <c r="M439" i="2" s="1"/>
  <c r="M440" i="2" a="1"/>
  <c r="M440" i="2" s="1"/>
  <c r="M441" i="2" a="1"/>
  <c r="M441" i="2" s="1"/>
  <c r="M442" i="2" a="1"/>
  <c r="M442" i="2" s="1"/>
  <c r="M443" i="2" a="1"/>
  <c r="M443" i="2" s="1"/>
  <c r="M444" i="2" a="1"/>
  <c r="M444" i="2" s="1"/>
  <c r="M445" i="2" a="1"/>
  <c r="M445" i="2" s="1"/>
  <c r="M446" i="2" a="1"/>
  <c r="M446" i="2" s="1"/>
  <c r="M447" i="2" a="1"/>
  <c r="M447" i="2" s="1"/>
  <c r="M448" i="2" a="1"/>
  <c r="M448" i="2" s="1"/>
  <c r="M449" i="2" a="1"/>
  <c r="M449" i="2" s="1"/>
  <c r="M450" i="2" a="1"/>
  <c r="M450" i="2" s="1"/>
  <c r="M451" i="2" a="1"/>
  <c r="M451" i="2" s="1"/>
  <c r="M452" i="2" a="1"/>
  <c r="M452" i="2" s="1"/>
  <c r="M453" i="2" a="1"/>
  <c r="M453" i="2" s="1"/>
  <c r="M454" i="2" a="1"/>
  <c r="M454" i="2" s="1"/>
  <c r="M455" i="2" a="1"/>
  <c r="M455" i="2" s="1"/>
  <c r="M456" i="2" a="1"/>
  <c r="M456" i="2" s="1"/>
  <c r="M457" i="2" a="1"/>
  <c r="M457" i="2" s="1"/>
  <c r="M458" i="2" a="1"/>
  <c r="M458" i="2" s="1"/>
  <c r="M459" i="2" a="1"/>
  <c r="M459" i="2" s="1"/>
  <c r="M460" i="2" a="1"/>
  <c r="M460" i="2" s="1"/>
  <c r="M461" i="2" a="1"/>
  <c r="M461" i="2" s="1"/>
  <c r="M462" i="2" a="1"/>
  <c r="M462" i="2" s="1"/>
  <c r="M463" i="2" a="1"/>
  <c r="M463" i="2" s="1"/>
  <c r="M464" i="2" a="1"/>
  <c r="M464" i="2" s="1"/>
  <c r="M465" i="2" a="1"/>
  <c r="M465" i="2" s="1"/>
  <c r="M466" i="2" a="1"/>
  <c r="M466" i="2" s="1"/>
  <c r="M467" i="2" a="1"/>
  <c r="M467" i="2" s="1"/>
  <c r="M468" i="2" a="1"/>
  <c r="M468" i="2" s="1"/>
  <c r="M469" i="2" a="1"/>
  <c r="M469" i="2" s="1"/>
  <c r="M470" i="2" a="1"/>
  <c r="M470" i="2" s="1"/>
  <c r="M471" i="2" a="1"/>
  <c r="M471" i="2" s="1"/>
  <c r="M472" i="2" a="1"/>
  <c r="M472" i="2" s="1"/>
  <c r="M473" i="2" a="1"/>
  <c r="M473" i="2" s="1"/>
  <c r="M474" i="2" a="1"/>
  <c r="M474" i="2" s="1"/>
  <c r="M475" i="2" a="1"/>
  <c r="M475" i="2" s="1"/>
  <c r="M476" i="2" a="1"/>
  <c r="M476" i="2" s="1"/>
  <c r="M477" i="2" a="1"/>
  <c r="M477" i="2" s="1"/>
  <c r="M478" i="2" a="1"/>
  <c r="M478" i="2" s="1"/>
  <c r="M479" i="2" a="1"/>
  <c r="M479" i="2" s="1"/>
  <c r="M480" i="2" a="1"/>
  <c r="M480" i="2" s="1"/>
  <c r="M481" i="2" a="1"/>
  <c r="M481" i="2" s="1"/>
  <c r="M482" i="2" a="1"/>
  <c r="M482" i="2" s="1"/>
  <c r="M483" i="2" a="1"/>
  <c r="M483" i="2" s="1"/>
  <c r="M484" i="2" a="1"/>
  <c r="M484" i="2" s="1"/>
  <c r="M485" i="2" a="1"/>
  <c r="M485" i="2" s="1"/>
  <c r="M486" i="2" a="1"/>
  <c r="M486" i="2" s="1"/>
  <c r="M487" i="2" a="1"/>
  <c r="M487" i="2" s="1"/>
  <c r="M488" i="2" a="1"/>
  <c r="M488" i="2" s="1"/>
  <c r="M489" i="2" a="1"/>
  <c r="M489" i="2" s="1"/>
  <c r="M490" i="2" a="1"/>
  <c r="M490" i="2" s="1"/>
  <c r="M491" i="2" a="1"/>
  <c r="M491" i="2" s="1"/>
  <c r="M492" i="2" a="1"/>
  <c r="M492" i="2" s="1"/>
  <c r="M493" i="2" a="1"/>
  <c r="M493" i="2" s="1"/>
  <c r="M494" i="2" a="1"/>
  <c r="M494" i="2" s="1"/>
  <c r="M495" i="2" a="1"/>
  <c r="M495" i="2" s="1"/>
  <c r="M496" i="2" a="1"/>
  <c r="M496" i="2" s="1"/>
  <c r="M497" i="2" a="1"/>
  <c r="M497" i="2" s="1"/>
  <c r="M498" i="2" a="1"/>
  <c r="M498" i="2" s="1"/>
  <c r="M499" i="2" a="1"/>
  <c r="M499" i="2" s="1"/>
  <c r="M500" i="2" a="1"/>
  <c r="M500" i="2" s="1"/>
  <c r="M501" i="2" a="1"/>
  <c r="M501" i="2" s="1"/>
  <c r="M502" i="2" a="1"/>
  <c r="M502" i="2" s="1"/>
  <c r="M503" i="2" a="1"/>
  <c r="M503" i="2" s="1"/>
  <c r="M504" i="2" a="1"/>
  <c r="M504" i="2" s="1"/>
  <c r="M505" i="2" a="1"/>
  <c r="M505" i="2" s="1"/>
  <c r="M506" i="2" a="1"/>
  <c r="M506" i="2" s="1"/>
  <c r="M507" i="2" a="1"/>
  <c r="M507" i="2" s="1"/>
  <c r="M508" i="2" a="1"/>
  <c r="M508" i="2" s="1"/>
  <c r="M509" i="2" a="1"/>
  <c r="M509" i="2" s="1"/>
  <c r="M510" i="2" a="1"/>
  <c r="M510" i="2" s="1"/>
  <c r="M511" i="2" a="1"/>
  <c r="M511" i="2" s="1"/>
  <c r="M512" i="2" a="1"/>
  <c r="M512" i="2" s="1"/>
  <c r="M513" i="2" a="1"/>
  <c r="M513" i="2" s="1"/>
  <c r="M514" i="2" a="1"/>
  <c r="M514" i="2" s="1"/>
  <c r="M515" i="2" a="1"/>
  <c r="M515" i="2" s="1"/>
  <c r="M516" i="2" a="1"/>
  <c r="M516" i="2" s="1"/>
  <c r="M517" i="2" a="1"/>
  <c r="M517" i="2" s="1"/>
  <c r="M518" i="2" a="1"/>
  <c r="M518" i="2" s="1"/>
  <c r="M519" i="2" a="1"/>
  <c r="M519" i="2" s="1"/>
  <c r="M520" i="2" a="1"/>
  <c r="M520" i="2" s="1"/>
  <c r="M521" i="2" a="1"/>
  <c r="M521" i="2" s="1"/>
  <c r="M522" i="2" a="1"/>
  <c r="M522" i="2" s="1"/>
  <c r="M523" i="2" a="1"/>
  <c r="M523" i="2" s="1"/>
  <c r="M524" i="2" a="1"/>
  <c r="M524" i="2" s="1"/>
  <c r="M525" i="2" a="1"/>
  <c r="M525" i="2" s="1"/>
  <c r="M526" i="2" a="1"/>
  <c r="M526" i="2" s="1"/>
  <c r="M527" i="2" a="1"/>
  <c r="M527" i="2" s="1"/>
  <c r="M528" i="2" a="1"/>
  <c r="M528" i="2" s="1"/>
  <c r="M529" i="2" a="1"/>
  <c r="M529" i="2" s="1"/>
  <c r="M530" i="2" a="1"/>
  <c r="M530" i="2" s="1"/>
  <c r="M531" i="2" a="1"/>
  <c r="M531" i="2" s="1"/>
  <c r="M532" i="2" a="1"/>
  <c r="M532" i="2" s="1"/>
  <c r="M533" i="2" a="1"/>
  <c r="M533" i="2" s="1"/>
  <c r="M534" i="2" a="1"/>
  <c r="M534" i="2" s="1"/>
  <c r="M535" i="2" a="1"/>
  <c r="M535" i="2" s="1"/>
  <c r="M536" i="2" a="1"/>
  <c r="M536" i="2" s="1"/>
  <c r="M537" i="2" a="1"/>
  <c r="M537" i="2" s="1"/>
  <c r="M538" i="2" a="1"/>
  <c r="M538" i="2" s="1"/>
  <c r="M539" i="2" a="1"/>
  <c r="M539" i="2" s="1"/>
  <c r="M540" i="2" a="1"/>
  <c r="M540" i="2" s="1"/>
  <c r="M541" i="2" a="1"/>
  <c r="M541" i="2" s="1"/>
  <c r="M542" i="2" a="1"/>
  <c r="M542" i="2" s="1"/>
  <c r="M543" i="2" a="1"/>
  <c r="M543" i="2" s="1"/>
  <c r="M544" i="2" a="1"/>
  <c r="M544" i="2" s="1"/>
  <c r="M545" i="2" a="1"/>
  <c r="M545" i="2" s="1"/>
  <c r="M546" i="2" a="1"/>
  <c r="M546" i="2" s="1"/>
  <c r="M547" i="2" a="1"/>
  <c r="M547" i="2" s="1"/>
  <c r="M548" i="2" a="1"/>
  <c r="M548" i="2" s="1"/>
  <c r="M549" i="2" a="1"/>
  <c r="M549" i="2" s="1"/>
  <c r="M550" i="2" a="1"/>
  <c r="M550" i="2" s="1"/>
  <c r="M551" i="2" a="1"/>
  <c r="M551" i="2" s="1"/>
  <c r="M552" i="2" a="1"/>
  <c r="M552" i="2" s="1"/>
  <c r="M553" i="2" a="1"/>
  <c r="M553" i="2" s="1"/>
  <c r="M554" i="2" a="1"/>
  <c r="M554" i="2" s="1"/>
  <c r="M555" i="2" a="1"/>
  <c r="M555" i="2" s="1"/>
  <c r="M556" i="2" a="1"/>
  <c r="M556" i="2" s="1"/>
  <c r="M557" i="2" a="1"/>
  <c r="M557" i="2" s="1"/>
  <c r="M558" i="2" a="1"/>
  <c r="M558" i="2" s="1"/>
  <c r="M559" i="2" a="1"/>
  <c r="M559" i="2" s="1"/>
  <c r="M560" i="2" a="1"/>
  <c r="M560" i="2" s="1"/>
  <c r="M561" i="2" a="1"/>
  <c r="M561" i="2" s="1"/>
  <c r="M562" i="2" a="1"/>
  <c r="M562" i="2" s="1"/>
  <c r="M563" i="2" a="1"/>
  <c r="M563" i="2" s="1"/>
  <c r="M564" i="2" a="1"/>
  <c r="M564" i="2" s="1"/>
  <c r="M565" i="2" a="1"/>
  <c r="M565" i="2" s="1"/>
  <c r="M566" i="2" a="1"/>
  <c r="M566" i="2" s="1"/>
  <c r="M567" i="2" a="1"/>
  <c r="M567" i="2" s="1"/>
  <c r="M568" i="2" a="1"/>
  <c r="M568" i="2" s="1"/>
  <c r="M569" i="2" a="1"/>
  <c r="M569" i="2" s="1"/>
  <c r="M570" i="2" a="1"/>
  <c r="M570" i="2" s="1"/>
  <c r="M571" i="2" a="1"/>
  <c r="M571" i="2" s="1"/>
  <c r="M572" i="2" a="1"/>
  <c r="M572" i="2" s="1"/>
  <c r="M573" i="2" a="1"/>
  <c r="M573" i="2" s="1"/>
  <c r="M574" i="2" a="1"/>
  <c r="M574" i="2" s="1"/>
  <c r="M575" i="2" a="1"/>
  <c r="M575" i="2" s="1"/>
  <c r="M576" i="2" a="1"/>
  <c r="M576" i="2" s="1"/>
  <c r="M577" i="2" a="1"/>
  <c r="M577" i="2" s="1"/>
  <c r="M578" i="2" a="1"/>
  <c r="M578" i="2" s="1"/>
  <c r="M579" i="2" a="1"/>
  <c r="M579" i="2" s="1"/>
  <c r="M580" i="2" a="1"/>
  <c r="M580" i="2" s="1"/>
  <c r="M581" i="2" a="1"/>
  <c r="M581" i="2" s="1"/>
  <c r="M582" i="2" a="1"/>
  <c r="M582" i="2" s="1"/>
  <c r="M583" i="2" a="1"/>
  <c r="M583" i="2" s="1"/>
  <c r="M584" i="2" a="1"/>
  <c r="M584" i="2" s="1"/>
  <c r="M585" i="2" a="1"/>
  <c r="M585" i="2" s="1"/>
  <c r="M586" i="2" a="1"/>
  <c r="M586" i="2" s="1"/>
  <c r="M587" i="2" a="1"/>
  <c r="M587" i="2" s="1"/>
  <c r="M588" i="2" a="1"/>
  <c r="M588" i="2" s="1"/>
  <c r="M589" i="2" a="1"/>
  <c r="M589" i="2" s="1"/>
  <c r="M590" i="2" a="1"/>
  <c r="M590" i="2" s="1"/>
  <c r="M591" i="2" a="1"/>
  <c r="M591" i="2" s="1"/>
  <c r="M592" i="2" a="1"/>
  <c r="M592" i="2" s="1"/>
  <c r="M593" i="2" a="1"/>
  <c r="M593" i="2" s="1"/>
  <c r="M594" i="2" a="1"/>
  <c r="M594" i="2" s="1"/>
  <c r="M595" i="2" a="1"/>
  <c r="M595" i="2" s="1"/>
  <c r="M596" i="2" a="1"/>
  <c r="M596" i="2" s="1"/>
  <c r="M597" i="2" a="1"/>
  <c r="M597" i="2" s="1"/>
  <c r="M598" i="2" a="1"/>
  <c r="M598" i="2" s="1"/>
  <c r="M599" i="2" a="1"/>
  <c r="M599" i="2" s="1"/>
  <c r="M600" i="2" a="1"/>
  <c r="M600" i="2" s="1"/>
  <c r="M601" i="2" a="1"/>
  <c r="M601" i="2" s="1"/>
  <c r="M602" i="2" a="1"/>
  <c r="M602" i="2" s="1"/>
  <c r="M603" i="2" a="1"/>
  <c r="M603" i="2" s="1"/>
  <c r="M604" i="2" a="1"/>
  <c r="M604" i="2" s="1"/>
  <c r="M605" i="2" a="1"/>
  <c r="M605" i="2" s="1"/>
  <c r="M606" i="2" a="1"/>
  <c r="M606" i="2" s="1"/>
  <c r="M607" i="2" a="1"/>
  <c r="M607" i="2" s="1"/>
  <c r="M608" i="2" a="1"/>
  <c r="M608" i="2" s="1"/>
  <c r="M609" i="2" a="1"/>
  <c r="M609" i="2" s="1"/>
  <c r="M610" i="2" a="1"/>
  <c r="M610" i="2" s="1"/>
  <c r="M611" i="2" a="1"/>
  <c r="M611" i="2" s="1"/>
  <c r="M612" i="2" a="1"/>
  <c r="M612" i="2" s="1"/>
  <c r="M613" i="2" a="1"/>
  <c r="M613" i="2" s="1"/>
  <c r="M614" i="2" a="1"/>
  <c r="M614" i="2" s="1"/>
  <c r="M615" i="2" a="1"/>
  <c r="M615" i="2" s="1"/>
  <c r="M616" i="2" a="1"/>
  <c r="M616" i="2" s="1"/>
  <c r="M617" i="2" a="1"/>
  <c r="M617" i="2" s="1"/>
  <c r="M618" i="2" a="1"/>
  <c r="M618" i="2" s="1"/>
  <c r="M619" i="2" a="1"/>
  <c r="M619" i="2" s="1"/>
  <c r="M620" i="2" a="1"/>
  <c r="M620" i="2" s="1"/>
  <c r="M621" i="2" a="1"/>
  <c r="M621" i="2" s="1"/>
  <c r="M622" i="2" a="1"/>
  <c r="M622" i="2" s="1"/>
  <c r="M623" i="2" a="1"/>
  <c r="M623" i="2" s="1"/>
  <c r="M624" i="2" a="1"/>
  <c r="M624" i="2" s="1"/>
  <c r="M625" i="2" a="1"/>
  <c r="M625" i="2" s="1"/>
  <c r="M626" i="2" a="1"/>
  <c r="M626" i="2" s="1"/>
  <c r="M627" i="2" a="1"/>
  <c r="M627" i="2" s="1"/>
  <c r="M628" i="2" a="1"/>
  <c r="M628" i="2" s="1"/>
  <c r="M629" i="2" a="1"/>
  <c r="M629" i="2" s="1"/>
  <c r="M630" i="2" a="1"/>
  <c r="M630" i="2" s="1"/>
  <c r="M631" i="2" a="1"/>
  <c r="M631" i="2" s="1"/>
  <c r="M632" i="2" a="1"/>
  <c r="M632" i="2" s="1"/>
  <c r="M633" i="2" a="1"/>
  <c r="M633" i="2" s="1"/>
  <c r="M634" i="2" a="1"/>
  <c r="M634" i="2" s="1"/>
  <c r="M635" i="2" a="1"/>
  <c r="M635" i="2" s="1"/>
  <c r="M636" i="2" a="1"/>
  <c r="M636" i="2" s="1"/>
  <c r="M637" i="2" a="1"/>
  <c r="M637" i="2" s="1"/>
  <c r="M638" i="2" a="1"/>
  <c r="M638" i="2" s="1"/>
  <c r="M639" i="2" a="1"/>
  <c r="M639" i="2" s="1"/>
  <c r="M640" i="2" a="1"/>
  <c r="M640" i="2" s="1"/>
  <c r="M641" i="2" a="1"/>
  <c r="M641" i="2" s="1"/>
  <c r="M642" i="2" a="1"/>
  <c r="M642" i="2" s="1"/>
  <c r="M643" i="2" a="1"/>
  <c r="M643" i="2" s="1"/>
  <c r="M644" i="2" a="1"/>
  <c r="M644" i="2" s="1"/>
  <c r="M645" i="2" a="1"/>
  <c r="M645" i="2" s="1"/>
  <c r="M646" i="2" a="1"/>
  <c r="M646" i="2" s="1"/>
  <c r="M647" i="2" a="1"/>
  <c r="M647" i="2" s="1"/>
  <c r="M648" i="2" a="1"/>
  <c r="M648" i="2" s="1"/>
  <c r="M649" i="2" a="1"/>
  <c r="M649" i="2" s="1"/>
  <c r="M650" i="2" a="1"/>
  <c r="M650" i="2" s="1"/>
  <c r="M651" i="2" a="1"/>
  <c r="M651" i="2" s="1"/>
  <c r="M652" i="2" a="1"/>
  <c r="M652" i="2" s="1"/>
  <c r="M653" i="2" a="1"/>
  <c r="M653" i="2" s="1"/>
  <c r="M654" i="2" a="1"/>
  <c r="M654" i="2" s="1"/>
  <c r="M655" i="2" a="1"/>
  <c r="M655" i="2" s="1"/>
  <c r="M656" i="2" a="1"/>
  <c r="M656" i="2" s="1"/>
  <c r="M657" i="2" a="1"/>
  <c r="M657" i="2" s="1"/>
  <c r="M658" i="2" a="1"/>
  <c r="M658" i="2" s="1"/>
  <c r="M659" i="2" a="1"/>
  <c r="M659" i="2" s="1"/>
  <c r="M660" i="2" a="1"/>
  <c r="M660" i="2" s="1"/>
  <c r="M661" i="2" a="1"/>
  <c r="M661" i="2" s="1"/>
  <c r="M662" i="2" a="1"/>
  <c r="M662" i="2" s="1"/>
  <c r="M663" i="2" a="1"/>
  <c r="M663" i="2" s="1"/>
  <c r="M664" i="2" a="1"/>
  <c r="M664" i="2" s="1"/>
  <c r="M665" i="2" a="1"/>
  <c r="M665" i="2" s="1"/>
  <c r="M666" i="2" a="1"/>
  <c r="M666" i="2" s="1"/>
  <c r="M667" i="2" a="1"/>
  <c r="M667" i="2" s="1"/>
  <c r="M668" i="2" a="1"/>
  <c r="M668" i="2" s="1"/>
  <c r="M669" i="2" a="1"/>
  <c r="M669" i="2" s="1"/>
  <c r="M670" i="2" a="1"/>
  <c r="M670" i="2" s="1"/>
  <c r="M671" i="2" a="1"/>
  <c r="M671" i="2" s="1"/>
  <c r="M672" i="2" a="1"/>
  <c r="M672" i="2" s="1"/>
  <c r="M673" i="2" a="1"/>
  <c r="M673" i="2" s="1"/>
  <c r="M674" i="2" a="1"/>
  <c r="M674" i="2" s="1"/>
  <c r="M675" i="2" a="1"/>
  <c r="M675" i="2" s="1"/>
  <c r="M676" i="2" a="1"/>
  <c r="M676" i="2" s="1"/>
  <c r="M677" i="2" a="1"/>
  <c r="M677" i="2" s="1"/>
  <c r="M678" i="2" a="1"/>
  <c r="M678" i="2" s="1"/>
  <c r="M679" i="2" a="1"/>
  <c r="M679" i="2" s="1"/>
  <c r="M680" i="2" a="1"/>
  <c r="M680" i="2" s="1"/>
  <c r="M681" i="2" a="1"/>
  <c r="M681" i="2" s="1"/>
  <c r="M682" i="2" a="1"/>
  <c r="M682" i="2" s="1"/>
  <c r="M683" i="2" a="1"/>
  <c r="M683" i="2" s="1"/>
  <c r="M684" i="2" a="1"/>
  <c r="M684" i="2" s="1"/>
  <c r="M685" i="2" a="1"/>
  <c r="M685" i="2" s="1"/>
  <c r="M686" i="2" a="1"/>
  <c r="M686" i="2" s="1"/>
  <c r="M687" i="2" a="1"/>
  <c r="M687" i="2" s="1"/>
  <c r="M688" i="2" a="1"/>
  <c r="M688" i="2" s="1"/>
  <c r="M689" i="2" a="1"/>
  <c r="M689" i="2" s="1"/>
  <c r="M690" i="2" a="1"/>
  <c r="M690" i="2" s="1"/>
  <c r="M691" i="2" a="1"/>
  <c r="M691" i="2" s="1"/>
  <c r="M692" i="2" a="1"/>
  <c r="M692" i="2" s="1"/>
  <c r="M693" i="2" a="1"/>
  <c r="M693" i="2"/>
  <c r="M694" i="2" a="1"/>
  <c r="M694" i="2" s="1"/>
  <c r="M695" i="2" a="1"/>
  <c r="M695" i="2" s="1"/>
  <c r="M696" i="2" a="1"/>
  <c r="M696" i="2" s="1"/>
  <c r="M697" i="2" a="1"/>
  <c r="M697" i="2" s="1"/>
  <c r="M698" i="2" a="1"/>
  <c r="M698" i="2" s="1"/>
  <c r="M699" i="2" a="1"/>
  <c r="M699" i="2" s="1"/>
  <c r="M700" i="2" a="1"/>
  <c r="M700" i="2" s="1"/>
  <c r="M701" i="2" a="1"/>
  <c r="M701" i="2" s="1"/>
  <c r="M702" i="2" a="1"/>
  <c r="M702" i="2" s="1"/>
  <c r="M703" i="2" a="1"/>
  <c r="M703" i="2" s="1"/>
  <c r="M704" i="2" a="1"/>
  <c r="M704" i="2" s="1"/>
  <c r="M705" i="2" a="1"/>
  <c r="M705" i="2" s="1"/>
  <c r="M706" i="2" a="1"/>
  <c r="M706" i="2" s="1"/>
  <c r="M707" i="2" a="1"/>
  <c r="M707" i="2" s="1"/>
  <c r="M708" i="2" a="1"/>
  <c r="M708" i="2" s="1"/>
  <c r="M709" i="2" a="1"/>
  <c r="M709" i="2"/>
  <c r="M710" i="2" a="1"/>
  <c r="M710" i="2" s="1"/>
  <c r="M711" i="2" a="1"/>
  <c r="M711" i="2" s="1"/>
  <c r="M712" i="2" a="1"/>
  <c r="M712" i="2" s="1"/>
  <c r="M713" i="2" a="1"/>
  <c r="M713" i="2" s="1"/>
  <c r="M714" i="2" a="1"/>
  <c r="M714" i="2" s="1"/>
  <c r="M715" i="2" a="1"/>
  <c r="M715" i="2" s="1"/>
  <c r="M716" i="2" a="1"/>
  <c r="M716" i="2" s="1"/>
  <c r="M717" i="2" a="1"/>
  <c r="M717" i="2" s="1"/>
  <c r="M718" i="2" a="1"/>
  <c r="M718" i="2" s="1"/>
  <c r="M719" i="2" a="1"/>
  <c r="M719" i="2" s="1"/>
  <c r="M720" i="2" a="1"/>
  <c r="M720" i="2" s="1"/>
  <c r="M721" i="2" a="1"/>
  <c r="M721" i="2" s="1"/>
  <c r="M722" i="2" a="1"/>
  <c r="M722" i="2" s="1"/>
  <c r="M723" i="2" a="1"/>
  <c r="M723" i="2" s="1"/>
  <c r="M724" i="2" a="1"/>
  <c r="M724" i="2" s="1"/>
  <c r="M725" i="2" a="1"/>
  <c r="M725" i="2" s="1"/>
  <c r="M726" i="2" a="1"/>
  <c r="M726" i="2" s="1"/>
  <c r="M727" i="2" a="1"/>
  <c r="M727" i="2" s="1"/>
  <c r="M728" i="2" a="1"/>
  <c r="M728" i="2" s="1"/>
  <c r="M729" i="2" a="1"/>
  <c r="M729" i="2" s="1"/>
  <c r="M730" i="2" a="1"/>
  <c r="M730" i="2" s="1"/>
  <c r="M731" i="2" a="1"/>
  <c r="M731" i="2" s="1"/>
  <c r="M732" i="2" a="1"/>
  <c r="M732" i="2" s="1"/>
  <c r="M733" i="2" a="1"/>
  <c r="M733" i="2" s="1"/>
  <c r="M734" i="2" a="1"/>
  <c r="M734" i="2" s="1"/>
  <c r="M735" i="2" a="1"/>
  <c r="M735" i="2" s="1"/>
  <c r="M736" i="2" a="1"/>
  <c r="M736" i="2" s="1"/>
  <c r="M737" i="2" a="1"/>
  <c r="M737" i="2" s="1"/>
  <c r="M738" i="2" a="1"/>
  <c r="M738" i="2" s="1"/>
  <c r="M739" i="2" a="1"/>
  <c r="M739" i="2" s="1"/>
  <c r="M740" i="2" a="1"/>
  <c r="M740" i="2" s="1"/>
  <c r="M741" i="2" a="1"/>
  <c r="M741" i="2" s="1"/>
  <c r="M742" i="2" a="1"/>
  <c r="M742" i="2" s="1"/>
  <c r="M743" i="2" a="1"/>
  <c r="M743" i="2" s="1"/>
  <c r="M744" i="2" a="1"/>
  <c r="M744" i="2" s="1"/>
  <c r="M745" i="2" a="1"/>
  <c r="M745" i="2" s="1"/>
  <c r="M746" i="2" a="1"/>
  <c r="M746" i="2" s="1"/>
  <c r="M747" i="2" a="1"/>
  <c r="M747" i="2" s="1"/>
  <c r="M748" i="2" a="1"/>
  <c r="M748" i="2" s="1"/>
  <c r="M749" i="2" a="1"/>
  <c r="M749" i="2" s="1"/>
  <c r="M750" i="2" a="1"/>
  <c r="M750" i="2" s="1"/>
  <c r="M751" i="2" a="1"/>
  <c r="M751" i="2" s="1"/>
  <c r="M752" i="2" a="1"/>
  <c r="M752" i="2" s="1"/>
  <c r="M753" i="2" a="1"/>
  <c r="M753" i="2" s="1"/>
  <c r="M754" i="2" a="1"/>
  <c r="M754" i="2" s="1"/>
  <c r="M755" i="2" a="1"/>
  <c r="M755" i="2" s="1"/>
  <c r="M756" i="2" a="1"/>
  <c r="M756" i="2" s="1"/>
  <c r="M757" i="2" a="1"/>
  <c r="M757" i="2" s="1"/>
  <c r="M758" i="2" a="1"/>
  <c r="M758" i="2" s="1"/>
  <c r="M759" i="2" a="1"/>
  <c r="M759" i="2" s="1"/>
  <c r="M760" i="2" a="1"/>
  <c r="M760" i="2" s="1"/>
  <c r="M761" i="2" a="1"/>
  <c r="M761" i="2" s="1"/>
  <c r="M762" i="2" a="1"/>
  <c r="M762" i="2" s="1"/>
  <c r="M763" i="2" a="1"/>
  <c r="M763" i="2" s="1"/>
  <c r="M764" i="2" a="1"/>
  <c r="M764" i="2" s="1"/>
  <c r="M765" i="2" a="1"/>
  <c r="M765" i="2" s="1"/>
  <c r="M766" i="2" a="1"/>
  <c r="M766" i="2" s="1"/>
  <c r="M767" i="2" a="1"/>
  <c r="M767" i="2" s="1"/>
  <c r="M768" i="2" a="1"/>
  <c r="M768" i="2" s="1"/>
  <c r="M769" i="2" a="1"/>
  <c r="M769" i="2" s="1"/>
  <c r="M770" i="2" a="1"/>
  <c r="M770" i="2" s="1"/>
  <c r="M771" i="2" a="1"/>
  <c r="M771" i="2" s="1"/>
  <c r="M772" i="2" a="1"/>
  <c r="M772" i="2" s="1"/>
  <c r="M773" i="2" a="1"/>
  <c r="M773" i="2" s="1"/>
  <c r="M774" i="2" a="1"/>
  <c r="M774" i="2" s="1"/>
  <c r="M775" i="2" a="1"/>
  <c r="M775" i="2" s="1"/>
  <c r="M776" i="2" a="1"/>
  <c r="M776" i="2" s="1"/>
  <c r="M777" i="2" a="1"/>
  <c r="M777" i="2" s="1"/>
  <c r="M778" i="2" a="1"/>
  <c r="M778" i="2" s="1"/>
  <c r="M779" i="2" a="1"/>
  <c r="M779" i="2" s="1"/>
  <c r="M780" i="2" a="1"/>
  <c r="M780" i="2" s="1"/>
  <c r="M781" i="2" a="1"/>
  <c r="M781" i="2" s="1"/>
  <c r="M782" i="2" a="1"/>
  <c r="M782" i="2" s="1"/>
  <c r="M783" i="2" a="1"/>
  <c r="M783" i="2" s="1"/>
  <c r="M784" i="2" a="1"/>
  <c r="M784" i="2" s="1"/>
  <c r="M785" i="2" a="1"/>
  <c r="M785" i="2" s="1"/>
  <c r="M786" i="2" a="1"/>
  <c r="M786" i="2" s="1"/>
  <c r="M787" i="2" a="1"/>
  <c r="M787" i="2" s="1"/>
  <c r="M788" i="2" a="1"/>
  <c r="M788" i="2" s="1"/>
  <c r="M789" i="2" a="1"/>
  <c r="M789" i="2" s="1"/>
  <c r="M790" i="2" a="1"/>
  <c r="M790" i="2" s="1"/>
  <c r="M791" i="2" a="1"/>
  <c r="M791" i="2" s="1"/>
  <c r="M792" i="2" a="1"/>
  <c r="M792" i="2" s="1"/>
  <c r="M793" i="2" a="1"/>
  <c r="M793" i="2" s="1"/>
  <c r="M794" i="2" a="1"/>
  <c r="M794" i="2" s="1"/>
  <c r="M795" i="2" a="1"/>
  <c r="M795" i="2" s="1"/>
  <c r="M796" i="2" a="1"/>
  <c r="M796" i="2" s="1"/>
  <c r="M797" i="2" a="1"/>
  <c r="M797" i="2" s="1"/>
  <c r="M798" i="2" a="1"/>
  <c r="M798" i="2" s="1"/>
  <c r="M799" i="2" a="1"/>
  <c r="M799" i="2" s="1"/>
  <c r="M800" i="2" a="1"/>
  <c r="M800" i="2" s="1"/>
  <c r="M801" i="2" a="1"/>
  <c r="M801" i="2" s="1"/>
  <c r="M802" i="2" a="1"/>
  <c r="M802" i="2" s="1"/>
  <c r="M803" i="2" a="1"/>
  <c r="M803" i="2" s="1"/>
  <c r="M804" i="2" a="1"/>
  <c r="M804" i="2" s="1"/>
  <c r="M805" i="2" a="1"/>
  <c r="M805" i="2" s="1"/>
  <c r="M806" i="2" a="1"/>
  <c r="M806" i="2" s="1"/>
  <c r="M807" i="2" a="1"/>
  <c r="M807" i="2" s="1"/>
  <c r="M808" i="2" a="1"/>
  <c r="M808" i="2" s="1"/>
  <c r="M809" i="2" a="1"/>
  <c r="M809" i="2" s="1"/>
  <c r="M810" i="2" a="1"/>
  <c r="M810" i="2" s="1"/>
  <c r="M811" i="2" a="1"/>
  <c r="M811" i="2" s="1"/>
  <c r="M812" i="2" a="1"/>
  <c r="M812" i="2" s="1"/>
  <c r="M813" i="2" a="1"/>
  <c r="M813" i="2" s="1"/>
  <c r="M814" i="2" a="1"/>
  <c r="M814" i="2" s="1"/>
  <c r="M815" i="2" a="1"/>
  <c r="M815" i="2" s="1"/>
  <c r="M816" i="2" a="1"/>
  <c r="M816" i="2" s="1"/>
  <c r="M817" i="2" a="1"/>
  <c r="M817" i="2" s="1"/>
  <c r="M818" i="2" a="1"/>
  <c r="M818" i="2" s="1"/>
  <c r="M819" i="2" a="1"/>
  <c r="M819" i="2" s="1"/>
  <c r="M820" i="2" a="1"/>
  <c r="M820" i="2" s="1"/>
  <c r="M821" i="2" a="1"/>
  <c r="M821" i="2"/>
  <c r="M822" i="2" a="1"/>
  <c r="M822" i="2" s="1"/>
  <c r="M823" i="2" a="1"/>
  <c r="M823" i="2" s="1"/>
  <c r="M824" i="2" a="1"/>
  <c r="M824" i="2" s="1"/>
  <c r="M825" i="2" a="1"/>
  <c r="M825" i="2" s="1"/>
  <c r="M826" i="2" a="1"/>
  <c r="M826" i="2" s="1"/>
  <c r="M827" i="2" a="1"/>
  <c r="M827" i="2" s="1"/>
  <c r="M828" i="2" a="1"/>
  <c r="M828" i="2" s="1"/>
  <c r="M829" i="2" a="1"/>
  <c r="M829" i="2" s="1"/>
  <c r="M830" i="2" a="1"/>
  <c r="M830" i="2" s="1"/>
  <c r="M831" i="2" a="1"/>
  <c r="M831" i="2" s="1"/>
  <c r="M832" i="2" a="1"/>
  <c r="M832" i="2" s="1"/>
  <c r="M833" i="2" a="1"/>
  <c r="M833" i="2" s="1"/>
  <c r="M834" i="2" a="1"/>
  <c r="M834" i="2" s="1"/>
  <c r="M835" i="2" a="1"/>
  <c r="M835" i="2" s="1"/>
  <c r="M836" i="2" a="1"/>
  <c r="M836" i="2" s="1"/>
  <c r="M837" i="2" a="1"/>
  <c r="M837" i="2"/>
  <c r="M838" i="2" a="1"/>
  <c r="M838" i="2" s="1"/>
  <c r="M839" i="2" a="1"/>
  <c r="M839" i="2" s="1"/>
  <c r="M840" i="2" a="1"/>
  <c r="M840" i="2" s="1"/>
  <c r="M841" i="2" a="1"/>
  <c r="M841" i="2" s="1"/>
  <c r="M842" i="2" a="1"/>
  <c r="M842" i="2" s="1"/>
  <c r="M843" i="2" a="1"/>
  <c r="M843" i="2" s="1"/>
  <c r="M844" i="2" a="1"/>
  <c r="M844" i="2" s="1"/>
  <c r="M845" i="2" a="1"/>
  <c r="M845" i="2" s="1"/>
  <c r="M846" i="2" a="1"/>
  <c r="M846" i="2" s="1"/>
  <c r="M847" i="2" a="1"/>
  <c r="M847" i="2" s="1"/>
  <c r="M848" i="2" a="1"/>
  <c r="M848" i="2" s="1"/>
  <c r="M849" i="2" a="1"/>
  <c r="M849" i="2" s="1"/>
  <c r="M850" i="2" a="1"/>
  <c r="M850" i="2" s="1"/>
  <c r="M851" i="2" a="1"/>
  <c r="M851" i="2" s="1"/>
  <c r="M852" i="2" a="1"/>
  <c r="M852" i="2" s="1"/>
  <c r="M853" i="2" a="1"/>
  <c r="M853" i="2" s="1"/>
  <c r="M854" i="2" a="1"/>
  <c r="M854" i="2" s="1"/>
  <c r="M855" i="2" a="1"/>
  <c r="M855" i="2" s="1"/>
  <c r="M856" i="2" a="1"/>
  <c r="M856" i="2" s="1"/>
  <c r="M857" i="2" a="1"/>
  <c r="M857" i="2" s="1"/>
  <c r="M858" i="2" a="1"/>
  <c r="M858" i="2" s="1"/>
  <c r="M859" i="2" a="1"/>
  <c r="M859" i="2" s="1"/>
  <c r="M860" i="2" a="1"/>
  <c r="M860" i="2" s="1"/>
  <c r="M861" i="2" a="1"/>
  <c r="M861" i="2" s="1"/>
  <c r="M862" i="2" a="1"/>
  <c r="M862" i="2" s="1"/>
  <c r="M863" i="2" a="1"/>
  <c r="M863" i="2" s="1"/>
  <c r="M864" i="2" a="1"/>
  <c r="M864" i="2" s="1"/>
  <c r="M865" i="2" a="1"/>
  <c r="M865" i="2" s="1"/>
  <c r="M866" i="2" a="1"/>
  <c r="M866" i="2" s="1"/>
  <c r="M867" i="2" a="1"/>
  <c r="M867" i="2" s="1"/>
  <c r="M868" i="2" a="1"/>
  <c r="M868" i="2" s="1"/>
  <c r="M869" i="2" a="1"/>
  <c r="M869" i="2" s="1"/>
  <c r="M870" i="2" a="1"/>
  <c r="M870" i="2" s="1"/>
  <c r="M871" i="2" a="1"/>
  <c r="M871" i="2" s="1"/>
  <c r="M872" i="2" a="1"/>
  <c r="M872" i="2" s="1"/>
  <c r="M873" i="2" a="1"/>
  <c r="M873" i="2" s="1"/>
  <c r="M874" i="2" a="1"/>
  <c r="M874" i="2" s="1"/>
  <c r="M875" i="2" a="1"/>
  <c r="M875" i="2" s="1"/>
  <c r="M876" i="2" a="1"/>
  <c r="M876" i="2" s="1"/>
  <c r="M877" i="2" a="1"/>
  <c r="M877" i="2"/>
  <c r="M878" i="2" a="1"/>
  <c r="M878" i="2" s="1"/>
  <c r="M879" i="2" a="1"/>
  <c r="M879" i="2" s="1"/>
  <c r="M880" i="2" a="1"/>
  <c r="M880" i="2" s="1"/>
  <c r="M881" i="2" a="1"/>
  <c r="M881" i="2" s="1"/>
  <c r="M882" i="2" a="1"/>
  <c r="M882" i="2" s="1"/>
  <c r="M883" i="2" a="1"/>
  <c r="M883" i="2" s="1"/>
  <c r="M884" i="2" a="1"/>
  <c r="M884" i="2" s="1"/>
  <c r="M885" i="2" a="1"/>
  <c r="M885" i="2" s="1"/>
  <c r="M886" i="2" a="1"/>
  <c r="M886" i="2" s="1"/>
  <c r="M887" i="2" a="1"/>
  <c r="M887" i="2" s="1"/>
  <c r="M888" i="2" a="1"/>
  <c r="M888" i="2" s="1"/>
  <c r="M889" i="2" a="1"/>
  <c r="M889" i="2" s="1"/>
  <c r="M890" i="2" a="1"/>
  <c r="M890" i="2" s="1"/>
  <c r="M891" i="2" a="1"/>
  <c r="M891" i="2" s="1"/>
  <c r="M892" i="2" a="1"/>
  <c r="M892" i="2" s="1"/>
  <c r="M893" i="2" a="1"/>
  <c r="M893" i="2" s="1"/>
  <c r="M894" i="2" a="1"/>
  <c r="M894" i="2" s="1"/>
  <c r="M895" i="2" a="1"/>
  <c r="M895" i="2" s="1"/>
  <c r="M896" i="2" a="1"/>
  <c r="M896" i="2" s="1"/>
  <c r="M897" i="2" a="1"/>
  <c r="M897" i="2" s="1"/>
  <c r="M898" i="2" a="1"/>
  <c r="M898" i="2" s="1"/>
  <c r="M899" i="2" a="1"/>
  <c r="M899" i="2" s="1"/>
  <c r="M900" i="2" a="1"/>
  <c r="M900" i="2" s="1"/>
  <c r="M901" i="2" a="1"/>
  <c r="M901" i="2" s="1"/>
  <c r="M902" i="2" a="1"/>
  <c r="M902" i="2" s="1"/>
  <c r="M903" i="2" a="1"/>
  <c r="M903" i="2" s="1"/>
  <c r="M904" i="2" a="1"/>
  <c r="M904" i="2" s="1"/>
  <c r="M905" i="2" a="1"/>
  <c r="M905" i="2" s="1"/>
  <c r="M906" i="2" a="1"/>
  <c r="M906" i="2" s="1"/>
  <c r="M907" i="2" a="1"/>
  <c r="M907" i="2" s="1"/>
  <c r="M908" i="2" a="1"/>
  <c r="M908" i="2" s="1"/>
  <c r="M909" i="2" a="1"/>
  <c r="M909" i="2" s="1"/>
  <c r="M910" i="2" a="1"/>
  <c r="M910" i="2" s="1"/>
  <c r="M911" i="2" a="1"/>
  <c r="M911" i="2" s="1"/>
  <c r="M912" i="2" a="1"/>
  <c r="M912" i="2" s="1"/>
  <c r="M913" i="2" a="1"/>
  <c r="M913" i="2" s="1"/>
  <c r="M914" i="2" a="1"/>
  <c r="M914" i="2" s="1"/>
  <c r="M915" i="2" a="1"/>
  <c r="M915" i="2" s="1"/>
  <c r="M916" i="2" a="1"/>
  <c r="M916" i="2" s="1"/>
  <c r="M917" i="2" a="1"/>
  <c r="M917" i="2" s="1"/>
  <c r="M918" i="2" a="1"/>
  <c r="M918" i="2" s="1"/>
  <c r="M919" i="2" a="1"/>
  <c r="M919" i="2" s="1"/>
  <c r="M920" i="2" a="1"/>
  <c r="M920" i="2" s="1"/>
  <c r="M921" i="2" a="1"/>
  <c r="M921" i="2" s="1"/>
  <c r="M922" i="2" a="1"/>
  <c r="M922" i="2" s="1"/>
  <c r="M923" i="2" a="1"/>
  <c r="M923" i="2" s="1"/>
  <c r="M924" i="2" a="1"/>
  <c r="M924" i="2" s="1"/>
  <c r="M925" i="2" a="1"/>
  <c r="M925" i="2" s="1"/>
  <c r="M926" i="2" a="1"/>
  <c r="M926" i="2" s="1"/>
  <c r="M927" i="2" a="1"/>
  <c r="M927" i="2" s="1"/>
  <c r="M928" i="2" a="1"/>
  <c r="M928" i="2" s="1"/>
  <c r="M929" i="2" a="1"/>
  <c r="M929" i="2" s="1"/>
  <c r="M930" i="2" a="1"/>
  <c r="M930" i="2" s="1"/>
  <c r="M931" i="2" a="1"/>
  <c r="M931" i="2" s="1"/>
  <c r="M932" i="2" a="1"/>
  <c r="M932" i="2" s="1"/>
  <c r="M933" i="2" a="1"/>
  <c r="M933" i="2" s="1"/>
  <c r="M934" i="2" a="1"/>
  <c r="M934" i="2" s="1"/>
  <c r="M935" i="2" a="1"/>
  <c r="M935" i="2" s="1"/>
  <c r="M936" i="2" a="1"/>
  <c r="M936" i="2" s="1"/>
  <c r="M937" i="2" a="1"/>
  <c r="M937" i="2" s="1"/>
  <c r="M938" i="2" a="1"/>
  <c r="M938" i="2" s="1"/>
  <c r="M939" i="2" a="1"/>
  <c r="M939" i="2" s="1"/>
  <c r="M940" i="2" a="1"/>
  <c r="M940" i="2" s="1"/>
  <c r="M941" i="2" a="1"/>
  <c r="M941" i="2" s="1"/>
  <c r="M942" i="2" a="1"/>
  <c r="M942" i="2" s="1"/>
  <c r="M943" i="2" a="1"/>
  <c r="M943" i="2" s="1"/>
  <c r="M944" i="2" a="1"/>
  <c r="M944" i="2" s="1"/>
  <c r="M945" i="2" a="1"/>
  <c r="M945" i="2" s="1"/>
  <c r="M946" i="2" a="1"/>
  <c r="M946" i="2" s="1"/>
  <c r="M947" i="2" a="1"/>
  <c r="M947" i="2" s="1"/>
  <c r="M948" i="2" a="1"/>
  <c r="M948" i="2" s="1"/>
  <c r="M949" i="2" a="1"/>
  <c r="M949" i="2" s="1"/>
  <c r="M950" i="2" a="1"/>
  <c r="M950" i="2" s="1"/>
  <c r="M951" i="2" a="1"/>
  <c r="M951" i="2" s="1"/>
  <c r="M952" i="2" a="1"/>
  <c r="M952" i="2" s="1"/>
  <c r="M953" i="2" a="1"/>
  <c r="M953" i="2" s="1"/>
  <c r="M954" i="2" a="1"/>
  <c r="M954" i="2" s="1"/>
  <c r="M955" i="2" a="1"/>
  <c r="M955" i="2" s="1"/>
  <c r="M956" i="2" a="1"/>
  <c r="M956" i="2" s="1"/>
  <c r="M957" i="2" a="1"/>
  <c r="M957" i="2" s="1"/>
  <c r="M958" i="2" a="1"/>
  <c r="M958" i="2" s="1"/>
  <c r="M959" i="2" a="1"/>
  <c r="M959" i="2" s="1"/>
  <c r="M960" i="2" a="1"/>
  <c r="M960" i="2" s="1"/>
  <c r="M961" i="2" a="1"/>
  <c r="M961" i="2" s="1"/>
  <c r="M962" i="2" a="1"/>
  <c r="M962" i="2" s="1"/>
  <c r="M963" i="2" a="1"/>
  <c r="M963" i="2" s="1"/>
  <c r="M964" i="2" a="1"/>
  <c r="M964" i="2" s="1"/>
  <c r="M965" i="2" a="1"/>
  <c r="M965" i="2" s="1"/>
  <c r="M966" i="2" a="1"/>
  <c r="M966" i="2" s="1"/>
  <c r="M967" i="2" a="1"/>
  <c r="M967" i="2" s="1"/>
  <c r="M968" i="2" a="1"/>
  <c r="M968" i="2" s="1"/>
  <c r="M969" i="2" a="1"/>
  <c r="M969" i="2" s="1"/>
  <c r="M970" i="2" a="1"/>
  <c r="M970" i="2" s="1"/>
  <c r="M971" i="2" a="1"/>
  <c r="M971" i="2" s="1"/>
  <c r="M972" i="2" a="1"/>
  <c r="M972" i="2" s="1"/>
  <c r="M973" i="2" a="1"/>
  <c r="M973" i="2" s="1"/>
  <c r="M974" i="2" a="1"/>
  <c r="M974" i="2" s="1"/>
  <c r="M975" i="2" a="1"/>
  <c r="M975" i="2" s="1"/>
  <c r="M976" i="2" a="1"/>
  <c r="M976" i="2" s="1"/>
  <c r="M977" i="2" a="1"/>
  <c r="M977" i="2" s="1"/>
  <c r="M978" i="2" a="1"/>
  <c r="M978" i="2" s="1"/>
  <c r="M979" i="2" a="1"/>
  <c r="M979" i="2" s="1"/>
  <c r="M980" i="2" a="1"/>
  <c r="M980" i="2" s="1"/>
  <c r="M981" i="2" a="1"/>
  <c r="M981" i="2" s="1"/>
  <c r="M982" i="2" a="1"/>
  <c r="M982" i="2" s="1"/>
  <c r="M983" i="2" a="1"/>
  <c r="M983" i="2" s="1"/>
  <c r="M984" i="2" a="1"/>
  <c r="M984" i="2" s="1"/>
  <c r="M985" i="2" a="1"/>
  <c r="M985" i="2" s="1"/>
  <c r="M986" i="2" a="1"/>
  <c r="M986" i="2" s="1"/>
  <c r="M987" i="2" a="1"/>
  <c r="M987" i="2" s="1"/>
  <c r="M988" i="2" a="1"/>
  <c r="M988" i="2" s="1"/>
  <c r="M989" i="2" a="1"/>
  <c r="M989" i="2" s="1"/>
  <c r="M990" i="2" a="1"/>
  <c r="M990" i="2" s="1"/>
  <c r="M991" i="2" a="1"/>
  <c r="M991" i="2" s="1"/>
  <c r="M992" i="2" a="1"/>
  <c r="M992" i="2" s="1"/>
  <c r="M993" i="2" a="1"/>
  <c r="M993" i="2" s="1"/>
  <c r="M994" i="2" a="1"/>
  <c r="M994" i="2" s="1"/>
  <c r="M995" i="2" a="1"/>
  <c r="M995" i="2" s="1"/>
  <c r="M996" i="2" a="1"/>
  <c r="M996" i="2" s="1"/>
  <c r="M997" i="2" a="1"/>
  <c r="M997" i="2" s="1"/>
  <c r="M998" i="2" a="1"/>
  <c r="M998" i="2" s="1"/>
  <c r="M999" i="2" a="1"/>
  <c r="M999" i="2" s="1"/>
  <c r="M1000" i="2" a="1"/>
  <c r="M1000" i="2" s="1"/>
  <c r="M1001" i="2" a="1"/>
  <c r="M1001" i="2" s="1"/>
  <c r="M1002" i="2" a="1"/>
  <c r="M1002" i="2" s="1"/>
  <c r="M1003" i="2" a="1"/>
  <c r="M1003" i="2" s="1"/>
  <c r="M1004" i="2" a="1"/>
  <c r="M1004" i="2" s="1"/>
  <c r="M1005" i="2" a="1"/>
  <c r="M1005" i="2" s="1"/>
  <c r="M1006" i="2" a="1"/>
  <c r="M1006" i="2" s="1"/>
  <c r="M1007" i="2" a="1"/>
  <c r="M1007" i="2" s="1"/>
  <c r="M1008" i="2" a="1"/>
  <c r="M1008" i="2" s="1"/>
  <c r="M1009" i="2" a="1"/>
  <c r="M1009" i="2" s="1"/>
  <c r="M1010" i="2" a="1"/>
  <c r="M1010" i="2" s="1"/>
  <c r="M1011" i="2" a="1"/>
  <c r="M1011" i="2" s="1"/>
  <c r="M1012" i="2" a="1"/>
  <c r="M1012" i="2" s="1"/>
  <c r="M1013" i="2" a="1"/>
  <c r="M1013" i="2" s="1"/>
  <c r="M1014" i="2" a="1"/>
  <c r="M1014" i="2" s="1"/>
  <c r="M1015" i="2" a="1"/>
  <c r="M1015" i="2" s="1"/>
  <c r="M1016" i="2" a="1"/>
  <c r="M1016" i="2" s="1"/>
  <c r="M1017" i="2" a="1"/>
  <c r="M1017" i="2" s="1"/>
  <c r="M1018" i="2" a="1"/>
  <c r="M1018" i="2" s="1"/>
  <c r="M1019" i="2" a="1"/>
  <c r="M1019" i="2" s="1"/>
  <c r="M1020" i="2" a="1"/>
  <c r="M1020" i="2" s="1"/>
  <c r="M1021" i="2" a="1"/>
  <c r="M1021" i="2" s="1"/>
  <c r="M1022" i="2" a="1"/>
  <c r="M1022" i="2" s="1"/>
  <c r="M1023" i="2" a="1"/>
  <c r="M1023" i="2" s="1"/>
  <c r="M1024" i="2" a="1"/>
  <c r="M1024" i="2" s="1"/>
  <c r="M1025" i="2" a="1"/>
  <c r="M1025" i="2" s="1"/>
  <c r="M1026" i="2" a="1"/>
  <c r="M1026" i="2" s="1"/>
  <c r="M1027" i="2" a="1"/>
  <c r="M1027" i="2" s="1"/>
  <c r="M1028" i="2" a="1"/>
  <c r="M1028" i="2" s="1"/>
  <c r="M1029" i="2" a="1"/>
  <c r="M1029" i="2" s="1"/>
  <c r="M1030" i="2" a="1"/>
  <c r="M1030" i="2" s="1"/>
  <c r="M1031" i="2" a="1"/>
  <c r="M1031" i="2" s="1"/>
  <c r="M1032" i="2" a="1"/>
  <c r="M1032" i="2" s="1"/>
  <c r="M1033" i="2" a="1"/>
  <c r="M1033" i="2" s="1"/>
  <c r="M1034" i="2" a="1"/>
  <c r="M1034" i="2" s="1"/>
  <c r="M1035" i="2" a="1"/>
  <c r="M1035" i="2" s="1"/>
  <c r="M1036" i="2" a="1"/>
  <c r="M1036" i="2" s="1"/>
  <c r="M1037" i="2" a="1"/>
  <c r="M1037" i="2" s="1"/>
  <c r="M1038" i="2" a="1"/>
  <c r="M1038" i="2" s="1"/>
  <c r="M1039" i="2" a="1"/>
  <c r="M1039" i="2" s="1"/>
  <c r="M1040" i="2" a="1"/>
  <c r="M1040" i="2" s="1"/>
  <c r="M1041" i="2" a="1"/>
  <c r="M1041" i="2" s="1"/>
  <c r="M1042" i="2" a="1"/>
  <c r="M1042" i="2" s="1"/>
  <c r="M1043" i="2" a="1"/>
  <c r="M1043" i="2" s="1"/>
  <c r="M1044" i="2" a="1"/>
  <c r="M1044" i="2" s="1"/>
  <c r="M1045" i="2" a="1"/>
  <c r="M1045" i="2" s="1"/>
  <c r="M1046" i="2" a="1"/>
  <c r="M1046" i="2" s="1"/>
  <c r="M1047" i="2" a="1"/>
  <c r="M1047" i="2" s="1"/>
  <c r="M1048" i="2" a="1"/>
  <c r="M1048" i="2" s="1"/>
  <c r="M1049" i="2" a="1"/>
  <c r="M1049" i="2" s="1"/>
  <c r="M1050" i="2" a="1"/>
  <c r="M1050" i="2" s="1"/>
  <c r="M1051" i="2" a="1"/>
  <c r="M1051" i="2" s="1"/>
  <c r="M1052" i="2" a="1"/>
  <c r="M1052" i="2" s="1"/>
  <c r="M1053" i="2" a="1"/>
  <c r="M1053" i="2" s="1"/>
  <c r="M1054" i="2" a="1"/>
  <c r="M1054" i="2" s="1"/>
  <c r="M1055" i="2" a="1"/>
  <c r="M1055" i="2" s="1"/>
  <c r="M1056" i="2" a="1"/>
  <c r="M1056" i="2" s="1"/>
  <c r="M1057" i="2" a="1"/>
  <c r="M1057" i="2" s="1"/>
  <c r="M1058" i="2" a="1"/>
  <c r="M1058" i="2" s="1"/>
  <c r="M1059" i="2" a="1"/>
  <c r="M1059" i="2" s="1"/>
  <c r="M1060" i="2" a="1"/>
  <c r="M1060" i="2" s="1"/>
  <c r="M1061" i="2" a="1"/>
  <c r="M1061" i="2" s="1"/>
  <c r="M1062" i="2" a="1"/>
  <c r="M1062" i="2" s="1"/>
  <c r="M1063" i="2" a="1"/>
  <c r="M1063" i="2" s="1"/>
  <c r="M1064" i="2" a="1"/>
  <c r="M1064" i="2" s="1"/>
  <c r="M1065" i="2" a="1"/>
  <c r="M1065" i="2" s="1"/>
  <c r="M1066" i="2" a="1"/>
  <c r="M1066" i="2" s="1"/>
  <c r="M1067" i="2" a="1"/>
  <c r="M1067" i="2" s="1"/>
  <c r="M1068" i="2" a="1"/>
  <c r="M1068" i="2" s="1"/>
  <c r="M1069" i="2" a="1"/>
  <c r="M1069" i="2" s="1"/>
  <c r="M1070" i="2" a="1"/>
  <c r="M1070" i="2" s="1"/>
  <c r="M1071" i="2" a="1"/>
  <c r="M1071" i="2" s="1"/>
  <c r="M1072" i="2" a="1"/>
  <c r="M1072" i="2" s="1"/>
  <c r="M1073" i="2" a="1"/>
  <c r="M1073" i="2" s="1"/>
  <c r="M1074" i="2" a="1"/>
  <c r="M1074" i="2" s="1"/>
  <c r="M1075" i="2" a="1"/>
  <c r="M1075" i="2" s="1"/>
  <c r="M1076" i="2" a="1"/>
  <c r="M1076" i="2" s="1"/>
  <c r="M1077" i="2" a="1"/>
  <c r="M1077" i="2" s="1"/>
  <c r="M1078" i="2" a="1"/>
  <c r="M1078" i="2" s="1"/>
  <c r="M1079" i="2" a="1"/>
  <c r="M1079" i="2" s="1"/>
  <c r="M1080" i="2" a="1"/>
  <c r="M1080" i="2" s="1"/>
  <c r="M1081" i="2" a="1"/>
  <c r="M1081" i="2" s="1"/>
  <c r="M1082" i="2" a="1"/>
  <c r="M1082" i="2" s="1"/>
  <c r="M1083" i="2" a="1"/>
  <c r="M1083" i="2" s="1"/>
  <c r="M1084" i="2" a="1"/>
  <c r="M1084" i="2" s="1"/>
  <c r="M1085" i="2" a="1"/>
  <c r="M1085" i="2" s="1"/>
  <c r="M1086" i="2" a="1"/>
  <c r="M1086" i="2" s="1"/>
  <c r="M1087" i="2" a="1"/>
  <c r="M1087" i="2" s="1"/>
  <c r="M1088" i="2" a="1"/>
  <c r="M1088" i="2" s="1"/>
  <c r="M1089" i="2" a="1"/>
  <c r="M1089" i="2" s="1"/>
  <c r="M1090" i="2" a="1"/>
  <c r="M1090" i="2" s="1"/>
  <c r="M1091" i="2" a="1"/>
  <c r="M1091" i="2" s="1"/>
  <c r="M1092" i="2" a="1"/>
  <c r="M1092" i="2" s="1"/>
  <c r="M1093" i="2" a="1"/>
  <c r="M1093" i="2" s="1"/>
  <c r="M1094" i="2" a="1"/>
  <c r="M1094" i="2" s="1"/>
  <c r="M1095" i="2" a="1"/>
  <c r="M1095" i="2" s="1"/>
  <c r="M1096" i="2" a="1"/>
  <c r="M1096" i="2" s="1"/>
  <c r="M1097" i="2" a="1"/>
  <c r="M1097" i="2" s="1"/>
  <c r="M1098" i="2" a="1"/>
  <c r="M1098" i="2" s="1"/>
  <c r="M1099" i="2" a="1"/>
  <c r="M1099" i="2" s="1"/>
  <c r="M1100" i="2" a="1"/>
  <c r="M1100" i="2" s="1"/>
  <c r="M1101" i="2" a="1"/>
  <c r="M1101" i="2" s="1"/>
  <c r="M1102" i="2" a="1"/>
  <c r="M1102" i="2" s="1"/>
  <c r="M1103" i="2" a="1"/>
  <c r="M1103" i="2" s="1"/>
  <c r="M1104" i="2" a="1"/>
  <c r="M1104" i="2" s="1"/>
  <c r="M1105" i="2" a="1"/>
  <c r="M1105" i="2" s="1"/>
  <c r="M1106" i="2" a="1"/>
  <c r="M1106" i="2" s="1"/>
  <c r="M1107" i="2" a="1"/>
  <c r="M1107" i="2" s="1"/>
  <c r="M1108" i="2" a="1"/>
  <c r="M1108" i="2" s="1"/>
  <c r="M1109" i="2" a="1"/>
  <c r="M1109" i="2" s="1"/>
  <c r="M1110" i="2" a="1"/>
  <c r="M1110" i="2" s="1"/>
  <c r="M1111" i="2" a="1"/>
  <c r="M1111" i="2" s="1"/>
  <c r="M1112" i="2" a="1"/>
  <c r="M1112" i="2" s="1"/>
  <c r="M1113" i="2" a="1"/>
  <c r="M1113" i="2" s="1"/>
  <c r="M1114" i="2" a="1"/>
  <c r="M1114" i="2"/>
  <c r="M1115" i="2" a="1"/>
  <c r="M1115" i="2" s="1"/>
  <c r="M1116" i="2" a="1"/>
  <c r="M1116" i="2" s="1"/>
  <c r="M1117" i="2" a="1"/>
  <c r="M1117" i="2" s="1"/>
  <c r="M1118" i="2" a="1"/>
  <c r="M1118" i="2" s="1"/>
  <c r="M1119" i="2" a="1"/>
  <c r="M1119" i="2" s="1"/>
  <c r="M1120" i="2" a="1"/>
  <c r="M1120" i="2" s="1"/>
  <c r="M1121" i="2" a="1"/>
  <c r="M1121" i="2" s="1"/>
  <c r="M1122" i="2" a="1"/>
  <c r="M1122" i="2" s="1"/>
  <c r="M1123" i="2" a="1"/>
  <c r="M1123" i="2" s="1"/>
  <c r="M1124" i="2" a="1"/>
  <c r="M1124" i="2" s="1"/>
  <c r="M1125" i="2" a="1"/>
  <c r="M1125" i="2" s="1"/>
  <c r="M1126" i="2" a="1"/>
  <c r="M1126" i="2" s="1"/>
  <c r="M1127" i="2" a="1"/>
  <c r="M1127" i="2" s="1"/>
  <c r="M1128" i="2" a="1"/>
  <c r="M1128" i="2" s="1"/>
  <c r="M1129" i="2" a="1"/>
  <c r="M1129" i="2" s="1"/>
  <c r="M1130" i="2" a="1"/>
  <c r="M1130" i="2" s="1"/>
  <c r="M1131" i="2" a="1"/>
  <c r="M1131" i="2" s="1"/>
  <c r="M1132" i="2" a="1"/>
  <c r="M1132" i="2" s="1"/>
  <c r="M1133" i="2" a="1"/>
  <c r="M1133" i="2" s="1"/>
  <c r="M1134" i="2" a="1"/>
  <c r="M1134" i="2" s="1"/>
  <c r="M1135" i="2" a="1"/>
  <c r="M1135" i="2" s="1"/>
  <c r="M1136" i="2" a="1"/>
  <c r="M1136" i="2" s="1"/>
  <c r="M1137" i="2" a="1"/>
  <c r="M1137" i="2" s="1"/>
  <c r="M1138" i="2" a="1"/>
  <c r="M1138" i="2" s="1"/>
  <c r="M1139" i="2" a="1"/>
  <c r="M1139" i="2" s="1"/>
  <c r="M1140" i="2" a="1"/>
  <c r="M1140" i="2" s="1"/>
  <c r="M1141" i="2" a="1"/>
  <c r="M1141" i="2" s="1"/>
  <c r="M1142" i="2" a="1"/>
  <c r="M1142" i="2" s="1"/>
  <c r="M1143" i="2" a="1"/>
  <c r="M1143" i="2" s="1"/>
  <c r="M1144" i="2" a="1"/>
  <c r="M1144" i="2" s="1"/>
  <c r="M1145" i="2" a="1"/>
  <c r="M1145" i="2" s="1"/>
  <c r="M1146" i="2" a="1"/>
  <c r="M1146" i="2" s="1"/>
  <c r="M1147" i="2" a="1"/>
  <c r="M1147" i="2" s="1"/>
  <c r="M1148" i="2" a="1"/>
  <c r="M1148" i="2" s="1"/>
  <c r="M1149" i="2" a="1"/>
  <c r="M1149" i="2" s="1"/>
  <c r="M1150" i="2" a="1"/>
  <c r="M1150" i="2" s="1"/>
  <c r="M1151" i="2" a="1"/>
  <c r="M1151" i="2" s="1"/>
  <c r="M1152" i="2" a="1"/>
  <c r="M1152" i="2" s="1"/>
  <c r="M1153" i="2" a="1"/>
  <c r="M1153" i="2" s="1"/>
  <c r="M1154" i="2" a="1"/>
  <c r="M1154" i="2" s="1"/>
  <c r="M1155" i="2" a="1"/>
  <c r="M1155" i="2" s="1"/>
  <c r="M1156" i="2" a="1"/>
  <c r="M1156" i="2" s="1"/>
  <c r="M1157" i="2" a="1"/>
  <c r="M1157" i="2" s="1"/>
  <c r="M1158" i="2" a="1"/>
  <c r="M1158" i="2" s="1"/>
  <c r="M1159" i="2" a="1"/>
  <c r="M1159" i="2" s="1"/>
  <c r="M1160" i="2" a="1"/>
  <c r="M1160" i="2" s="1"/>
  <c r="M1161" i="2" a="1"/>
  <c r="M1161" i="2" s="1"/>
  <c r="M1162" i="2" a="1"/>
  <c r="M1162" i="2" s="1"/>
  <c r="M1163" i="2" a="1"/>
  <c r="M1163" i="2" s="1"/>
  <c r="M1164" i="2" a="1"/>
  <c r="M1164" i="2" s="1"/>
  <c r="M1165" i="2" a="1"/>
  <c r="M1165" i="2" s="1"/>
  <c r="M1166" i="2" a="1"/>
  <c r="M1166" i="2" s="1"/>
  <c r="M1167" i="2" a="1"/>
  <c r="M1167" i="2" s="1"/>
  <c r="M1168" i="2" a="1"/>
  <c r="M1168" i="2" s="1"/>
  <c r="M1169" i="2" a="1"/>
  <c r="M1169" i="2" s="1"/>
  <c r="M1170" i="2" a="1"/>
  <c r="M1170" i="2" s="1"/>
  <c r="M1171" i="2" a="1"/>
  <c r="M1171" i="2" s="1"/>
  <c r="M1172" i="2" a="1"/>
  <c r="M1172" i="2" s="1"/>
  <c r="M1173" i="2" a="1"/>
  <c r="M1173" i="2" s="1"/>
  <c r="M1174" i="2" a="1"/>
  <c r="M1174" i="2" s="1"/>
  <c r="M1175" i="2" a="1"/>
  <c r="M1175" i="2" s="1"/>
  <c r="M1176" i="2" a="1"/>
  <c r="M1176" i="2" s="1"/>
  <c r="M1177" i="2" a="1"/>
  <c r="M1177" i="2" s="1"/>
  <c r="M1178" i="2" a="1"/>
  <c r="M1178" i="2" s="1"/>
  <c r="M1179" i="2" a="1"/>
  <c r="M1179" i="2" s="1"/>
  <c r="M1180" i="2" a="1"/>
  <c r="M1180" i="2" s="1"/>
  <c r="M1181" i="2" a="1"/>
  <c r="M1181" i="2" s="1"/>
  <c r="M1182" i="2" a="1"/>
  <c r="M1182" i="2" s="1"/>
  <c r="M1183" i="2" a="1"/>
  <c r="M1183" i="2" s="1"/>
  <c r="M1184" i="2" a="1"/>
  <c r="M1184" i="2" s="1"/>
  <c r="M1185" i="2" a="1"/>
  <c r="M1185" i="2" s="1"/>
  <c r="M1186" i="2" a="1"/>
  <c r="M1186" i="2" s="1"/>
  <c r="M1187" i="2" a="1"/>
  <c r="M1187" i="2" s="1"/>
  <c r="M1188" i="2" a="1"/>
  <c r="M1188" i="2" s="1"/>
  <c r="M1189" i="2" a="1"/>
  <c r="M1189" i="2"/>
  <c r="M1190" i="2" a="1"/>
  <c r="M1190" i="2" s="1"/>
  <c r="M1191" i="2" a="1"/>
  <c r="M1191" i="2" s="1"/>
  <c r="M1192" i="2" a="1"/>
  <c r="M1192" i="2" s="1"/>
  <c r="M1193" i="2" a="1"/>
  <c r="M1193" i="2" s="1"/>
  <c r="M1194" i="2" a="1"/>
  <c r="M1194" i="2" s="1"/>
  <c r="M1195" i="2" a="1"/>
  <c r="M1195" i="2" s="1"/>
  <c r="M1196" i="2" a="1"/>
  <c r="M1196" i="2" s="1"/>
  <c r="M1197" i="2" a="1"/>
  <c r="M1197" i="2" s="1"/>
  <c r="M1198" i="2" a="1"/>
  <c r="M1198" i="2" s="1"/>
  <c r="M1199" i="2" a="1"/>
  <c r="M1199" i="2" s="1"/>
  <c r="M1200" i="2" a="1"/>
  <c r="M1200" i="2" s="1"/>
  <c r="M1201" i="2" a="1"/>
  <c r="M1201" i="2" s="1"/>
  <c r="M1202" i="2" a="1"/>
  <c r="M1202" i="2" s="1"/>
  <c r="M1203" i="2" a="1"/>
  <c r="M1203" i="2" s="1"/>
  <c r="M1204" i="2" a="1"/>
  <c r="M1204" i="2" s="1"/>
  <c r="M1205" i="2" a="1"/>
  <c r="M1205" i="2" s="1"/>
  <c r="M1206" i="2" a="1"/>
  <c r="M1206" i="2" s="1"/>
  <c r="M1207" i="2" a="1"/>
  <c r="M1207" i="2" s="1"/>
  <c r="M1208" i="2" a="1"/>
  <c r="M1208" i="2" s="1"/>
  <c r="M1209" i="2" a="1"/>
  <c r="M1209" i="2" s="1"/>
  <c r="M1210" i="2" a="1"/>
  <c r="M1210" i="2" s="1"/>
  <c r="M1211" i="2" a="1"/>
  <c r="M1211" i="2" s="1"/>
  <c r="M1212" i="2" a="1"/>
  <c r="M1212" i="2"/>
  <c r="M1213" i="2" a="1"/>
  <c r="M1213" i="2" s="1"/>
  <c r="M1214" i="2" a="1"/>
  <c r="M1214" i="2" s="1"/>
  <c r="M1215" i="2" a="1"/>
  <c r="M1215" i="2" s="1"/>
  <c r="M1216" i="2" a="1"/>
  <c r="M1216" i="2" s="1"/>
  <c r="M1217" i="2" a="1"/>
  <c r="M1217" i="2" s="1"/>
  <c r="M1218" i="2" a="1"/>
  <c r="M1218" i="2" s="1"/>
  <c r="M1219" i="2" a="1"/>
  <c r="M1219" i="2" s="1"/>
  <c r="M1220" i="2" a="1"/>
  <c r="M1220" i="2" s="1"/>
  <c r="M1221" i="2" a="1"/>
  <c r="M1221" i="2" s="1"/>
  <c r="M1222" i="2" a="1"/>
  <c r="M1222" i="2" s="1"/>
  <c r="M1223" i="2" a="1"/>
  <c r="M1223" i="2" s="1"/>
  <c r="M1224" i="2" a="1"/>
  <c r="M1224" i="2" s="1"/>
  <c r="M1225" i="2" a="1"/>
  <c r="M1225" i="2" s="1"/>
  <c r="M1226" i="2" a="1"/>
  <c r="M1226" i="2" s="1"/>
  <c r="M1227" i="2" a="1"/>
  <c r="M1227" i="2" s="1"/>
  <c r="M1228" i="2" a="1"/>
  <c r="M1228" i="2" s="1"/>
  <c r="M1229" i="2" a="1"/>
  <c r="M1229" i="2" s="1"/>
  <c r="M1230" i="2" a="1"/>
  <c r="M1230" i="2" s="1"/>
  <c r="M1231" i="2" a="1"/>
  <c r="M1231" i="2" s="1"/>
  <c r="M1232" i="2" a="1"/>
  <c r="M1232" i="2" s="1"/>
  <c r="M1233" i="2" a="1"/>
  <c r="M1233" i="2" s="1"/>
  <c r="M1234" i="2" a="1"/>
  <c r="M1234" i="2" s="1"/>
  <c r="M1235" i="2" a="1"/>
  <c r="M1235" i="2" s="1"/>
  <c r="M1236" i="2" a="1"/>
  <c r="M1236" i="2" s="1"/>
  <c r="M1237" i="2" a="1"/>
  <c r="M1237" i="2" s="1"/>
  <c r="M1238" i="2" a="1"/>
  <c r="M1238" i="2" s="1"/>
  <c r="M1239" i="2" a="1"/>
  <c r="M1239" i="2" s="1"/>
  <c r="M1240" i="2" a="1"/>
  <c r="M1240" i="2" s="1"/>
  <c r="M1241" i="2" a="1"/>
  <c r="M1241" i="2" s="1"/>
  <c r="M1242" i="2" a="1"/>
  <c r="M1242" i="2" s="1"/>
  <c r="M1243" i="2" a="1"/>
  <c r="M1243" i="2" s="1"/>
  <c r="M1244" i="2" a="1"/>
  <c r="M1244" i="2" s="1"/>
  <c r="M1245" i="2" a="1"/>
  <c r="M1245" i="2" s="1"/>
  <c r="M1246" i="2" a="1"/>
  <c r="M1246" i="2" s="1"/>
  <c r="M1247" i="2" a="1"/>
  <c r="M1247" i="2" s="1"/>
  <c r="M1248" i="2" a="1"/>
  <c r="M1248" i="2" s="1"/>
  <c r="M1249" i="2" a="1"/>
  <c r="M1249" i="2" s="1"/>
  <c r="M1250" i="2" a="1"/>
  <c r="M1250" i="2" s="1"/>
  <c r="M1251" i="2" a="1"/>
  <c r="M1251" i="2" s="1"/>
  <c r="M1252" i="2" a="1"/>
  <c r="M1252" i="2" s="1"/>
  <c r="M1253" i="2" a="1"/>
  <c r="M1253" i="2" s="1"/>
  <c r="M1254" i="2" a="1"/>
  <c r="M1254" i="2" s="1"/>
  <c r="M1255" i="2" a="1"/>
  <c r="M1255" i="2" s="1"/>
  <c r="M1256" i="2" a="1"/>
  <c r="M1256" i="2" s="1"/>
  <c r="M1257" i="2" a="1"/>
  <c r="M1257" i="2" s="1"/>
  <c r="M1258" i="2" a="1"/>
  <c r="M1258" i="2" s="1"/>
  <c r="M1259" i="2" a="1"/>
  <c r="M1259" i="2" s="1"/>
  <c r="M1260" i="2" a="1"/>
  <c r="M1260" i="2" s="1"/>
  <c r="M1261" i="2" a="1"/>
  <c r="M1261" i="2" s="1"/>
  <c r="M1262" i="2" a="1"/>
  <c r="M1262" i="2" s="1"/>
  <c r="M1263" i="2" a="1"/>
  <c r="M1263" i="2" s="1"/>
  <c r="M1264" i="2" a="1"/>
  <c r="M1264" i="2" s="1"/>
  <c r="M1265" i="2" a="1"/>
  <c r="M1265" i="2" s="1"/>
  <c r="M1266" i="2" a="1"/>
  <c r="M1266" i="2" s="1"/>
  <c r="M1267" i="2" a="1"/>
  <c r="M1267" i="2"/>
  <c r="M1268" i="2" a="1"/>
  <c r="M1268" i="2" s="1"/>
  <c r="M1269" i="2" a="1"/>
  <c r="M1269" i="2" s="1"/>
  <c r="M1270" i="2" a="1"/>
  <c r="M1270" i="2" s="1"/>
  <c r="M1271" i="2" a="1"/>
  <c r="M1271" i="2" s="1"/>
  <c r="M1272" i="2" a="1"/>
  <c r="M1272" i="2" s="1"/>
  <c r="M1273" i="2" a="1"/>
  <c r="M1273" i="2" s="1"/>
  <c r="M1274" i="2" a="1"/>
  <c r="M1274" i="2" s="1"/>
  <c r="M1275" i="2" a="1"/>
  <c r="M1275" i="2" s="1"/>
  <c r="M1276" i="2" a="1"/>
  <c r="M1276" i="2" s="1"/>
  <c r="M1277" i="2" a="1"/>
  <c r="M1277" i="2" s="1"/>
  <c r="M1278" i="2" a="1"/>
  <c r="M1278" i="2" s="1"/>
  <c r="M1279" i="2" a="1"/>
  <c r="M1279" i="2" s="1"/>
  <c r="M1280" i="2" a="1"/>
  <c r="M1280" i="2" s="1"/>
  <c r="M1281" i="2" a="1"/>
  <c r="M1281" i="2" s="1"/>
  <c r="M1282" i="2" a="1"/>
  <c r="M1282" i="2" s="1"/>
  <c r="M1283" i="2" a="1"/>
  <c r="M1283" i="2" s="1"/>
  <c r="M1284" i="2" a="1"/>
  <c r="M1284" i="2" s="1"/>
  <c r="M1285" i="2" a="1"/>
  <c r="M1285" i="2" s="1"/>
  <c r="M1286" i="2" a="1"/>
  <c r="M1286" i="2" s="1"/>
  <c r="M1287" i="2" a="1"/>
  <c r="M1287" i="2" s="1"/>
  <c r="M1288" i="2" a="1"/>
  <c r="M1288" i="2" s="1"/>
  <c r="M1289" i="2" a="1"/>
  <c r="M1289" i="2" s="1"/>
  <c r="M1290" i="2" a="1"/>
  <c r="M1290" i="2" s="1"/>
  <c r="M1291" i="2" a="1"/>
  <c r="M1291" i="2" s="1"/>
  <c r="M1292" i="2" a="1"/>
  <c r="M1292" i="2" s="1"/>
  <c r="M1293" i="2" a="1"/>
  <c r="M1293" i="2" s="1"/>
  <c r="M1294" i="2" a="1"/>
  <c r="M1294" i="2" s="1"/>
  <c r="M1295" i="2" a="1"/>
  <c r="M1295" i="2" s="1"/>
  <c r="M1296" i="2" a="1"/>
  <c r="M1296" i="2" s="1"/>
  <c r="M1297" i="2" a="1"/>
  <c r="M1297" i="2" s="1"/>
  <c r="M1298" i="2" a="1"/>
  <c r="M1298" i="2" s="1"/>
  <c r="M1299" i="2" a="1"/>
  <c r="M1299" i="2" s="1"/>
  <c r="M1300" i="2" a="1"/>
  <c r="M1300" i="2" s="1"/>
  <c r="M1301" i="2" a="1"/>
  <c r="M1301" i="2" s="1"/>
  <c r="M1302" i="2" a="1"/>
  <c r="M1302" i="2" s="1"/>
  <c r="M1303" i="2" a="1"/>
  <c r="M1303" i="2" s="1"/>
  <c r="M1304" i="2" a="1"/>
  <c r="M1304" i="2" s="1"/>
  <c r="M1305" i="2" a="1"/>
  <c r="M1305" i="2" s="1"/>
  <c r="M1306" i="2" a="1"/>
  <c r="M1306" i="2" s="1"/>
  <c r="M1307" i="2" a="1"/>
  <c r="M1307" i="2" s="1"/>
  <c r="M1308" i="2" a="1"/>
  <c r="M1308" i="2" s="1"/>
  <c r="M1309" i="2" a="1"/>
  <c r="M1309" i="2" s="1"/>
  <c r="M1310" i="2" a="1"/>
  <c r="M1310" i="2" s="1"/>
  <c r="M1311" i="2" a="1"/>
  <c r="M1311" i="2" s="1"/>
  <c r="M1312" i="2" a="1"/>
  <c r="M1312" i="2" s="1"/>
  <c r="M1313" i="2" a="1"/>
  <c r="M1313" i="2" s="1"/>
  <c r="M1314" i="2" a="1"/>
  <c r="M1314" i="2" s="1"/>
  <c r="M1315" i="2" a="1"/>
  <c r="M1315" i="2" s="1"/>
  <c r="M1316" i="2" a="1"/>
  <c r="M1316" i="2" s="1"/>
  <c r="M1317" i="2" a="1"/>
  <c r="M1317" i="2" s="1"/>
  <c r="M1318" i="2" a="1"/>
  <c r="M1318" i="2" s="1"/>
  <c r="M1319" i="2" a="1"/>
  <c r="M1319" i="2" s="1"/>
  <c r="M1320" i="2" a="1"/>
  <c r="M1320" i="2" s="1"/>
  <c r="M1321" i="2" a="1"/>
  <c r="M1321" i="2" s="1"/>
  <c r="M1322" i="2" a="1"/>
  <c r="M1322" i="2" s="1"/>
  <c r="M1323" i="2" a="1"/>
  <c r="M1323" i="2" s="1"/>
  <c r="M1324" i="2" a="1"/>
  <c r="M1324" i="2" s="1"/>
  <c r="M1325" i="2" a="1"/>
  <c r="M1325" i="2" s="1"/>
  <c r="M1326" i="2" a="1"/>
  <c r="M1326" i="2" s="1"/>
  <c r="M1327" i="2" a="1"/>
  <c r="M1327" i="2" s="1"/>
  <c r="M1328" i="2" a="1"/>
  <c r="M1328" i="2" s="1"/>
  <c r="M1329" i="2" a="1"/>
  <c r="M1329" i="2" s="1"/>
  <c r="M1330" i="2" a="1"/>
  <c r="M1330" i="2" s="1"/>
  <c r="M1331" i="2" a="1"/>
  <c r="M1331" i="2" s="1"/>
  <c r="M1332" i="2" a="1"/>
  <c r="M1332" i="2" s="1"/>
  <c r="M1333" i="2" a="1"/>
  <c r="M1333" i="2" s="1"/>
  <c r="M1334" i="2" a="1"/>
  <c r="M1334" i="2" s="1"/>
  <c r="M1335" i="2" a="1"/>
  <c r="M1335" i="2" s="1"/>
  <c r="M1336" i="2" a="1"/>
  <c r="M1336" i="2" s="1"/>
  <c r="M1337" i="2" a="1"/>
  <c r="M1337" i="2" s="1"/>
  <c r="M1338" i="2" a="1"/>
  <c r="M1338" i="2" s="1"/>
  <c r="M1339" i="2" a="1"/>
  <c r="M1339" i="2" s="1"/>
  <c r="M1340" i="2" a="1"/>
  <c r="M1340" i="2" s="1"/>
  <c r="M1341" i="2" a="1"/>
  <c r="M1341" i="2"/>
  <c r="M1342" i="2" a="1"/>
  <c r="M1342" i="2" s="1"/>
  <c r="M1343" i="2" a="1"/>
  <c r="M1343" i="2" s="1"/>
  <c r="M1344" i="2" a="1"/>
  <c r="M1344" i="2" s="1"/>
  <c r="M1345" i="2" a="1"/>
  <c r="M1345" i="2" s="1"/>
  <c r="M1346" i="2" a="1"/>
  <c r="M1346" i="2" s="1"/>
  <c r="M1347" i="2" a="1"/>
  <c r="M1347" i="2" s="1"/>
  <c r="M1348" i="2" a="1"/>
  <c r="M1348" i="2" s="1"/>
  <c r="M1349" i="2" a="1"/>
  <c r="M1349" i="2" s="1"/>
  <c r="M1350" i="2" a="1"/>
  <c r="M1350" i="2" s="1"/>
  <c r="M1351" i="2" a="1"/>
  <c r="M1351" i="2" s="1"/>
  <c r="M1352" i="2" a="1"/>
  <c r="M1352" i="2" s="1"/>
  <c r="M1353" i="2" a="1"/>
  <c r="M1353" i="2" s="1"/>
  <c r="M1354" i="2" a="1"/>
  <c r="M1354" i="2" s="1"/>
  <c r="M1355" i="2" a="1"/>
  <c r="M1355" i="2" s="1"/>
  <c r="M1356" i="2" a="1"/>
  <c r="M1356" i="2" s="1"/>
  <c r="M1357" i="2" a="1"/>
  <c r="M1357" i="2" s="1"/>
  <c r="M1358" i="2" a="1"/>
  <c r="M1358" i="2" s="1"/>
  <c r="M1359" i="2" a="1"/>
  <c r="M1359" i="2" s="1"/>
  <c r="M1360" i="2" a="1"/>
  <c r="M1360" i="2" s="1"/>
  <c r="M1361" i="2" a="1"/>
  <c r="M1361" i="2" s="1"/>
  <c r="M1362" i="2" a="1"/>
  <c r="M1362" i="2" s="1"/>
  <c r="M1363" i="2" a="1"/>
  <c r="M1363" i="2"/>
  <c r="M1364" i="2" a="1"/>
  <c r="M1364" i="2" s="1"/>
  <c r="M1365" i="2" a="1"/>
  <c r="M1365" i="2" s="1"/>
  <c r="M1366" i="2" a="1"/>
  <c r="M1366" i="2" s="1"/>
  <c r="M1367" i="2" a="1"/>
  <c r="M1367" i="2" s="1"/>
  <c r="M1368" i="2" a="1"/>
  <c r="M1368" i="2" s="1"/>
  <c r="M1369" i="2" a="1"/>
  <c r="M1369" i="2" s="1"/>
  <c r="M1370" i="2" a="1"/>
  <c r="M1370" i="2" s="1"/>
  <c r="M1371" i="2" a="1"/>
  <c r="M1371" i="2" s="1"/>
  <c r="M1372" i="2" a="1"/>
  <c r="M1372" i="2" s="1"/>
  <c r="M1373" i="2" a="1"/>
  <c r="M1373" i="2"/>
  <c r="M1374" i="2" a="1"/>
  <c r="M1374" i="2" s="1"/>
  <c r="M1375" i="2" a="1"/>
  <c r="M1375" i="2" s="1"/>
  <c r="M1376" i="2" a="1"/>
  <c r="M1376" i="2" s="1"/>
  <c r="M1377" i="2" a="1"/>
  <c r="M1377" i="2" s="1"/>
  <c r="M1378" i="2" a="1"/>
  <c r="M1378" i="2" s="1"/>
  <c r="M1379" i="2" a="1"/>
  <c r="M1379" i="2" s="1"/>
  <c r="M1380" i="2" a="1"/>
  <c r="M1380" i="2" s="1"/>
  <c r="M1381" i="2" a="1"/>
  <c r="M1381" i="2" s="1"/>
  <c r="M1382" i="2" a="1"/>
  <c r="M1382" i="2" s="1"/>
  <c r="M1383" i="2" a="1"/>
  <c r="M1383" i="2" s="1"/>
  <c r="M1384" i="2" a="1"/>
  <c r="M1384" i="2" s="1"/>
  <c r="M1385" i="2" a="1"/>
  <c r="M1385" i="2" s="1"/>
  <c r="M1386" i="2" a="1"/>
  <c r="M1386" i="2" s="1"/>
  <c r="M1387" i="2" a="1"/>
  <c r="M1387" i="2"/>
  <c r="M1388" i="2" a="1"/>
  <c r="M1388" i="2" s="1"/>
  <c r="M1389" i="2" a="1"/>
  <c r="M1389" i="2" s="1"/>
  <c r="M1390" i="2" a="1"/>
  <c r="M1390" i="2" s="1"/>
  <c r="M1391" i="2" a="1"/>
  <c r="M1391" i="2" s="1"/>
  <c r="M1392" i="2" a="1"/>
  <c r="M1392" i="2" s="1"/>
  <c r="M1393" i="2" a="1"/>
  <c r="M1393" i="2" s="1"/>
  <c r="M1394" i="2" a="1"/>
  <c r="M1394" i="2" s="1"/>
  <c r="M1395" i="2" a="1"/>
  <c r="M1395" i="2" s="1"/>
  <c r="M1396" i="2" a="1"/>
  <c r="M1396" i="2" s="1"/>
  <c r="M1397" i="2" a="1"/>
  <c r="M1397" i="2" s="1"/>
  <c r="M1398" i="2" a="1"/>
  <c r="M1398" i="2" s="1"/>
  <c r="M1399" i="2" a="1"/>
  <c r="M1399" i="2" s="1"/>
  <c r="M1400" i="2" a="1"/>
  <c r="M1400" i="2" s="1"/>
  <c r="M1401" i="2" a="1"/>
  <c r="M1401" i="2" s="1"/>
  <c r="M1402" i="2" a="1"/>
  <c r="M1402" i="2" s="1"/>
  <c r="M1403" i="2" a="1"/>
  <c r="M1403" i="2" s="1"/>
  <c r="M1404" i="2" a="1"/>
  <c r="M1404" i="2" s="1"/>
  <c r="M1405" i="2" a="1"/>
  <c r="M1405" i="2" s="1"/>
  <c r="M1406" i="2" a="1"/>
  <c r="M1406" i="2" s="1"/>
  <c r="M1407" i="2" a="1"/>
  <c r="M1407" i="2" s="1"/>
  <c r="M1408" i="2" a="1"/>
  <c r="M1408" i="2" s="1"/>
  <c r="M1409" i="2" a="1"/>
  <c r="M1409" i="2" s="1"/>
  <c r="M1410" i="2" a="1"/>
  <c r="M1410" i="2" s="1"/>
  <c r="M1411" i="2" a="1"/>
  <c r="M1411" i="2" s="1"/>
  <c r="M1412" i="2" a="1"/>
  <c r="M1412" i="2" s="1"/>
  <c r="M1413" i="2" a="1"/>
  <c r="M1413" i="2" s="1"/>
  <c r="M1414" i="2" a="1"/>
  <c r="M1414" i="2" s="1"/>
  <c r="M1415" i="2" a="1"/>
  <c r="M1415" i="2" s="1"/>
  <c r="M1416" i="2" a="1"/>
  <c r="M1416" i="2" s="1"/>
  <c r="M1417" i="2" a="1"/>
  <c r="M1417" i="2" s="1"/>
  <c r="M1418" i="2" a="1"/>
  <c r="M1418" i="2" s="1"/>
  <c r="M1419" i="2" a="1"/>
  <c r="M1419" i="2" s="1"/>
  <c r="M1420" i="2" a="1"/>
  <c r="M1420" i="2" s="1"/>
  <c r="M1421" i="2" a="1"/>
  <c r="M1421" i="2" s="1"/>
  <c r="M1422" i="2" a="1"/>
  <c r="M1422" i="2" s="1"/>
  <c r="M1423" i="2" a="1"/>
  <c r="M1423" i="2" s="1"/>
  <c r="M1424" i="2" a="1"/>
  <c r="M1424" i="2" s="1"/>
  <c r="M1425" i="2" a="1"/>
  <c r="M1425" i="2" s="1"/>
  <c r="M1426" i="2" a="1"/>
  <c r="M1426" i="2" s="1"/>
  <c r="M1427" i="2" a="1"/>
  <c r="M1427" i="2"/>
  <c r="M1428" i="2" a="1"/>
  <c r="M1428" i="2" s="1"/>
  <c r="M1429" i="2" a="1"/>
  <c r="M1429" i="2" s="1"/>
  <c r="M1430" i="2" a="1"/>
  <c r="M1430" i="2" s="1"/>
  <c r="M1431" i="2" a="1"/>
  <c r="M1431" i="2" s="1"/>
  <c r="M1432" i="2" a="1"/>
  <c r="M1432" i="2" s="1"/>
  <c r="M1433" i="2" a="1"/>
  <c r="M1433" i="2" s="1"/>
  <c r="M1434" i="2" a="1"/>
  <c r="M1434" i="2" s="1"/>
  <c r="M1435" i="2" a="1"/>
  <c r="M1435" i="2" s="1"/>
  <c r="M1436" i="2" a="1"/>
  <c r="M1436" i="2" s="1"/>
  <c r="M1437" i="2" a="1"/>
  <c r="M1437" i="2" s="1"/>
  <c r="M1438" i="2" a="1"/>
  <c r="M1438" i="2" s="1"/>
  <c r="M1439" i="2" a="1"/>
  <c r="M1439" i="2" s="1"/>
  <c r="M1440" i="2" a="1"/>
  <c r="M1440" i="2" s="1"/>
  <c r="M1441" i="2" a="1"/>
  <c r="M1441" i="2" s="1"/>
  <c r="M1442" i="2" a="1"/>
  <c r="M1442" i="2" s="1"/>
  <c r="M1443" i="2" a="1"/>
  <c r="M1443" i="2" s="1"/>
  <c r="M1444" i="2" a="1"/>
  <c r="M1444" i="2" s="1"/>
  <c r="M1445" i="2" a="1"/>
  <c r="M1445" i="2" s="1"/>
  <c r="M1446" i="2" a="1"/>
  <c r="M1446" i="2" s="1"/>
  <c r="M1447" i="2" a="1"/>
  <c r="M1447" i="2" s="1"/>
  <c r="M1448" i="2" a="1"/>
  <c r="M1448" i="2" s="1"/>
  <c r="M1449" i="2" a="1"/>
  <c r="M1449" i="2" s="1"/>
  <c r="M1450" i="2" a="1"/>
  <c r="M1450" i="2" s="1"/>
  <c r="M1451" i="2" a="1"/>
  <c r="M1451" i="2" s="1"/>
  <c r="M1452" i="2" a="1"/>
  <c r="M1452" i="2" s="1"/>
  <c r="M1453" i="2" a="1"/>
  <c r="M1453" i="2" s="1"/>
  <c r="M1454" i="2" a="1"/>
  <c r="M1454" i="2" s="1"/>
  <c r="M1455" i="2" a="1"/>
  <c r="M1455" i="2" s="1"/>
  <c r="M1456" i="2" a="1"/>
  <c r="M1456" i="2" s="1"/>
  <c r="M1457" i="2" a="1"/>
  <c r="M1457" i="2" s="1"/>
  <c r="M1458" i="2" a="1"/>
  <c r="M1458" i="2" s="1"/>
  <c r="M1459" i="2" a="1"/>
  <c r="M1459" i="2" s="1"/>
  <c r="M1460" i="2" a="1"/>
  <c r="M1460" i="2" s="1"/>
  <c r="M1461" i="2" a="1"/>
  <c r="M1461" i="2" s="1"/>
  <c r="M1462" i="2" a="1"/>
  <c r="M1462" i="2" s="1"/>
  <c r="M1463" i="2" a="1"/>
  <c r="M1463" i="2" s="1"/>
  <c r="M1464" i="2" a="1"/>
  <c r="M1464" i="2" s="1"/>
  <c r="M1465" i="2" a="1"/>
  <c r="M1465" i="2" s="1"/>
  <c r="M1466" i="2" a="1"/>
  <c r="M1466" i="2" s="1"/>
  <c r="M1467" i="2" a="1"/>
  <c r="M1467" i="2" s="1"/>
  <c r="M1468" i="2" a="1"/>
  <c r="M1468" i="2" s="1"/>
  <c r="M1469" i="2" a="1"/>
  <c r="M1469" i="2" s="1"/>
  <c r="M1470" i="2" a="1"/>
  <c r="M1470" i="2" s="1"/>
  <c r="M1471" i="2" a="1"/>
  <c r="M1471" i="2" s="1"/>
  <c r="M1472" i="2" a="1"/>
  <c r="M1472" i="2" s="1"/>
  <c r="M1473" i="2" a="1"/>
  <c r="M1473" i="2" s="1"/>
  <c r="M1474" i="2" a="1"/>
  <c r="M1474" i="2" s="1"/>
  <c r="M1475" i="2" a="1"/>
  <c r="M1475" i="2" s="1"/>
  <c r="M1476" i="2" a="1"/>
  <c r="M1476" i="2" s="1"/>
  <c r="M1477" i="2" a="1"/>
  <c r="M1477" i="2" s="1"/>
  <c r="M1478" i="2" a="1"/>
  <c r="M1478" i="2" s="1"/>
  <c r="M1479" i="2" a="1"/>
  <c r="M1479" i="2" s="1"/>
  <c r="M1480" i="2" a="1"/>
  <c r="M1480" i="2" s="1"/>
  <c r="M1481" i="2" a="1"/>
  <c r="M1481" i="2" s="1"/>
  <c r="M1482" i="2" a="1"/>
  <c r="M1482" i="2" s="1"/>
  <c r="M1483" i="2" a="1"/>
  <c r="M1483" i="2" s="1"/>
  <c r="M1484" i="2" a="1"/>
  <c r="M1484" i="2" s="1"/>
  <c r="M1485" i="2" a="1"/>
  <c r="M1485" i="2" s="1"/>
  <c r="M1486" i="2" a="1"/>
  <c r="M1486" i="2" s="1"/>
  <c r="M1487" i="2" a="1"/>
  <c r="M1487" i="2" s="1"/>
  <c r="M1488" i="2" a="1"/>
  <c r="M1488" i="2" s="1"/>
  <c r="M1489" i="2" a="1"/>
  <c r="M1489" i="2" s="1"/>
  <c r="M1490" i="2" a="1"/>
  <c r="M1490" i="2" s="1"/>
  <c r="M1491" i="2" a="1"/>
  <c r="M1491" i="2" s="1"/>
  <c r="M1492" i="2" a="1"/>
  <c r="M1492" i="2" s="1"/>
  <c r="M1493" i="2" a="1"/>
  <c r="M1493" i="2" s="1"/>
  <c r="M1494" i="2" a="1"/>
  <c r="M1494" i="2" s="1"/>
  <c r="M1495" i="2" a="1"/>
  <c r="M1495" i="2" s="1"/>
  <c r="M1496" i="2" a="1"/>
  <c r="M1496" i="2" s="1"/>
  <c r="M1497" i="2" a="1"/>
  <c r="M1497" i="2" s="1"/>
  <c r="M1498" i="2" a="1"/>
  <c r="M1498" i="2" s="1"/>
  <c r="M1499" i="2" a="1"/>
  <c r="M1499" i="2" s="1"/>
  <c r="M1500" i="2" a="1"/>
  <c r="M1500" i="2" s="1"/>
  <c r="M1501" i="2" a="1"/>
  <c r="M1501" i="2" s="1"/>
  <c r="M1502" i="2" a="1"/>
  <c r="M1502" i="2" s="1"/>
  <c r="M1503" i="2" a="1"/>
  <c r="M1503" i="2" s="1"/>
  <c r="M1504" i="2" a="1"/>
  <c r="M1504" i="2" s="1"/>
  <c r="M1505" i="2" a="1"/>
  <c r="M1505" i="2" s="1"/>
  <c r="M1506" i="2" a="1"/>
  <c r="M1506" i="2" s="1"/>
  <c r="M1507" i="2" a="1"/>
  <c r="M1507" i="2" s="1"/>
  <c r="M1508" i="2" a="1"/>
  <c r="M1508" i="2" s="1"/>
  <c r="M1509" i="2" a="1"/>
  <c r="M1509" i="2" s="1"/>
  <c r="M1510" i="2" a="1"/>
  <c r="M1510" i="2" s="1"/>
  <c r="M1511" i="2" a="1"/>
  <c r="M1511" i="2" s="1"/>
  <c r="M1512" i="2" a="1"/>
  <c r="M1512" i="2" s="1"/>
  <c r="M1513" i="2" a="1"/>
  <c r="M1513" i="2" s="1"/>
  <c r="M1514" i="2" a="1"/>
  <c r="M1514" i="2" s="1"/>
  <c r="M1515" i="2" a="1"/>
  <c r="M1515" i="2"/>
  <c r="M1516" i="2" a="1"/>
  <c r="M1516" i="2" s="1"/>
  <c r="M1517" i="2" a="1"/>
  <c r="M1517" i="2" s="1"/>
  <c r="M1518" i="2" a="1"/>
  <c r="M1518" i="2" s="1"/>
  <c r="M1519" i="2" a="1"/>
  <c r="M1519" i="2" s="1"/>
  <c r="M1520" i="2" a="1"/>
  <c r="M1520" i="2" s="1"/>
  <c r="M1521" i="2" a="1"/>
  <c r="M1521" i="2" s="1"/>
  <c r="M1522" i="2" a="1"/>
  <c r="M1522" i="2" s="1"/>
  <c r="M1523" i="2" a="1"/>
  <c r="M1523" i="2" s="1"/>
  <c r="M1524" i="2" a="1"/>
  <c r="M1524" i="2" s="1"/>
  <c r="M1525" i="2" a="1"/>
  <c r="M1525" i="2" s="1"/>
  <c r="M1526" i="2" a="1"/>
  <c r="M1526" i="2" s="1"/>
  <c r="M1527" i="2" a="1"/>
  <c r="M1527" i="2" s="1"/>
  <c r="M1528" i="2" a="1"/>
  <c r="M1528" i="2" s="1"/>
  <c r="M1529" i="2" a="1"/>
  <c r="M1529" i="2" s="1"/>
  <c r="M1530" i="2" a="1"/>
  <c r="M1530" i="2" s="1"/>
  <c r="M1531" i="2" a="1"/>
  <c r="M1531" i="2" s="1"/>
  <c r="M1532" i="2" a="1"/>
  <c r="M1532" i="2" s="1"/>
  <c r="M1533" i="2" a="1"/>
  <c r="M1533" i="2" s="1"/>
  <c r="M1534" i="2" a="1"/>
  <c r="M1534" i="2" s="1"/>
  <c r="M1535" i="2" a="1"/>
  <c r="M1535" i="2" s="1"/>
  <c r="M1536" i="2" a="1"/>
  <c r="M1536" i="2" s="1"/>
  <c r="M1537" i="2" a="1"/>
  <c r="M1537" i="2" s="1"/>
  <c r="M1538" i="2" a="1"/>
  <c r="M1538" i="2" s="1"/>
  <c r="M1539" i="2" a="1"/>
  <c r="M1539" i="2" s="1"/>
  <c r="M1540" i="2" a="1"/>
  <c r="M1540" i="2" s="1"/>
  <c r="M1541" i="2" a="1"/>
  <c r="M1541" i="2" s="1"/>
  <c r="M1542" i="2" a="1"/>
  <c r="M1542" i="2" s="1"/>
  <c r="M1543" i="2" a="1"/>
  <c r="M1543" i="2" s="1"/>
  <c r="M1544" i="2" a="1"/>
  <c r="M1544" i="2" s="1"/>
  <c r="M1545" i="2" a="1"/>
  <c r="M1545" i="2" s="1"/>
  <c r="M1546" i="2" a="1"/>
  <c r="M1546" i="2" s="1"/>
  <c r="M1547" i="2" a="1"/>
  <c r="M1547" i="2" s="1"/>
  <c r="M1548" i="2" a="1"/>
  <c r="M1548" i="2" s="1"/>
  <c r="M1549" i="2" a="1"/>
  <c r="M1549" i="2" s="1"/>
  <c r="M1550" i="2" a="1"/>
  <c r="M1550" i="2" s="1"/>
  <c r="M1551" i="2" a="1"/>
  <c r="M1551" i="2" s="1"/>
  <c r="M1552" i="2" a="1"/>
  <c r="M1552" i="2" s="1"/>
  <c r="M1553" i="2" a="1"/>
  <c r="M1553" i="2" s="1"/>
  <c r="M1554" i="2" a="1"/>
  <c r="M1554" i="2" s="1"/>
  <c r="M1555" i="2" a="1"/>
  <c r="M1555" i="2" s="1"/>
  <c r="M1556" i="2" a="1"/>
  <c r="M1556" i="2" s="1"/>
  <c r="M1557" i="2" a="1"/>
  <c r="M1557" i="2" s="1"/>
  <c r="M1558" i="2" a="1"/>
  <c r="M1558" i="2" s="1"/>
  <c r="M1559" i="2" a="1"/>
  <c r="M1559" i="2" s="1"/>
  <c r="M1560" i="2" a="1"/>
  <c r="M1560" i="2" s="1"/>
  <c r="M1561" i="2" a="1"/>
  <c r="M1561" i="2" s="1"/>
  <c r="M1562" i="2" a="1"/>
  <c r="M1562" i="2" s="1"/>
  <c r="M1563" i="2" a="1"/>
  <c r="M1563" i="2" s="1"/>
  <c r="M1564" i="2" a="1"/>
  <c r="M1564" i="2" s="1"/>
  <c r="M1565" i="2" a="1"/>
  <c r="M1565" i="2" s="1"/>
  <c r="M1566" i="2" a="1"/>
  <c r="M1566" i="2" s="1"/>
  <c r="M1567" i="2" a="1"/>
  <c r="M1567" i="2" s="1"/>
  <c r="M1568" i="2" a="1"/>
  <c r="M1568" i="2" s="1"/>
  <c r="M1569" i="2" a="1"/>
  <c r="M1569" i="2" s="1"/>
  <c r="M1570" i="2" a="1"/>
  <c r="M1570" i="2" s="1"/>
  <c r="M1571" i="2" a="1"/>
  <c r="M1571" i="2" s="1"/>
  <c r="M1572" i="2" a="1"/>
  <c r="M1572" i="2" s="1"/>
  <c r="M1573" i="2" a="1"/>
  <c r="M1573" i="2" s="1"/>
  <c r="M1574" i="2" a="1"/>
  <c r="M1574" i="2" s="1"/>
  <c r="M1575" i="2" a="1"/>
  <c r="M1575" i="2" s="1"/>
  <c r="M1576" i="2" a="1"/>
  <c r="M1576" i="2" s="1"/>
  <c r="M1577" i="2" a="1"/>
  <c r="M1577" i="2" s="1"/>
  <c r="M1578" i="2" a="1"/>
  <c r="M1578" i="2" s="1"/>
  <c r="M1579" i="2" a="1"/>
  <c r="M1579" i="2"/>
  <c r="M1580" i="2" a="1"/>
  <c r="M1580" i="2" s="1"/>
  <c r="M1581" i="2" a="1"/>
  <c r="M1581" i="2" s="1"/>
  <c r="M1582" i="2" a="1"/>
  <c r="M1582" i="2" s="1"/>
  <c r="M1583" i="2" a="1"/>
  <c r="M1583" i="2" s="1"/>
  <c r="M1584" i="2" a="1"/>
  <c r="M1584" i="2" s="1"/>
  <c r="M1585" i="2" a="1"/>
  <c r="M1585" i="2" s="1"/>
  <c r="M1586" i="2" a="1"/>
  <c r="M1586" i="2" s="1"/>
  <c r="M1587" i="2" a="1"/>
  <c r="M1587" i="2" s="1"/>
  <c r="M1588" i="2" a="1"/>
  <c r="M1588" i="2" s="1"/>
  <c r="M1589" i="2" a="1"/>
  <c r="M1589" i="2" s="1"/>
  <c r="M1590" i="2" a="1"/>
  <c r="M1590" i="2" s="1"/>
  <c r="M1591" i="2" a="1"/>
  <c r="M1591" i="2" s="1"/>
  <c r="M1592" i="2" a="1"/>
  <c r="M1592" i="2" s="1"/>
  <c r="M1593" i="2" a="1"/>
  <c r="M1593" i="2" s="1"/>
  <c r="M1594" i="2" a="1"/>
  <c r="M1594" i="2" s="1"/>
  <c r="M1595" i="2" a="1"/>
  <c r="M1595" i="2"/>
  <c r="M1596" i="2" a="1"/>
  <c r="M1596" i="2" s="1"/>
  <c r="M1597" i="2" a="1"/>
  <c r="M1597" i="2" s="1"/>
  <c r="M1598" i="2" a="1"/>
  <c r="M1598" i="2" s="1"/>
  <c r="M1599" i="2" a="1"/>
  <c r="M1599" i="2" s="1"/>
  <c r="M1600" i="2" a="1"/>
  <c r="M1600" i="2" s="1"/>
  <c r="M1601" i="2" a="1"/>
  <c r="M1601" i="2" s="1"/>
  <c r="M1602" i="2" a="1"/>
  <c r="M1602" i="2" s="1"/>
  <c r="M1603" i="2" a="1"/>
  <c r="M1603" i="2" s="1"/>
  <c r="M1604" i="2" a="1"/>
  <c r="M1604" i="2" s="1"/>
  <c r="M1605" i="2" a="1"/>
  <c r="M1605" i="2" s="1"/>
  <c r="M1606" i="2" a="1"/>
  <c r="M1606" i="2" s="1"/>
  <c r="M1607" i="2" a="1"/>
  <c r="M1607" i="2" s="1"/>
  <c r="M1608" i="2" a="1"/>
  <c r="M1608" i="2" s="1"/>
  <c r="M1609" i="2" a="1"/>
  <c r="M1609" i="2" s="1"/>
  <c r="M1610" i="2" a="1"/>
  <c r="M1610" i="2" s="1"/>
  <c r="M1611" i="2" a="1"/>
  <c r="M1611" i="2" s="1"/>
  <c r="M1612" i="2" a="1"/>
  <c r="M1612" i="2" s="1"/>
  <c r="M1613" i="2" a="1"/>
  <c r="M1613" i="2" s="1"/>
  <c r="M1614" i="2" a="1"/>
  <c r="M1614" i="2" s="1"/>
  <c r="M1615" i="2" a="1"/>
  <c r="M1615" i="2" s="1"/>
  <c r="M1616" i="2" a="1"/>
  <c r="M1616" i="2" s="1"/>
  <c r="M1617" i="2" a="1"/>
  <c r="M1617" i="2" s="1"/>
  <c r="M1618" i="2" a="1"/>
  <c r="M1618" i="2" s="1"/>
  <c r="M1619" i="2" a="1"/>
  <c r="M1619" i="2" s="1"/>
  <c r="M1620" i="2" a="1"/>
  <c r="M1620" i="2" s="1"/>
  <c r="M1621" i="2" a="1"/>
  <c r="M1621" i="2" s="1"/>
  <c r="M1622" i="2" a="1"/>
  <c r="M1622" i="2" s="1"/>
  <c r="M1623" i="2" a="1"/>
  <c r="M1623" i="2" s="1"/>
  <c r="M1624" i="2" a="1"/>
  <c r="M1624" i="2" s="1"/>
  <c r="M1625" i="2" a="1"/>
  <c r="M1625" i="2" s="1"/>
  <c r="M1626" i="2" a="1"/>
  <c r="M1626" i="2" s="1"/>
  <c r="M1627" i="2" a="1"/>
  <c r="M1627" i="2" s="1"/>
  <c r="M1628" i="2" a="1"/>
  <c r="M1628" i="2" s="1"/>
  <c r="M1629" i="2" a="1"/>
  <c r="M1629" i="2" s="1"/>
  <c r="M1630" i="2" a="1"/>
  <c r="M1630" i="2" s="1"/>
  <c r="M1631" i="2" a="1"/>
  <c r="M1631" i="2" s="1"/>
  <c r="M1632" i="2" a="1"/>
  <c r="M1632" i="2" s="1"/>
  <c r="M1633" i="2" a="1"/>
  <c r="M1633" i="2" s="1"/>
  <c r="M1634" i="2" a="1"/>
  <c r="M1634" i="2" s="1"/>
  <c r="M1635" i="2" a="1"/>
  <c r="M1635" i="2" s="1"/>
  <c r="M1636" i="2" a="1"/>
  <c r="M1636" i="2" s="1"/>
  <c r="M1637" i="2" a="1"/>
  <c r="M1637" i="2" s="1"/>
  <c r="M1638" i="2" a="1"/>
  <c r="M1638" i="2" s="1"/>
  <c r="M1639" i="2" a="1"/>
  <c r="M1639" i="2" s="1"/>
  <c r="M1640" i="2" a="1"/>
  <c r="M1640" i="2" s="1"/>
  <c r="M1641" i="2" a="1"/>
  <c r="M1641" i="2" s="1"/>
  <c r="M1642" i="2" a="1"/>
  <c r="M1642" i="2" s="1"/>
  <c r="M1643" i="2" a="1"/>
  <c r="M1643" i="2"/>
  <c r="M1644" i="2" a="1"/>
  <c r="M1644" i="2" s="1"/>
  <c r="M1645" i="2" a="1"/>
  <c r="M1645" i="2" s="1"/>
  <c r="M1646" i="2" a="1"/>
  <c r="M1646" i="2" s="1"/>
  <c r="M1647" i="2" a="1"/>
  <c r="M1647" i="2" s="1"/>
  <c r="M1648" i="2" a="1"/>
  <c r="M1648" i="2" s="1"/>
  <c r="M1649" i="2" a="1"/>
  <c r="M1649" i="2" s="1"/>
  <c r="M1650" i="2" a="1"/>
  <c r="M1650" i="2" s="1"/>
  <c r="M1651" i="2" a="1"/>
  <c r="M1651" i="2" s="1"/>
  <c r="M1652" i="2" a="1"/>
  <c r="M1652" i="2" s="1"/>
  <c r="M1653" i="2" a="1"/>
  <c r="M1653" i="2" s="1"/>
  <c r="M1654" i="2" a="1"/>
  <c r="M1654" i="2" s="1"/>
  <c r="M1655" i="2" a="1"/>
  <c r="M1655" i="2" s="1"/>
  <c r="M1656" i="2" a="1"/>
  <c r="M1656" i="2" s="1"/>
  <c r="M1657" i="2" a="1"/>
  <c r="M1657" i="2" s="1"/>
  <c r="M1658" i="2" a="1"/>
  <c r="M1658" i="2" s="1"/>
  <c r="M1659" i="2" a="1"/>
  <c r="M1659" i="2" s="1"/>
  <c r="M1660" i="2" a="1"/>
  <c r="M1660" i="2" s="1"/>
  <c r="M1661" i="2" a="1"/>
  <c r="M1661" i="2" s="1"/>
  <c r="M1662" i="2" a="1"/>
  <c r="M1662" i="2" s="1"/>
  <c r="M1663" i="2" a="1"/>
  <c r="M1663" i="2" s="1"/>
  <c r="M1664" i="2" a="1"/>
  <c r="M1664" i="2" s="1"/>
  <c r="M1665" i="2" a="1"/>
  <c r="M1665" i="2" s="1"/>
  <c r="M1666" i="2" a="1"/>
  <c r="M1666" i="2" s="1"/>
  <c r="M1667" i="2" a="1"/>
  <c r="M1667" i="2" s="1"/>
  <c r="M1668" i="2" a="1"/>
  <c r="M1668" i="2" s="1"/>
  <c r="M1669" i="2" a="1"/>
  <c r="M1669" i="2" s="1"/>
  <c r="M1670" i="2" a="1"/>
  <c r="M1670" i="2" s="1"/>
  <c r="M1671" i="2" a="1"/>
  <c r="M1671" i="2" s="1"/>
  <c r="M1672" i="2" a="1"/>
  <c r="M1672" i="2" s="1"/>
  <c r="M1673" i="2" a="1"/>
  <c r="M1673" i="2" s="1"/>
  <c r="M1674" i="2" a="1"/>
  <c r="M1674" i="2" s="1"/>
  <c r="M1675" i="2" a="1"/>
  <c r="M1675" i="2" s="1"/>
  <c r="M1676" i="2" a="1"/>
  <c r="M1676" i="2" s="1"/>
  <c r="M1677" i="2" a="1"/>
  <c r="M1677" i="2" s="1"/>
  <c r="M1678" i="2" a="1"/>
  <c r="M1678" i="2" s="1"/>
  <c r="M1679" i="2" a="1"/>
  <c r="M1679" i="2" s="1"/>
  <c r="M1680" i="2" a="1"/>
  <c r="M1680" i="2" s="1"/>
  <c r="M1681" i="2" a="1"/>
  <c r="M1681" i="2" s="1"/>
  <c r="M1682" i="2" a="1"/>
  <c r="M1682" i="2" s="1"/>
  <c r="M1683" i="2" a="1"/>
  <c r="M1683" i="2"/>
  <c r="M1684" i="2" a="1"/>
  <c r="M1684" i="2" s="1"/>
  <c r="M1685" i="2" a="1"/>
  <c r="M1685" i="2" s="1"/>
  <c r="M1686" i="2" a="1"/>
  <c r="M1686" i="2" s="1"/>
  <c r="M1687" i="2" a="1"/>
  <c r="M1687" i="2" s="1"/>
  <c r="M1688" i="2" a="1"/>
  <c r="M1688" i="2" s="1"/>
  <c r="M1689" i="2" a="1"/>
  <c r="M1689" i="2" s="1"/>
  <c r="M1690" i="2" a="1"/>
  <c r="M1690" i="2" s="1"/>
  <c r="M1691" i="2" a="1"/>
  <c r="M1691" i="2" s="1"/>
  <c r="M1692" i="2" a="1"/>
  <c r="M1692" i="2" s="1"/>
  <c r="M1693" i="2" a="1"/>
  <c r="M1693" i="2" s="1"/>
  <c r="M1694" i="2" a="1"/>
  <c r="M1694" i="2" s="1"/>
  <c r="M1695" i="2" a="1"/>
  <c r="M1695" i="2" s="1"/>
  <c r="M1696" i="2" a="1"/>
  <c r="M1696" i="2" s="1"/>
  <c r="M1697" i="2" a="1"/>
  <c r="M1697" i="2" s="1"/>
  <c r="M1698" i="2" a="1"/>
  <c r="M1698" i="2" s="1"/>
  <c r="M1699" i="2" a="1"/>
  <c r="M1699" i="2" s="1"/>
  <c r="M1700" i="2" a="1"/>
  <c r="M1700" i="2" s="1"/>
  <c r="M1701" i="2" a="1"/>
  <c r="M1701" i="2" s="1"/>
  <c r="M1702" i="2" a="1"/>
  <c r="M1702" i="2" s="1"/>
  <c r="M1703" i="2" a="1"/>
  <c r="M1703" i="2" s="1"/>
  <c r="M1704" i="2" a="1"/>
  <c r="M1704" i="2" s="1"/>
  <c r="M1705" i="2" a="1"/>
  <c r="M1705" i="2" s="1"/>
  <c r="M1706" i="2" a="1"/>
  <c r="M1706" i="2" s="1"/>
  <c r="M1707" i="2" a="1"/>
  <c r="M1707" i="2" s="1"/>
  <c r="M1708" i="2" a="1"/>
  <c r="M1708" i="2" s="1"/>
  <c r="M1709" i="2" a="1"/>
  <c r="M1709" i="2" s="1"/>
  <c r="M1710" i="2" a="1"/>
  <c r="M1710" i="2" s="1"/>
  <c r="M1711" i="2" a="1"/>
  <c r="M1711" i="2" s="1"/>
  <c r="M1712" i="2" a="1"/>
  <c r="M1712" i="2" s="1"/>
  <c r="M1713" i="2" a="1"/>
  <c r="M1713" i="2" s="1"/>
  <c r="M1714" i="2" a="1"/>
  <c r="M1714" i="2" s="1"/>
  <c r="M1715" i="2" a="1"/>
  <c r="M1715" i="2" s="1"/>
  <c r="M1716" i="2" a="1"/>
  <c r="M1716" i="2" s="1"/>
  <c r="M1717" i="2" a="1"/>
  <c r="M1717" i="2" s="1"/>
  <c r="M1718" i="2" a="1"/>
  <c r="M1718" i="2" s="1"/>
  <c r="M1719" i="2" a="1"/>
  <c r="M1719" i="2" s="1"/>
  <c r="M1720" i="2" a="1"/>
  <c r="M1720" i="2" s="1"/>
  <c r="M1721" i="2" a="1"/>
  <c r="M1721" i="2" s="1"/>
  <c r="M1722" i="2" a="1"/>
  <c r="M1722" i="2" s="1"/>
  <c r="M1723" i="2" a="1"/>
  <c r="M1723" i="2" s="1"/>
  <c r="M1724" i="2" a="1"/>
  <c r="M1724" i="2" s="1"/>
  <c r="M1725" i="2" a="1"/>
  <c r="M1725" i="2" s="1"/>
  <c r="M1726" i="2" a="1"/>
  <c r="M1726" i="2" s="1"/>
  <c r="M1727" i="2" a="1"/>
  <c r="M1727" i="2" s="1"/>
  <c r="M1728" i="2" a="1"/>
  <c r="M1728" i="2" s="1"/>
  <c r="M1729" i="2" a="1"/>
  <c r="M1729" i="2" s="1"/>
  <c r="M1730" i="2" a="1"/>
  <c r="M1730" i="2" s="1"/>
  <c r="M1731" i="2" a="1"/>
  <c r="M1731" i="2" s="1"/>
  <c r="M1732" i="2" a="1"/>
  <c r="M1732" i="2" s="1"/>
  <c r="M1733" i="2" a="1"/>
  <c r="M1733" i="2" s="1"/>
  <c r="M1734" i="2" a="1"/>
  <c r="M1734" i="2" s="1"/>
  <c r="M1735" i="2" a="1"/>
  <c r="M1735" i="2" s="1"/>
  <c r="M1736" i="2" a="1"/>
  <c r="M1736" i="2" s="1"/>
  <c r="M1737" i="2" a="1"/>
  <c r="M1737" i="2" s="1"/>
  <c r="M1738" i="2" a="1"/>
  <c r="M1738" i="2" s="1"/>
  <c r="M1739" i="2" a="1"/>
  <c r="M1739" i="2" s="1"/>
  <c r="M1740" i="2" a="1"/>
  <c r="M1740" i="2" s="1"/>
  <c r="M1741" i="2" a="1"/>
  <c r="M1741" i="2" s="1"/>
  <c r="M1742" i="2" a="1"/>
  <c r="M1742" i="2" s="1"/>
  <c r="M1743" i="2" a="1"/>
  <c r="M1743" i="2" s="1"/>
  <c r="M1744" i="2" a="1"/>
  <c r="M1744" i="2" s="1"/>
  <c r="M1745" i="2" a="1"/>
  <c r="M1745" i="2" s="1"/>
  <c r="M1746" i="2" a="1"/>
  <c r="M1746" i="2" s="1"/>
  <c r="M1747" i="2" a="1"/>
  <c r="M1747" i="2" s="1"/>
  <c r="M1748" i="2" a="1"/>
  <c r="M1748" i="2" s="1"/>
  <c r="M1749" i="2" a="1"/>
  <c r="M1749" i="2" s="1"/>
  <c r="M1750" i="2" a="1"/>
  <c r="M1750" i="2" s="1"/>
  <c r="M1751" i="2" a="1"/>
  <c r="M1751" i="2" s="1"/>
  <c r="M1752" i="2" a="1"/>
  <c r="M1752" i="2" s="1"/>
  <c r="M1753" i="2" a="1"/>
  <c r="M1753" i="2" s="1"/>
  <c r="M1754" i="2" a="1"/>
  <c r="M1754" i="2" s="1"/>
  <c r="M1755" i="2" a="1"/>
  <c r="M1755" i="2" s="1"/>
  <c r="M1756" i="2" a="1"/>
  <c r="M1756" i="2" s="1"/>
  <c r="M1757" i="2" a="1"/>
  <c r="M1757" i="2" s="1"/>
  <c r="M1758" i="2" a="1"/>
  <c r="M1758" i="2" s="1"/>
  <c r="M1759" i="2" a="1"/>
  <c r="M1759" i="2" s="1"/>
  <c r="M1760" i="2" a="1"/>
  <c r="M1760" i="2" s="1"/>
  <c r="M1761" i="2" a="1"/>
  <c r="M1761" i="2" s="1"/>
  <c r="M1762" i="2" a="1"/>
  <c r="M1762" i="2" s="1"/>
  <c r="M1763" i="2" a="1"/>
  <c r="M1763" i="2" s="1"/>
  <c r="M1764" i="2" a="1"/>
  <c r="M1764" i="2" s="1"/>
  <c r="M1765" i="2" a="1"/>
  <c r="M1765" i="2" s="1"/>
  <c r="M1766" i="2" a="1"/>
  <c r="M1766" i="2" s="1"/>
  <c r="M1767" i="2" a="1"/>
  <c r="M1767" i="2" s="1"/>
  <c r="M1768" i="2" a="1"/>
  <c r="M1768" i="2" s="1"/>
  <c r="M1769" i="2" a="1"/>
  <c r="M1769" i="2" s="1"/>
  <c r="M1770" i="2" a="1"/>
  <c r="M1770" i="2" s="1"/>
  <c r="M1771" i="2" a="1"/>
  <c r="M1771" i="2" s="1"/>
  <c r="M1772" i="2" a="1"/>
  <c r="M1772" i="2" s="1"/>
  <c r="M1773" i="2" a="1"/>
  <c r="M1773" i="2" s="1"/>
  <c r="M1774" i="2" a="1"/>
  <c r="M1774" i="2" s="1"/>
  <c r="M1775" i="2" a="1"/>
  <c r="M1775" i="2" s="1"/>
  <c r="M1776" i="2" a="1"/>
  <c r="M1776" i="2" s="1"/>
  <c r="M1777" i="2" a="1"/>
  <c r="M1777" i="2" s="1"/>
  <c r="M1778" i="2" a="1"/>
  <c r="M1778" i="2" s="1"/>
  <c r="M1779" i="2" a="1"/>
  <c r="M1779" i="2" s="1"/>
  <c r="M1780" i="2" a="1"/>
  <c r="M1780" i="2" s="1"/>
  <c r="M1781" i="2" a="1"/>
  <c r="M1781" i="2" s="1"/>
  <c r="M1782" i="2" a="1"/>
  <c r="M1782" i="2" s="1"/>
  <c r="M1783" i="2" a="1"/>
  <c r="M1783" i="2" s="1"/>
  <c r="M1784" i="2" a="1"/>
  <c r="M1784" i="2" s="1"/>
  <c r="M1785" i="2" a="1"/>
  <c r="M1785" i="2" s="1"/>
  <c r="M1786" i="2" a="1"/>
  <c r="M1786" i="2" s="1"/>
  <c r="M1787" i="2" a="1"/>
  <c r="M1787" i="2" s="1"/>
  <c r="M1788" i="2" a="1"/>
  <c r="M1788" i="2" s="1"/>
  <c r="M1789" i="2" a="1"/>
  <c r="M1789" i="2" s="1"/>
  <c r="M1790" i="2" a="1"/>
  <c r="M1790" i="2" s="1"/>
  <c r="M1791" i="2" a="1"/>
  <c r="M1791" i="2" s="1"/>
  <c r="M1792" i="2" a="1"/>
  <c r="M1792" i="2" s="1"/>
  <c r="M1793" i="2" a="1"/>
  <c r="M1793" i="2" s="1"/>
  <c r="M1794" i="2" a="1"/>
  <c r="M1794" i="2" s="1"/>
  <c r="M1795" i="2" a="1"/>
  <c r="M1795" i="2" s="1"/>
  <c r="M1796" i="2" a="1"/>
  <c r="M1796" i="2" s="1"/>
  <c r="M1797" i="2" a="1"/>
  <c r="M1797" i="2" s="1"/>
  <c r="M1798" i="2" a="1"/>
  <c r="M1798" i="2" s="1"/>
  <c r="M1799" i="2" a="1"/>
  <c r="M1799" i="2" s="1"/>
  <c r="M1800" i="2" a="1"/>
  <c r="M1800" i="2" s="1"/>
  <c r="M1801" i="2" a="1"/>
  <c r="M1801" i="2" s="1"/>
  <c r="M1802" i="2" a="1"/>
  <c r="M1802" i="2" s="1"/>
  <c r="M1803" i="2" a="1"/>
  <c r="M1803" i="2" s="1"/>
  <c r="M1804" i="2" a="1"/>
  <c r="M1804" i="2" s="1"/>
  <c r="M1805" i="2" a="1"/>
  <c r="M1805" i="2" s="1"/>
  <c r="M1806" i="2" a="1"/>
  <c r="M1806" i="2" s="1"/>
  <c r="M1807" i="2" a="1"/>
  <c r="M1807" i="2" s="1"/>
  <c r="M1808" i="2" a="1"/>
  <c r="M1808" i="2" s="1"/>
  <c r="M1809" i="2" a="1"/>
  <c r="M1809" i="2" s="1"/>
  <c r="M1810" i="2" a="1"/>
  <c r="M1810" i="2" s="1"/>
  <c r="M1811" i="2" a="1"/>
  <c r="M1811" i="2" s="1"/>
  <c r="M1812" i="2" a="1"/>
  <c r="M1812" i="2" s="1"/>
  <c r="M1813" i="2" a="1"/>
  <c r="M1813" i="2" s="1"/>
  <c r="M1814" i="2" a="1"/>
  <c r="M1814" i="2" s="1"/>
  <c r="M1815" i="2" a="1"/>
  <c r="M1815" i="2" s="1"/>
  <c r="M1816" i="2" a="1"/>
  <c r="M1816" i="2" s="1"/>
  <c r="M1817" i="2" a="1"/>
  <c r="M1817" i="2" s="1"/>
  <c r="M1818" i="2" a="1"/>
  <c r="M1818" i="2" s="1"/>
  <c r="M1819" i="2" a="1"/>
  <c r="M1819" i="2" s="1"/>
  <c r="M1820" i="2" a="1"/>
  <c r="M1820" i="2" s="1"/>
  <c r="M1821" i="2" a="1"/>
  <c r="M1821" i="2" s="1"/>
  <c r="M1822" i="2" a="1"/>
  <c r="M1822" i="2" s="1"/>
  <c r="M1823" i="2" a="1"/>
  <c r="M1823" i="2" s="1"/>
  <c r="M1824" i="2" a="1"/>
  <c r="M1824" i="2" s="1"/>
  <c r="M1825" i="2" a="1"/>
  <c r="M1825" i="2" s="1"/>
  <c r="M1826" i="2" a="1"/>
  <c r="M1826" i="2" s="1"/>
  <c r="M1827" i="2" a="1"/>
  <c r="M1827" i="2" s="1"/>
  <c r="M1828" i="2" a="1"/>
  <c r="M1828" i="2" s="1"/>
  <c r="M1829" i="2" a="1"/>
  <c r="M1829" i="2" s="1"/>
  <c r="M1830" i="2" a="1"/>
  <c r="M1830" i="2" s="1"/>
  <c r="M1831" i="2" a="1"/>
  <c r="M1831" i="2" s="1"/>
  <c r="M1832" i="2" a="1"/>
  <c r="M1832" i="2" s="1"/>
  <c r="M1833" i="2" a="1"/>
  <c r="M1833" i="2" s="1"/>
  <c r="M1834" i="2" a="1"/>
  <c r="M1834" i="2" s="1"/>
  <c r="M1835" i="2" a="1"/>
  <c r="M1835" i="2" s="1"/>
  <c r="M1836" i="2" a="1"/>
  <c r="M1836" i="2" s="1"/>
  <c r="M1837" i="2" a="1"/>
  <c r="M1837" i="2" s="1"/>
  <c r="M1838" i="2" a="1"/>
  <c r="M1838" i="2" s="1"/>
  <c r="M1839" i="2" a="1"/>
  <c r="M1839" i="2" s="1"/>
  <c r="M1840" i="2" a="1"/>
  <c r="M1840" i="2" s="1"/>
  <c r="M1841" i="2" a="1"/>
  <c r="M1841" i="2" s="1"/>
  <c r="M1842" i="2" a="1"/>
  <c r="M1842" i="2" s="1"/>
  <c r="M1843" i="2" a="1"/>
  <c r="M1843" i="2" s="1"/>
  <c r="M1844" i="2" a="1"/>
  <c r="M1844" i="2" s="1"/>
  <c r="M1845" i="2" a="1"/>
  <c r="M1845" i="2" s="1"/>
  <c r="M1846" i="2" a="1"/>
  <c r="M1846" i="2" s="1"/>
  <c r="M1847" i="2" a="1"/>
  <c r="M1847" i="2" s="1"/>
  <c r="M1848" i="2" a="1"/>
  <c r="M1848" i="2" s="1"/>
  <c r="M1849" i="2" a="1"/>
  <c r="M1849" i="2" s="1"/>
  <c r="M1850" i="2" a="1"/>
  <c r="M1850" i="2" s="1"/>
  <c r="M1851" i="2" a="1"/>
  <c r="M1851" i="2" s="1"/>
  <c r="M1852" i="2" a="1"/>
  <c r="M1852" i="2" s="1"/>
  <c r="M1853" i="2" a="1"/>
  <c r="M1853" i="2" s="1"/>
  <c r="M1854" i="2" a="1"/>
  <c r="M1854" i="2" s="1"/>
  <c r="M1855" i="2" a="1"/>
  <c r="M1855" i="2" s="1"/>
  <c r="M1856" i="2" a="1"/>
  <c r="M1856" i="2" s="1"/>
  <c r="M1857" i="2" a="1"/>
  <c r="M1857" i="2" s="1"/>
  <c r="M1858" i="2" a="1"/>
  <c r="M1858" i="2" s="1"/>
  <c r="M1859" i="2" a="1"/>
  <c r="M1859" i="2" s="1"/>
  <c r="M1860" i="2" a="1"/>
  <c r="M1860" i="2" s="1"/>
  <c r="M1861" i="2" a="1"/>
  <c r="M1861" i="2" s="1"/>
  <c r="M1862" i="2" a="1"/>
  <c r="M1862" i="2" s="1"/>
  <c r="M1863" i="2" a="1"/>
  <c r="M1863" i="2" s="1"/>
  <c r="M1864" i="2" a="1"/>
  <c r="M1864" i="2" s="1"/>
  <c r="M1865" i="2" a="1"/>
  <c r="M1865" i="2" s="1"/>
  <c r="M1866" i="2" a="1"/>
  <c r="M1866" i="2" s="1"/>
  <c r="M1867" i="2" a="1"/>
  <c r="M1867" i="2" s="1"/>
  <c r="M1868" i="2" a="1"/>
  <c r="M1868" i="2" s="1"/>
  <c r="M1869" i="2" a="1"/>
  <c r="M1869" i="2" s="1"/>
  <c r="M1870" i="2" a="1"/>
  <c r="M1870" i="2" s="1"/>
  <c r="M1871" i="2" a="1"/>
  <c r="M1871" i="2" s="1"/>
  <c r="M1872" i="2" a="1"/>
  <c r="M1872" i="2" s="1"/>
  <c r="M1873" i="2" a="1"/>
  <c r="M1873" i="2" s="1"/>
  <c r="M1874" i="2" a="1"/>
  <c r="M1874" i="2" s="1"/>
  <c r="M1875" i="2" a="1"/>
  <c r="M1875" i="2" s="1"/>
  <c r="M1876" i="2" a="1"/>
  <c r="M1876" i="2" s="1"/>
  <c r="M1877" i="2" a="1"/>
  <c r="M1877" i="2" s="1"/>
  <c r="M1878" i="2" a="1"/>
  <c r="M1878" i="2" s="1"/>
  <c r="M1879" i="2" a="1"/>
  <c r="M1879" i="2" s="1"/>
  <c r="M1880" i="2" a="1"/>
  <c r="M1880" i="2" s="1"/>
  <c r="M1881" i="2" a="1"/>
  <c r="M1881" i="2" s="1"/>
  <c r="M1882" i="2" a="1"/>
  <c r="M1882" i="2" s="1"/>
  <c r="M1883" i="2" a="1"/>
  <c r="M1883" i="2"/>
  <c r="M1884" i="2" a="1"/>
  <c r="M1884" i="2" s="1"/>
  <c r="M1885" i="2" a="1"/>
  <c r="M1885" i="2" s="1"/>
  <c r="M1886" i="2" a="1"/>
  <c r="M1886" i="2" s="1"/>
  <c r="M1887" i="2" a="1"/>
  <c r="M1887" i="2" s="1"/>
  <c r="M1888" i="2" a="1"/>
  <c r="M1888" i="2" s="1"/>
  <c r="M1889" i="2" a="1"/>
  <c r="M1889" i="2" s="1"/>
  <c r="M1890" i="2" a="1"/>
  <c r="M1890" i="2" s="1"/>
  <c r="M1891" i="2" a="1"/>
  <c r="M1891" i="2" s="1"/>
  <c r="M1892" i="2" a="1"/>
  <c r="M1892" i="2" s="1"/>
  <c r="M1893" i="2" a="1"/>
  <c r="M1893" i="2" s="1"/>
  <c r="M1894" i="2" a="1"/>
  <c r="M1894" i="2" s="1"/>
  <c r="M1895" i="2" a="1"/>
  <c r="M1895" i="2" s="1"/>
  <c r="M1896" i="2" a="1"/>
  <c r="M1896" i="2" s="1"/>
  <c r="M1897" i="2" a="1"/>
  <c r="M1897" i="2" s="1"/>
  <c r="M1898" i="2" a="1"/>
  <c r="M1898" i="2" s="1"/>
  <c r="M1899" i="2" a="1"/>
  <c r="M1899" i="2" s="1"/>
  <c r="M1900" i="2" a="1"/>
  <c r="M1900" i="2" s="1"/>
  <c r="M1901" i="2" a="1"/>
  <c r="M1901" i="2" s="1"/>
  <c r="M1902" i="2" a="1"/>
  <c r="M1902" i="2" s="1"/>
  <c r="M1903" i="2" a="1"/>
  <c r="M1903" i="2" s="1"/>
  <c r="M1904" i="2" a="1"/>
  <c r="M1904" i="2" s="1"/>
  <c r="M1905" i="2" a="1"/>
  <c r="M1905" i="2" s="1"/>
  <c r="M1906" i="2" a="1"/>
  <c r="M1906" i="2" s="1"/>
  <c r="M1907" i="2" a="1"/>
  <c r="M1907" i="2" s="1"/>
  <c r="M1908" i="2" a="1"/>
  <c r="M1908" i="2" s="1"/>
  <c r="M1909" i="2" a="1"/>
  <c r="M1909" i="2" s="1"/>
  <c r="M1910" i="2" a="1"/>
  <c r="M1910" i="2" s="1"/>
  <c r="M1911" i="2" a="1"/>
  <c r="M1911" i="2" s="1"/>
  <c r="M1912" i="2" a="1"/>
  <c r="M1912" i="2" s="1"/>
  <c r="M1913" i="2" a="1"/>
  <c r="M1913" i="2" s="1"/>
  <c r="M1914" i="2" a="1"/>
  <c r="M1914" i="2" s="1"/>
  <c r="M1915" i="2" a="1"/>
  <c r="M1915" i="2" s="1"/>
  <c r="M1916" i="2" a="1"/>
  <c r="M1916" i="2" s="1"/>
  <c r="M1917" i="2" a="1"/>
  <c r="M1917" i="2" s="1"/>
  <c r="M1918" i="2" a="1"/>
  <c r="M1918" i="2" s="1"/>
  <c r="M1919" i="2" a="1"/>
  <c r="M1919" i="2" s="1"/>
  <c r="M1920" i="2" a="1"/>
  <c r="M1920" i="2" s="1"/>
  <c r="M1921" i="2" a="1"/>
  <c r="M1921" i="2" s="1"/>
  <c r="M1922" i="2" a="1"/>
  <c r="M1922" i="2" s="1"/>
  <c r="M1923" i="2" a="1"/>
  <c r="M1923" i="2" s="1"/>
  <c r="M1924" i="2" a="1"/>
  <c r="M1924" i="2" s="1"/>
  <c r="M1925" i="2" a="1"/>
  <c r="M1925" i="2" s="1"/>
  <c r="M1926" i="2" a="1"/>
  <c r="M1926" i="2" s="1"/>
  <c r="M1927" i="2" a="1"/>
  <c r="M1927" i="2" s="1"/>
  <c r="M1928" i="2" a="1"/>
  <c r="M1928" i="2" s="1"/>
  <c r="M1929" i="2" a="1"/>
  <c r="M1929" i="2" s="1"/>
  <c r="M1930" i="2" a="1"/>
  <c r="M1930" i="2" s="1"/>
  <c r="M1931" i="2" a="1"/>
  <c r="M1931" i="2" s="1"/>
  <c r="M1932" i="2" a="1"/>
  <c r="M1932" i="2" s="1"/>
  <c r="M1933" i="2" a="1"/>
  <c r="M1933" i="2" s="1"/>
  <c r="M1934" i="2" a="1"/>
  <c r="M1934" i="2" s="1"/>
  <c r="M1935" i="2" a="1"/>
  <c r="M1935" i="2" s="1"/>
  <c r="M1936" i="2" a="1"/>
  <c r="M1936" i="2" s="1"/>
  <c r="M1937" i="2" a="1"/>
  <c r="M1937" i="2" s="1"/>
  <c r="M1938" i="2" a="1"/>
  <c r="M1938" i="2" s="1"/>
  <c r="M1939" i="2" a="1"/>
  <c r="M1939" i="2" s="1"/>
  <c r="M1940" i="2" a="1"/>
  <c r="M1940" i="2" s="1"/>
  <c r="M1941" i="2" a="1"/>
  <c r="M1941" i="2" s="1"/>
  <c r="M1942" i="2" a="1"/>
  <c r="M1942" i="2"/>
  <c r="M1943" i="2" a="1"/>
  <c r="M1943" i="2" s="1"/>
  <c r="M1944" i="2" a="1"/>
  <c r="M1944" i="2" s="1"/>
  <c r="M1945" i="2" a="1"/>
  <c r="M1945" i="2" s="1"/>
  <c r="M1946" i="2" a="1"/>
  <c r="M1946" i="2" s="1"/>
  <c r="M1947" i="2" a="1"/>
  <c r="M1947" i="2" s="1"/>
  <c r="M1948" i="2" a="1"/>
  <c r="M1948" i="2" s="1"/>
  <c r="M1949" i="2" a="1"/>
  <c r="M1949" i="2" s="1"/>
  <c r="M1950" i="2" a="1"/>
  <c r="M1950" i="2" s="1"/>
  <c r="M1951" i="2" a="1"/>
  <c r="M1951" i="2" s="1"/>
  <c r="M1952" i="2" a="1"/>
  <c r="M1952" i="2" s="1"/>
  <c r="M1953" i="2" a="1"/>
  <c r="M1953" i="2" s="1"/>
  <c r="M1954" i="2" a="1"/>
  <c r="M1954" i="2" s="1"/>
  <c r="M1955" i="2" a="1"/>
  <c r="M1955" i="2" s="1"/>
  <c r="M1956" i="2" a="1"/>
  <c r="M1956" i="2" s="1"/>
  <c r="M1957" i="2" a="1"/>
  <c r="M1957" i="2" s="1"/>
  <c r="M1958" i="2" a="1"/>
  <c r="M1958" i="2" s="1"/>
  <c r="M1959" i="2" a="1"/>
  <c r="M1959" i="2" s="1"/>
  <c r="M1960" i="2" a="1"/>
  <c r="M1960" i="2" s="1"/>
  <c r="M1961" i="2" a="1"/>
  <c r="M1961" i="2" s="1"/>
  <c r="M1962" i="2" a="1"/>
  <c r="M1962" i="2" s="1"/>
  <c r="M1963" i="2" a="1"/>
  <c r="M1963" i="2" s="1"/>
  <c r="M1964" i="2" a="1"/>
  <c r="M1964" i="2" s="1"/>
  <c r="M1965" i="2" a="1"/>
  <c r="M1965" i="2" s="1"/>
  <c r="M1966" i="2" a="1"/>
  <c r="M1966" i="2" s="1"/>
  <c r="M1967" i="2" a="1"/>
  <c r="M1967" i="2" s="1"/>
  <c r="M1968" i="2" a="1"/>
  <c r="M1968" i="2" s="1"/>
  <c r="M1969" i="2" a="1"/>
  <c r="M1969" i="2" s="1"/>
  <c r="M1970" i="2" a="1"/>
  <c r="M1970" i="2"/>
  <c r="M1971" i="2" a="1"/>
  <c r="M1971" i="2" s="1"/>
  <c r="M1972" i="2" a="1"/>
  <c r="M1972" i="2" s="1"/>
  <c r="M1973" i="2" a="1"/>
  <c r="M1973" i="2" s="1"/>
  <c r="M1974" i="2" a="1"/>
  <c r="M1974" i="2" s="1"/>
  <c r="M1975" i="2" a="1"/>
  <c r="M1975" i="2" s="1"/>
  <c r="M1976" i="2" a="1"/>
  <c r="M1976" i="2" s="1"/>
  <c r="M1977" i="2" a="1"/>
  <c r="M1977" i="2" s="1"/>
  <c r="M1978" i="2" a="1"/>
  <c r="M1978" i="2" s="1"/>
  <c r="M1979" i="2" a="1"/>
  <c r="M1979" i="2" s="1"/>
  <c r="M1980" i="2" a="1"/>
  <c r="M1980" i="2" s="1"/>
  <c r="M1981" i="2" a="1"/>
  <c r="M1981" i="2" s="1"/>
  <c r="M1982" i="2" a="1"/>
  <c r="M1982" i="2" s="1"/>
  <c r="M1983" i="2" a="1"/>
  <c r="M1983" i="2" s="1"/>
  <c r="M1984" i="2" a="1"/>
  <c r="M1984" i="2" s="1"/>
  <c r="M1985" i="2" a="1"/>
  <c r="M1985" i="2" s="1"/>
  <c r="M1986" i="2" a="1"/>
  <c r="M1986" i="2" s="1"/>
  <c r="M1987" i="2" a="1"/>
  <c r="M1987" i="2" s="1"/>
  <c r="M1988" i="2" a="1"/>
  <c r="M1988" i="2" s="1"/>
  <c r="M1989" i="2" a="1"/>
  <c r="M1989" i="2" s="1"/>
  <c r="M1990" i="2" a="1"/>
  <c r="M1990" i="2" s="1"/>
  <c r="M1991" i="2" a="1"/>
  <c r="M1991" i="2" s="1"/>
  <c r="M1992" i="2" a="1"/>
  <c r="M1992" i="2" s="1"/>
  <c r="M1993" i="2" a="1"/>
  <c r="M1993" i="2" s="1"/>
  <c r="M1994" i="2" a="1"/>
  <c r="M1994" i="2" s="1"/>
  <c r="M1995" i="2" a="1"/>
  <c r="M1995" i="2" s="1"/>
  <c r="M1996" i="2" a="1"/>
  <c r="M1996" i="2" s="1"/>
  <c r="M1997" i="2" a="1"/>
  <c r="M1997" i="2" s="1"/>
  <c r="M1998" i="2" a="1"/>
  <c r="M1998" i="2" s="1"/>
  <c r="M1999" i="2" a="1"/>
  <c r="M1999" i="2" s="1"/>
  <c r="M2000" i="2" a="1"/>
  <c r="M2000" i="2" s="1"/>
  <c r="M2001" i="2" a="1"/>
  <c r="M2001" i="2" s="1"/>
  <c r="M2002" i="2" a="1"/>
  <c r="M2002" i="2" s="1"/>
  <c r="M2003" i="2" a="1"/>
  <c r="M2003" i="2" s="1"/>
  <c r="M2004" i="2" a="1"/>
  <c r="M2004" i="2" s="1"/>
  <c r="M2005" i="2" a="1"/>
  <c r="M2005" i="2" s="1"/>
  <c r="M2006" i="2" a="1"/>
  <c r="M2006" i="2" s="1"/>
  <c r="M2007" i="2" a="1"/>
  <c r="M2007" i="2" s="1"/>
  <c r="M2008" i="2" a="1"/>
  <c r="M2008" i="2" s="1"/>
  <c r="M2009" i="2" a="1"/>
  <c r="M2009" i="2" s="1"/>
  <c r="M2010" i="2" a="1"/>
  <c r="M2010" i="2" s="1"/>
  <c r="M2011" i="2" a="1"/>
  <c r="M2011" i="2" s="1"/>
  <c r="M2012" i="2" a="1"/>
  <c r="M2012" i="2" s="1"/>
  <c r="M2013" i="2" a="1"/>
  <c r="M2013" i="2" s="1"/>
  <c r="M2014" i="2" a="1"/>
  <c r="M2014" i="2" s="1"/>
  <c r="M2015" i="2" a="1"/>
  <c r="M2015" i="2" s="1"/>
  <c r="M2016" i="2" a="1"/>
  <c r="M2016" i="2" s="1"/>
  <c r="M2017" i="2" a="1"/>
  <c r="M2017" i="2" s="1"/>
  <c r="M2018" i="2" a="1"/>
  <c r="M2018" i="2" s="1"/>
  <c r="M2019" i="2" a="1"/>
  <c r="M2019" i="2" s="1"/>
  <c r="M2020" i="2" a="1"/>
  <c r="M2020" i="2" s="1"/>
  <c r="M2021" i="2" a="1"/>
  <c r="M2021" i="2" s="1"/>
  <c r="M2022" i="2" a="1"/>
  <c r="M2022" i="2" s="1"/>
  <c r="M2023" i="2" a="1"/>
  <c r="M2023" i="2" s="1"/>
  <c r="M2024" i="2" a="1"/>
  <c r="M2024" i="2" s="1"/>
  <c r="M2025" i="2" a="1"/>
  <c r="M2025" i="2" s="1"/>
  <c r="M2026" i="2" a="1"/>
  <c r="M2026" i="2" s="1"/>
  <c r="M2027" i="2" a="1"/>
  <c r="M2027" i="2" s="1"/>
  <c r="M2028" i="2" a="1"/>
  <c r="M2028" i="2" s="1"/>
  <c r="M2029" i="2" a="1"/>
  <c r="M2029" i="2" s="1"/>
  <c r="M2030" i="2" a="1"/>
  <c r="M2030" i="2" s="1"/>
  <c r="M2031" i="2" a="1"/>
  <c r="M2031" i="2" s="1"/>
  <c r="M2032" i="2" a="1"/>
  <c r="M2032" i="2" s="1"/>
  <c r="M2033" i="2" a="1"/>
  <c r="M2033" i="2" s="1"/>
  <c r="M2034" i="2" a="1"/>
  <c r="M2034" i="2"/>
  <c r="M2035" i="2" a="1"/>
  <c r="M2035" i="2" s="1"/>
  <c r="M2036" i="2" a="1"/>
  <c r="M2036" i="2" s="1"/>
  <c r="M2037" i="2" a="1"/>
  <c r="M2037" i="2" s="1"/>
  <c r="M2038" i="2" a="1"/>
  <c r="M2038" i="2" s="1"/>
  <c r="M2039" i="2" a="1"/>
  <c r="M2039" i="2" s="1"/>
  <c r="M2040" i="2" a="1"/>
  <c r="M2040" i="2" s="1"/>
  <c r="M2041" i="2" a="1"/>
  <c r="M2041" i="2" s="1"/>
  <c r="M2042" i="2" a="1"/>
  <c r="M2042" i="2" s="1"/>
  <c r="M2043" i="2" a="1"/>
  <c r="M2043" i="2" s="1"/>
  <c r="M2044" i="2" a="1"/>
  <c r="M2044" i="2" s="1"/>
  <c r="M2045" i="2" a="1"/>
  <c r="M2045" i="2" s="1"/>
  <c r="M2046" i="2" a="1"/>
  <c r="M2046" i="2" s="1"/>
  <c r="M2047" i="2" a="1"/>
  <c r="M2047" i="2" s="1"/>
  <c r="M2048" i="2" a="1"/>
  <c r="M2048" i="2" s="1"/>
  <c r="M2049" i="2" a="1"/>
  <c r="M2049" i="2" s="1"/>
  <c r="M2050" i="2" a="1"/>
  <c r="M2050" i="2" s="1"/>
  <c r="M2051" i="2" a="1"/>
  <c r="M2051" i="2" s="1"/>
  <c r="M2052" i="2" a="1"/>
  <c r="M2052" i="2" s="1"/>
  <c r="M2053" i="2" a="1"/>
  <c r="M2053" i="2" s="1"/>
  <c r="M2054" i="2" a="1"/>
  <c r="M2054" i="2" s="1"/>
  <c r="M2055" i="2" a="1"/>
  <c r="M2055" i="2" s="1"/>
  <c r="M2056" i="2" a="1"/>
  <c r="M2056" i="2" s="1"/>
  <c r="M2057" i="2" a="1"/>
  <c r="M2057" i="2" s="1"/>
  <c r="M2058" i="2" a="1"/>
  <c r="M2058" i="2" s="1"/>
  <c r="M2059" i="2" a="1"/>
  <c r="M2059" i="2" s="1"/>
  <c r="M2060" i="2" a="1"/>
  <c r="M2060" i="2" s="1"/>
  <c r="M2061" i="2" a="1"/>
  <c r="M2061" i="2" s="1"/>
  <c r="M2062" i="2" a="1"/>
  <c r="M2062" i="2" s="1"/>
  <c r="M2063" i="2" a="1"/>
  <c r="M2063" i="2" s="1"/>
  <c r="M2064" i="2" a="1"/>
  <c r="M2064" i="2" s="1"/>
  <c r="M2065" i="2" a="1"/>
  <c r="M2065" i="2" s="1"/>
  <c r="M2066" i="2" a="1"/>
  <c r="M2066" i="2" s="1"/>
  <c r="M2067" i="2" a="1"/>
  <c r="M2067" i="2" s="1"/>
  <c r="M2068" i="2" a="1"/>
  <c r="M2068" i="2" s="1"/>
  <c r="M2069" i="2" a="1"/>
  <c r="M2069" i="2" s="1"/>
  <c r="M2070" i="2" a="1"/>
  <c r="M2070" i="2" s="1"/>
  <c r="M2071" i="2" a="1"/>
  <c r="M2071" i="2" s="1"/>
  <c r="M2072" i="2" a="1"/>
  <c r="M2072" i="2" s="1"/>
  <c r="M2073" i="2" a="1"/>
  <c r="M2073" i="2" s="1"/>
  <c r="M2074" i="2" a="1"/>
  <c r="M2074" i="2" s="1"/>
  <c r="M2075" i="2" a="1"/>
  <c r="M2075" i="2" s="1"/>
  <c r="M2076" i="2" a="1"/>
  <c r="M2076" i="2" s="1"/>
  <c r="M2077" i="2" a="1"/>
  <c r="M2077" i="2" s="1"/>
  <c r="M2078" i="2" a="1"/>
  <c r="M2078" i="2" s="1"/>
  <c r="M2079" i="2" a="1"/>
  <c r="M2079" i="2" s="1"/>
  <c r="M2080" i="2" a="1"/>
  <c r="M2080" i="2" s="1"/>
  <c r="M2081" i="2" a="1"/>
  <c r="M2081" i="2" s="1"/>
  <c r="M2082" i="2" a="1"/>
  <c r="M2082" i="2" s="1"/>
  <c r="M2083" i="2" a="1"/>
  <c r="M2083" i="2" s="1"/>
  <c r="M2084" i="2" a="1"/>
  <c r="M2084" i="2" s="1"/>
  <c r="M2085" i="2" a="1"/>
  <c r="M2085" i="2" s="1"/>
  <c r="M2086" i="2" a="1"/>
  <c r="M2086" i="2" s="1"/>
  <c r="M2087" i="2" a="1"/>
  <c r="M2087" i="2" s="1"/>
  <c r="M2088" i="2" a="1"/>
  <c r="M2088" i="2" s="1"/>
  <c r="M2089" i="2" a="1"/>
  <c r="M2089" i="2" s="1"/>
  <c r="M2090" i="2" a="1"/>
  <c r="M2090" i="2" s="1"/>
  <c r="M2091" i="2" a="1"/>
  <c r="M2091" i="2" s="1"/>
  <c r="M2092" i="2" a="1"/>
  <c r="M2092" i="2" s="1"/>
  <c r="M2093" i="2" a="1"/>
  <c r="M2093" i="2" s="1"/>
  <c r="M2094" i="2" a="1"/>
  <c r="M2094" i="2" s="1"/>
  <c r="M2095" i="2" a="1"/>
  <c r="M2095" i="2" s="1"/>
  <c r="M2096" i="2" a="1"/>
  <c r="M2096" i="2" s="1"/>
  <c r="M2097" i="2" a="1"/>
  <c r="M2097" i="2" s="1"/>
  <c r="M2098" i="2" a="1"/>
  <c r="M2098" i="2" s="1"/>
  <c r="M2099" i="2" a="1"/>
  <c r="M2099" i="2" s="1"/>
  <c r="M2100" i="2" a="1"/>
  <c r="M2100" i="2" s="1"/>
  <c r="M2101" i="2" a="1"/>
  <c r="M2101" i="2" s="1"/>
  <c r="M2102" i="2" a="1"/>
  <c r="M2102" i="2" s="1"/>
  <c r="M2103" i="2" a="1"/>
  <c r="M2103" i="2" s="1"/>
  <c r="M2104" i="2" a="1"/>
  <c r="M2104" i="2" s="1"/>
  <c r="M2105" i="2" a="1"/>
  <c r="M2105" i="2" s="1"/>
  <c r="M2106" i="2" a="1"/>
  <c r="M2106" i="2" s="1"/>
  <c r="M2107" i="2" a="1"/>
  <c r="M2107" i="2" s="1"/>
  <c r="M2108" i="2" a="1"/>
  <c r="M2108" i="2" s="1"/>
  <c r="M2109" i="2" a="1"/>
  <c r="M2109" i="2" s="1"/>
  <c r="M2110" i="2" a="1"/>
  <c r="M2110" i="2" s="1"/>
  <c r="M2111" i="2" a="1"/>
  <c r="M2111" i="2" s="1"/>
  <c r="M2112" i="2" a="1"/>
  <c r="M2112" i="2" s="1"/>
  <c r="M2113" i="2" a="1"/>
  <c r="M2113" i="2" s="1"/>
  <c r="M2114" i="2" a="1"/>
  <c r="M2114" i="2" s="1"/>
  <c r="M2115" i="2" a="1"/>
  <c r="M2115" i="2" s="1"/>
  <c r="M2116" i="2" a="1"/>
  <c r="M2116" i="2" s="1"/>
  <c r="M2117" i="2" a="1"/>
  <c r="M2117" i="2" s="1"/>
  <c r="M2118" i="2" a="1"/>
  <c r="M2118" i="2" s="1"/>
  <c r="M2119" i="2" a="1"/>
  <c r="M2119" i="2" s="1"/>
  <c r="M2120" i="2" a="1"/>
  <c r="M2120" i="2" s="1"/>
  <c r="M2121" i="2" a="1"/>
  <c r="M2121" i="2" s="1"/>
  <c r="M2122" i="2" a="1"/>
  <c r="M2122" i="2" s="1"/>
  <c r="M2123" i="2" a="1"/>
  <c r="M2123" i="2" s="1"/>
  <c r="M2124" i="2" a="1"/>
  <c r="M2124" i="2" s="1"/>
  <c r="M2125" i="2" a="1"/>
  <c r="M2125" i="2" s="1"/>
  <c r="M2126" i="2" a="1"/>
  <c r="M2126" i="2" s="1"/>
  <c r="M2127" i="2" a="1"/>
  <c r="M2127" i="2" s="1"/>
  <c r="M2128" i="2" a="1"/>
  <c r="M2128" i="2" s="1"/>
  <c r="M2129" i="2" a="1"/>
  <c r="M2129" i="2" s="1"/>
  <c r="M2130" i="2" a="1"/>
  <c r="M2130" i="2" s="1"/>
  <c r="M2131" i="2" a="1"/>
  <c r="M2131" i="2" s="1"/>
  <c r="M2132" i="2" a="1"/>
  <c r="M2132" i="2" s="1"/>
  <c r="M2133" i="2" a="1"/>
  <c r="M2133" i="2" s="1"/>
  <c r="M2134" i="2" a="1"/>
  <c r="M2134" i="2" s="1"/>
  <c r="M2135" i="2" a="1"/>
  <c r="M2135" i="2" s="1"/>
  <c r="M2136" i="2" a="1"/>
  <c r="M2136" i="2" s="1"/>
  <c r="M2137" i="2" a="1"/>
  <c r="M2137" i="2" s="1"/>
  <c r="M2138" i="2" a="1"/>
  <c r="M2138" i="2" s="1"/>
  <c r="M2139" i="2" a="1"/>
  <c r="M2139" i="2" s="1"/>
  <c r="M2140" i="2" a="1"/>
  <c r="M2140" i="2" s="1"/>
  <c r="M2141" i="2" a="1"/>
  <c r="M2141" i="2" s="1"/>
  <c r="M2142" i="2" a="1"/>
  <c r="M2142" i="2" s="1"/>
  <c r="M2143" i="2" a="1"/>
  <c r="M2143" i="2" s="1"/>
  <c r="M2144" i="2" a="1"/>
  <c r="M2144" i="2" s="1"/>
  <c r="M2145" i="2" a="1"/>
  <c r="M2145" i="2" s="1"/>
  <c r="M2146" i="2" a="1"/>
  <c r="M2146" i="2" s="1"/>
  <c r="M2147" i="2" a="1"/>
  <c r="M2147" i="2" s="1"/>
  <c r="M2148" i="2" a="1"/>
  <c r="M2148" i="2" s="1"/>
  <c r="M2149" i="2" a="1"/>
  <c r="M2149" i="2" s="1"/>
  <c r="M2150" i="2" a="1"/>
  <c r="M2150" i="2" s="1"/>
  <c r="M2151" i="2" a="1"/>
  <c r="M2151" i="2" s="1"/>
  <c r="M2152" i="2" a="1"/>
  <c r="M2152" i="2" s="1"/>
  <c r="M2153" i="2" a="1"/>
  <c r="M2153" i="2" s="1"/>
  <c r="M2154" i="2" a="1"/>
  <c r="M2154" i="2" s="1"/>
  <c r="M2155" i="2" a="1"/>
  <c r="M2155" i="2" s="1"/>
  <c r="M2156" i="2" a="1"/>
  <c r="M2156" i="2" s="1"/>
  <c r="M2157" i="2" a="1"/>
  <c r="M2157" i="2" s="1"/>
  <c r="M2158" i="2" a="1"/>
  <c r="M2158" i="2" s="1"/>
  <c r="M2159" i="2" a="1"/>
  <c r="M2159" i="2" s="1"/>
  <c r="M2160" i="2" a="1"/>
  <c r="M2160" i="2" s="1"/>
  <c r="M2161" i="2" a="1"/>
  <c r="M2161" i="2" s="1"/>
  <c r="M2162" i="2" a="1"/>
  <c r="M2162" i="2" s="1"/>
  <c r="M2163" i="2" a="1"/>
  <c r="M2163" i="2" s="1"/>
  <c r="M2164" i="2" a="1"/>
  <c r="M2164" i="2" s="1"/>
  <c r="M2165" i="2" a="1"/>
  <c r="M2165" i="2" s="1"/>
  <c r="M2166" i="2" a="1"/>
  <c r="M2166" i="2" s="1"/>
  <c r="M2167" i="2" a="1"/>
  <c r="M2167" i="2" s="1"/>
  <c r="M2168" i="2" a="1"/>
  <c r="M2168" i="2" s="1"/>
  <c r="M2169" i="2" a="1"/>
  <c r="M2169" i="2" s="1"/>
  <c r="M2170" i="2" a="1"/>
  <c r="M2170" i="2" s="1"/>
  <c r="M2171" i="2" a="1"/>
  <c r="M2171" i="2" s="1"/>
  <c r="M2172" i="2" a="1"/>
  <c r="M2172" i="2" s="1"/>
  <c r="M2173" i="2" a="1"/>
  <c r="M2173" i="2" s="1"/>
  <c r="M2174" i="2" a="1"/>
  <c r="M2174" i="2" s="1"/>
  <c r="M2175" i="2" a="1"/>
  <c r="M2175" i="2" s="1"/>
  <c r="M2176" i="2" a="1"/>
  <c r="M2176" i="2" s="1"/>
  <c r="M2177" i="2" a="1"/>
  <c r="M2177" i="2" s="1"/>
  <c r="M2178" i="2" a="1"/>
  <c r="M2178" i="2"/>
  <c r="M2179" i="2" a="1"/>
  <c r="M2179" i="2" s="1"/>
  <c r="M2180" i="2" a="1"/>
  <c r="M2180" i="2" s="1"/>
  <c r="M2181" i="2" a="1"/>
  <c r="M2181" i="2" s="1"/>
  <c r="M2182" i="2" a="1"/>
  <c r="M2182" i="2" s="1"/>
  <c r="M2183" i="2" a="1"/>
  <c r="M2183" i="2" s="1"/>
  <c r="M2184" i="2" a="1"/>
  <c r="M2184" i="2" s="1"/>
  <c r="M2185" i="2" a="1"/>
  <c r="M2185" i="2" s="1"/>
  <c r="M2186" i="2" a="1"/>
  <c r="M2186" i="2" s="1"/>
  <c r="M2187" i="2" a="1"/>
  <c r="M2187" i="2" s="1"/>
  <c r="M2188" i="2" a="1"/>
  <c r="M2188" i="2" s="1"/>
  <c r="M2189" i="2" a="1"/>
  <c r="M2189" i="2" s="1"/>
  <c r="M2190" i="2" a="1"/>
  <c r="M2190" i="2" s="1"/>
  <c r="M2191" i="2" a="1"/>
  <c r="M2191" i="2" s="1"/>
  <c r="M2192" i="2" a="1"/>
  <c r="M2192" i="2" s="1"/>
  <c r="M2193" i="2" a="1"/>
  <c r="M2193" i="2" s="1"/>
  <c r="M2194" i="2" a="1"/>
  <c r="M2194" i="2" s="1"/>
  <c r="M2195" i="2" a="1"/>
  <c r="M2195" i="2" s="1"/>
  <c r="M2196" i="2" a="1"/>
  <c r="M2196" i="2" s="1"/>
  <c r="M2197" i="2" a="1"/>
  <c r="M2197" i="2" s="1"/>
  <c r="M2198" i="2" a="1"/>
  <c r="M2198" i="2" s="1"/>
  <c r="M2199" i="2" a="1"/>
  <c r="M2199" i="2" s="1"/>
  <c r="M2200" i="2" a="1"/>
  <c r="M2200" i="2" s="1"/>
  <c r="M2201" i="2" a="1"/>
  <c r="M2201" i="2" s="1"/>
  <c r="M2202" i="2" a="1"/>
  <c r="M2202" i="2" s="1"/>
  <c r="M2203" i="2" a="1"/>
  <c r="M2203" i="2" s="1"/>
  <c r="M2204" i="2" a="1"/>
  <c r="M2204" i="2" s="1"/>
  <c r="M2205" i="2" a="1"/>
  <c r="M2205" i="2" s="1"/>
  <c r="M2206" i="2" a="1"/>
  <c r="M2206" i="2" s="1"/>
  <c r="M2207" i="2" a="1"/>
  <c r="M2207" i="2" s="1"/>
  <c r="M2208" i="2" a="1"/>
  <c r="M2208" i="2" s="1"/>
  <c r="M2209" i="2" a="1"/>
  <c r="M2209" i="2" s="1"/>
  <c r="M2210" i="2" a="1"/>
  <c r="M2210" i="2" s="1"/>
  <c r="M2211" i="2" a="1"/>
  <c r="M2211" i="2" s="1"/>
  <c r="M2212" i="2" a="1"/>
  <c r="M2212" i="2" s="1"/>
  <c r="M2213" i="2" a="1"/>
  <c r="M2213" i="2" s="1"/>
  <c r="M2214" i="2" a="1"/>
  <c r="M2214" i="2" s="1"/>
  <c r="M2215" i="2" a="1"/>
  <c r="M2215" i="2" s="1"/>
  <c r="M2216" i="2" a="1"/>
  <c r="M2216" i="2" s="1"/>
  <c r="M2217" i="2" a="1"/>
  <c r="M2217" i="2" s="1"/>
  <c r="M2218" i="2" a="1"/>
  <c r="M2218" i="2" s="1"/>
  <c r="M2219" i="2" a="1"/>
  <c r="M2219" i="2" s="1"/>
  <c r="M2220" i="2" a="1"/>
  <c r="M2220" i="2" s="1"/>
  <c r="M2221" i="2" a="1"/>
  <c r="M2221" i="2" s="1"/>
  <c r="M2222" i="2" a="1"/>
  <c r="M2222" i="2" s="1"/>
  <c r="M2223" i="2" a="1"/>
  <c r="M2223" i="2" s="1"/>
  <c r="M2224" i="2" a="1"/>
  <c r="M2224" i="2" s="1"/>
  <c r="M2225" i="2" a="1"/>
  <c r="M2225" i="2" s="1"/>
  <c r="M2226" i="2" a="1"/>
  <c r="M2226" i="2" s="1"/>
  <c r="M2227" i="2" a="1"/>
  <c r="M2227" i="2" s="1"/>
  <c r="M2228" i="2" a="1"/>
  <c r="M2228" i="2" s="1"/>
  <c r="M2229" i="2" a="1"/>
  <c r="M2229" i="2" s="1"/>
  <c r="M2230" i="2" a="1"/>
  <c r="M2230" i="2" s="1"/>
  <c r="M2231" i="2" a="1"/>
  <c r="M2231" i="2" s="1"/>
  <c r="M2232" i="2" a="1"/>
  <c r="M2232" i="2" s="1"/>
  <c r="M2233" i="2" a="1"/>
  <c r="M2233" i="2" s="1"/>
  <c r="M2234" i="2" a="1"/>
  <c r="M2234" i="2" s="1"/>
  <c r="M2235" i="2" a="1"/>
  <c r="M2235" i="2" s="1"/>
  <c r="M2236" i="2" a="1"/>
  <c r="M2236" i="2" s="1"/>
  <c r="M2237" i="2" a="1"/>
  <c r="M2237" i="2" s="1"/>
  <c r="M2238" i="2" a="1"/>
  <c r="M2238" i="2" s="1"/>
  <c r="M2239" i="2" a="1"/>
  <c r="M2239" i="2" s="1"/>
  <c r="M2240" i="2" a="1"/>
  <c r="M2240" i="2" s="1"/>
  <c r="M2241" i="2" a="1"/>
  <c r="M2241" i="2" s="1"/>
  <c r="M2242" i="2" a="1"/>
  <c r="M2242" i="2" s="1"/>
  <c r="M2243" i="2" a="1"/>
  <c r="M2243" i="2" s="1"/>
  <c r="M2244" i="2" a="1"/>
  <c r="M2244" i="2" s="1"/>
  <c r="M2245" i="2" a="1"/>
  <c r="M2245" i="2" s="1"/>
  <c r="M2246" i="2" a="1"/>
  <c r="M2246" i="2" s="1"/>
  <c r="M2247" i="2" a="1"/>
  <c r="M2247" i="2" s="1"/>
  <c r="M2248" i="2" a="1"/>
  <c r="M2248" i="2" s="1"/>
  <c r="M2249" i="2" a="1"/>
  <c r="M2249" i="2" s="1"/>
  <c r="M2250" i="2" a="1"/>
  <c r="M2250" i="2" s="1"/>
  <c r="M2251" i="2" a="1"/>
  <c r="M2251" i="2" s="1"/>
  <c r="M2252" i="2" a="1"/>
  <c r="M2252" i="2" s="1"/>
  <c r="M2253" i="2" a="1"/>
  <c r="M2253" i="2" s="1"/>
  <c r="M2254" i="2" a="1"/>
  <c r="M2254" i="2" s="1"/>
  <c r="M2255" i="2" a="1"/>
  <c r="M2255" i="2" s="1"/>
  <c r="M2256" i="2" a="1"/>
  <c r="M2256" i="2" s="1"/>
  <c r="M2257" i="2" a="1"/>
  <c r="M2257" i="2" s="1"/>
  <c r="M2258" i="2" a="1"/>
  <c r="M2258" i="2" s="1"/>
  <c r="M2259" i="2" a="1"/>
  <c r="M2259" i="2" s="1"/>
  <c r="M2260" i="2" a="1"/>
  <c r="M2260" i="2" s="1"/>
  <c r="M2261" i="2" a="1"/>
  <c r="M2261" i="2" s="1"/>
  <c r="M2262" i="2" a="1"/>
  <c r="M2262" i="2" s="1"/>
  <c r="M2263" i="2" a="1"/>
  <c r="M2263" i="2"/>
  <c r="M2264" i="2" a="1"/>
  <c r="M2264" i="2" s="1"/>
  <c r="M2265" i="2" a="1"/>
  <c r="M2265" i="2" s="1"/>
  <c r="M2266" i="2" a="1"/>
  <c r="M2266" i="2" s="1"/>
  <c r="M2267" i="2" a="1"/>
  <c r="M2267" i="2" s="1"/>
  <c r="M2268" i="2" a="1"/>
  <c r="M2268" i="2" s="1"/>
  <c r="M2269" i="2" a="1"/>
  <c r="M2269" i="2" s="1"/>
  <c r="M2270" i="2" a="1"/>
  <c r="M2270" i="2" s="1"/>
  <c r="M2271" i="2" a="1"/>
  <c r="M2271" i="2" s="1"/>
  <c r="M2272" i="2" a="1"/>
  <c r="M2272" i="2" s="1"/>
  <c r="M2273" i="2" a="1"/>
  <c r="M2273" i="2" s="1"/>
  <c r="M2274" i="2" a="1"/>
  <c r="M2274" i="2" s="1"/>
  <c r="M2275" i="2" a="1"/>
  <c r="M2275" i="2" s="1"/>
  <c r="M2276" i="2" a="1"/>
  <c r="M2276" i="2" s="1"/>
  <c r="M2277" i="2" a="1"/>
  <c r="M2277" i="2" s="1"/>
  <c r="M2278" i="2" a="1"/>
  <c r="M2278" i="2" s="1"/>
  <c r="M2279" i="2" a="1"/>
  <c r="M2279" i="2" s="1"/>
  <c r="M2280" i="2" a="1"/>
  <c r="M2280" i="2" s="1"/>
  <c r="M2281" i="2" a="1"/>
  <c r="M2281" i="2" s="1"/>
  <c r="M2282" i="2" a="1"/>
  <c r="M2282" i="2" s="1"/>
  <c r="M2283" i="2" a="1"/>
  <c r="M2283" i="2" s="1"/>
  <c r="M2284" i="2" a="1"/>
  <c r="M2284" i="2" s="1"/>
  <c r="M2285" i="2" a="1"/>
  <c r="M2285" i="2" s="1"/>
  <c r="M2286" i="2" a="1"/>
  <c r="M2286" i="2" s="1"/>
  <c r="M2287" i="2" a="1"/>
  <c r="M2287" i="2" s="1"/>
  <c r="M2288" i="2" a="1"/>
  <c r="M2288" i="2" s="1"/>
  <c r="M2289" i="2" a="1"/>
  <c r="M2289" i="2" s="1"/>
  <c r="M2290" i="2" a="1"/>
  <c r="M2290" i="2" s="1"/>
  <c r="M2291" i="2" a="1"/>
  <c r="M2291" i="2" s="1"/>
  <c r="M2292" i="2" a="1"/>
  <c r="M2292" i="2" s="1"/>
  <c r="M2293" i="2" a="1"/>
  <c r="M2293" i="2" s="1"/>
  <c r="M2294" i="2" a="1"/>
  <c r="M2294" i="2" s="1"/>
  <c r="M2295" i="2" a="1"/>
  <c r="M2295" i="2" s="1"/>
  <c r="M2296" i="2" a="1"/>
  <c r="M2296" i="2" s="1"/>
  <c r="M2297" i="2" a="1"/>
  <c r="M2297" i="2" s="1"/>
  <c r="M2298" i="2" a="1"/>
  <c r="M2298" i="2" s="1"/>
  <c r="M2299" i="2" a="1"/>
  <c r="M2299" i="2" s="1"/>
  <c r="M2300" i="2" a="1"/>
  <c r="M2300" i="2" s="1"/>
  <c r="M2301" i="2" a="1"/>
  <c r="M2301" i="2" s="1"/>
  <c r="M2302" i="2" a="1"/>
  <c r="M2302" i="2" s="1"/>
  <c r="M2303" i="2" a="1"/>
  <c r="M2303" i="2" s="1"/>
  <c r="M2304" i="2" a="1"/>
  <c r="M2304" i="2" s="1"/>
  <c r="M2305" i="2" a="1"/>
  <c r="M2305" i="2" s="1"/>
  <c r="M2306" i="2" a="1"/>
  <c r="M2306" i="2" s="1"/>
  <c r="M2307" i="2" a="1"/>
  <c r="M2307" i="2" s="1"/>
  <c r="M2308" i="2" a="1"/>
  <c r="M2308" i="2" s="1"/>
  <c r="M2309" i="2" a="1"/>
  <c r="M2309" i="2"/>
  <c r="M2310" i="2" a="1"/>
  <c r="M2310" i="2" s="1"/>
  <c r="M2311" i="2" a="1"/>
  <c r="M2311" i="2" s="1"/>
  <c r="M2312" i="2" a="1"/>
  <c r="M2312" i="2" s="1"/>
  <c r="M2313" i="2" a="1"/>
  <c r="M2313" i="2" s="1"/>
  <c r="M2314" i="2" a="1"/>
  <c r="M2314" i="2" s="1"/>
  <c r="M2315" i="2" a="1"/>
  <c r="M2315" i="2" s="1"/>
  <c r="M2316" i="2" a="1"/>
  <c r="M2316" i="2" s="1"/>
  <c r="M2317" i="2" a="1"/>
  <c r="M2317" i="2" s="1"/>
  <c r="M2318" i="2" a="1"/>
  <c r="M2318" i="2" s="1"/>
  <c r="M2319" i="2" a="1"/>
  <c r="M2319" i="2" s="1"/>
  <c r="M2320" i="2" a="1"/>
  <c r="M2320" i="2" s="1"/>
  <c r="M2321" i="2" a="1"/>
  <c r="M2321" i="2" s="1"/>
  <c r="M2322" i="2" a="1"/>
  <c r="M2322" i="2" s="1"/>
  <c r="M2323" i="2" a="1"/>
  <c r="M2323" i="2" s="1"/>
  <c r="M2324" i="2" a="1"/>
  <c r="M2324" i="2" s="1"/>
  <c r="M2325" i="2" a="1"/>
  <c r="M2325" i="2" s="1"/>
  <c r="M2326" i="2" a="1"/>
  <c r="M2326" i="2" s="1"/>
  <c r="M2327" i="2" a="1"/>
  <c r="M2327" i="2" s="1"/>
  <c r="M2328" i="2" a="1"/>
  <c r="M2328" i="2" s="1"/>
  <c r="M2329" i="2" a="1"/>
  <c r="M2329" i="2" s="1"/>
  <c r="M2330" i="2" a="1"/>
  <c r="M2330" i="2" s="1"/>
  <c r="M2331" i="2" a="1"/>
  <c r="M2331" i="2" s="1"/>
  <c r="M2332" i="2" a="1"/>
  <c r="M2332" i="2" s="1"/>
  <c r="M2333" i="2" a="1"/>
  <c r="M2333" i="2" s="1"/>
  <c r="M2334" i="2" a="1"/>
  <c r="M2334" i="2" s="1"/>
  <c r="M2335" i="2" a="1"/>
  <c r="M2335" i="2" s="1"/>
  <c r="M2336" i="2" a="1"/>
  <c r="M2336" i="2" s="1"/>
  <c r="M2337" i="2" a="1"/>
  <c r="M2337" i="2" s="1"/>
  <c r="M2338" i="2" a="1"/>
  <c r="M2338" i="2" s="1"/>
  <c r="M2339" i="2" a="1"/>
  <c r="M2339" i="2" s="1"/>
  <c r="M2340" i="2" a="1"/>
  <c r="M2340" i="2" s="1"/>
  <c r="M2341" i="2" a="1"/>
  <c r="M2341" i="2" s="1"/>
  <c r="M2342" i="2" a="1"/>
  <c r="M2342" i="2" s="1"/>
  <c r="M2343" i="2" a="1"/>
  <c r="M2343" i="2" s="1"/>
  <c r="M2344" i="2" a="1"/>
  <c r="M2344" i="2" s="1"/>
  <c r="M2345" i="2" a="1"/>
  <c r="M2345" i="2" s="1"/>
  <c r="M2346" i="2" a="1"/>
  <c r="M2346" i="2" s="1"/>
  <c r="M2347" i="2" a="1"/>
  <c r="M2347" i="2" s="1"/>
  <c r="M2348" i="2" a="1"/>
  <c r="M2348" i="2" s="1"/>
  <c r="M2349" i="2" a="1"/>
  <c r="M2349" i="2" s="1"/>
  <c r="M2350" i="2" a="1"/>
  <c r="M2350" i="2" s="1"/>
  <c r="M2351" i="2" a="1"/>
  <c r="M2351" i="2" s="1"/>
  <c r="M2352" i="2" a="1"/>
  <c r="M2352" i="2" s="1"/>
  <c r="M2353" i="2" a="1"/>
  <c r="M2353" i="2" s="1"/>
  <c r="M2354" i="2" a="1"/>
  <c r="M2354" i="2" s="1"/>
  <c r="M2355" i="2" a="1"/>
  <c r="M2355" i="2" s="1"/>
  <c r="M2356" i="2" a="1"/>
  <c r="M2356" i="2" s="1"/>
  <c r="M2357" i="2" a="1"/>
  <c r="M2357" i="2" s="1"/>
  <c r="M2358" i="2" a="1"/>
  <c r="M2358" i="2" s="1"/>
  <c r="M2359" i="2" a="1"/>
  <c r="M2359" i="2" s="1"/>
  <c r="M2360" i="2" a="1"/>
  <c r="M2360" i="2" s="1"/>
  <c r="M2361" i="2" a="1"/>
  <c r="M2361" i="2" s="1"/>
  <c r="M2362" i="2" a="1"/>
  <c r="M2362" i="2" s="1"/>
  <c r="M2363" i="2" a="1"/>
  <c r="M2363" i="2" s="1"/>
  <c r="M2364" i="2" a="1"/>
  <c r="M2364" i="2" s="1"/>
  <c r="M2365" i="2" a="1"/>
  <c r="M2365" i="2" s="1"/>
  <c r="M2366" i="2" a="1"/>
  <c r="M2366" i="2" s="1"/>
  <c r="M2367" i="2" a="1"/>
  <c r="M2367" i="2" s="1"/>
  <c r="M2368" i="2" a="1"/>
  <c r="M2368" i="2" s="1"/>
  <c r="M2369" i="2" a="1"/>
  <c r="M2369" i="2" s="1"/>
  <c r="M2370" i="2" a="1"/>
  <c r="M2370" i="2" s="1"/>
  <c r="M2371" i="2" a="1"/>
  <c r="M2371" i="2" s="1"/>
  <c r="M2372" i="2" a="1"/>
  <c r="M2372" i="2" s="1"/>
  <c r="M2373" i="2" a="1"/>
  <c r="M2373" i="2" s="1"/>
  <c r="M2374" i="2" a="1"/>
  <c r="M2374" i="2" s="1"/>
  <c r="M2375" i="2" a="1"/>
  <c r="M2375" i="2" s="1"/>
  <c r="M2376" i="2" a="1"/>
  <c r="M2376" i="2" s="1"/>
  <c r="M2377" i="2" a="1"/>
  <c r="M2377" i="2" s="1"/>
  <c r="M2378" i="2" a="1"/>
  <c r="M2378" i="2" s="1"/>
  <c r="M2379" i="2" a="1"/>
  <c r="M2379" i="2" s="1"/>
  <c r="M2380" i="2" a="1"/>
  <c r="M2380" i="2" s="1"/>
  <c r="M2381" i="2" a="1"/>
  <c r="M2381" i="2" s="1"/>
  <c r="M2382" i="2" a="1"/>
  <c r="M2382" i="2" s="1"/>
  <c r="M2383" i="2" a="1"/>
  <c r="M2383" i="2" s="1"/>
  <c r="M2384" i="2" a="1"/>
  <c r="M2384" i="2" s="1"/>
  <c r="M2385" i="2" a="1"/>
  <c r="M2385" i="2" s="1"/>
  <c r="M2386" i="2" a="1"/>
  <c r="M2386" i="2" s="1"/>
  <c r="M2387" i="2" a="1"/>
  <c r="M2387" i="2" s="1"/>
  <c r="M2388" i="2" a="1"/>
  <c r="M2388" i="2" s="1"/>
  <c r="M2389" i="2" a="1"/>
  <c r="M2389" i="2" s="1"/>
  <c r="M2390" i="2" a="1"/>
  <c r="M2390" i="2" s="1"/>
  <c r="M2391" i="2" a="1"/>
  <c r="M2391" i="2" s="1"/>
  <c r="M2392" i="2" a="1"/>
  <c r="M2392" i="2" s="1"/>
  <c r="M2393" i="2" a="1"/>
  <c r="M2393" i="2" s="1"/>
  <c r="M2394" i="2" a="1"/>
  <c r="M2394" i="2" s="1"/>
  <c r="M2395" i="2" a="1"/>
  <c r="M2395" i="2" s="1"/>
  <c r="M2396" i="2" a="1"/>
  <c r="M2396" i="2" s="1"/>
  <c r="M2397" i="2" a="1"/>
  <c r="M2397" i="2" s="1"/>
  <c r="M2398" i="2" a="1"/>
  <c r="M2398" i="2" s="1"/>
  <c r="M2399" i="2" a="1"/>
  <c r="M2399" i="2" s="1"/>
  <c r="M2400" i="2" a="1"/>
  <c r="M2400" i="2" s="1"/>
  <c r="M2401" i="2" a="1"/>
  <c r="M2401" i="2" s="1"/>
  <c r="M2402" i="2" a="1"/>
  <c r="M2402" i="2" s="1"/>
  <c r="M2403" i="2" a="1"/>
  <c r="M2403" i="2" s="1"/>
  <c r="M2404" i="2" a="1"/>
  <c r="M2404" i="2" s="1"/>
  <c r="M2405" i="2" a="1"/>
  <c r="M2405" i="2" s="1"/>
  <c r="M2406" i="2" a="1"/>
  <c r="M2406" i="2" s="1"/>
  <c r="M2407" i="2" a="1"/>
  <c r="M2407" i="2" s="1"/>
  <c r="M2408" i="2" a="1"/>
  <c r="M2408" i="2" s="1"/>
  <c r="M2409" i="2" a="1"/>
  <c r="M2409" i="2" s="1"/>
  <c r="M2410" i="2" a="1"/>
  <c r="M2410" i="2" s="1"/>
  <c r="M2411" i="2" a="1"/>
  <c r="M2411" i="2" s="1"/>
  <c r="M2412" i="2" a="1"/>
  <c r="M2412" i="2" s="1"/>
  <c r="M2413" i="2" a="1"/>
  <c r="M2413" i="2" s="1"/>
  <c r="M2414" i="2" a="1"/>
  <c r="M2414" i="2" s="1"/>
  <c r="M2415" i="2" a="1"/>
  <c r="M2415" i="2" s="1"/>
  <c r="M2416" i="2" a="1"/>
  <c r="M2416" i="2" s="1"/>
  <c r="M2417" i="2" a="1"/>
  <c r="M2417" i="2" s="1"/>
  <c r="M2418" i="2" a="1"/>
  <c r="M2418" i="2" s="1"/>
  <c r="M2419" i="2" a="1"/>
  <c r="M2419" i="2" s="1"/>
  <c r="M2420" i="2" a="1"/>
  <c r="M2420" i="2" s="1"/>
  <c r="M2421" i="2" a="1"/>
  <c r="M2421" i="2" s="1"/>
  <c r="M2422" i="2" a="1"/>
  <c r="M2422" i="2" s="1"/>
  <c r="M2423" i="2" a="1"/>
  <c r="M2423" i="2" s="1"/>
  <c r="M2424" i="2" a="1"/>
  <c r="M2424" i="2" s="1"/>
  <c r="M2425" i="2" a="1"/>
  <c r="M2425" i="2" s="1"/>
  <c r="M2426" i="2" a="1"/>
  <c r="M2426" i="2" s="1"/>
  <c r="M2427" i="2" a="1"/>
  <c r="M2427" i="2" s="1"/>
  <c r="M2428" i="2" a="1"/>
  <c r="M2428" i="2" s="1"/>
  <c r="M2429" i="2" a="1"/>
  <c r="M2429" i="2" s="1"/>
  <c r="M2430" i="2" a="1"/>
  <c r="M2430" i="2" s="1"/>
  <c r="M2431" i="2" a="1"/>
  <c r="M2431" i="2" s="1"/>
  <c r="M2432" i="2" a="1"/>
  <c r="M2432" i="2" s="1"/>
  <c r="M2433" i="2" a="1"/>
  <c r="M2433" i="2" s="1"/>
  <c r="M2434" i="2" a="1"/>
  <c r="M2434" i="2" s="1"/>
  <c r="M2435" i="2" a="1"/>
  <c r="M2435" i="2" s="1"/>
  <c r="M2436" i="2" a="1"/>
  <c r="M2436" i="2" s="1"/>
  <c r="M2437" i="2" a="1"/>
  <c r="M2437" i="2" s="1"/>
  <c r="M2438" i="2" a="1"/>
  <c r="M2438" i="2" s="1"/>
  <c r="M2439" i="2" a="1"/>
  <c r="M2439" i="2" s="1"/>
  <c r="M2440" i="2" a="1"/>
  <c r="M2440" i="2" s="1"/>
  <c r="M2441" i="2" a="1"/>
  <c r="M2441" i="2" s="1"/>
  <c r="M2442" i="2" a="1"/>
  <c r="M2442" i="2" s="1"/>
  <c r="M2443" i="2" a="1"/>
  <c r="M2443" i="2" s="1"/>
  <c r="M2444" i="2" a="1"/>
  <c r="M2444" i="2" s="1"/>
  <c r="M2445" i="2" a="1"/>
  <c r="M2445" i="2" s="1"/>
  <c r="M2446" i="2" a="1"/>
  <c r="M2446" i="2" s="1"/>
  <c r="M2447" i="2" a="1"/>
  <c r="M2447" i="2" s="1"/>
  <c r="M2448" i="2" a="1"/>
  <c r="M2448" i="2" s="1"/>
  <c r="M2449" i="2" a="1"/>
  <c r="M2449" i="2" s="1"/>
  <c r="M2450" i="2" a="1"/>
  <c r="M2450" i="2" s="1"/>
  <c r="M2451" i="2" a="1"/>
  <c r="M2451" i="2" s="1"/>
  <c r="M2452" i="2" a="1"/>
  <c r="M2452" i="2" s="1"/>
  <c r="M2453" i="2" a="1"/>
  <c r="M2453" i="2" s="1"/>
  <c r="M2454" i="2" a="1"/>
  <c r="M2454" i="2" s="1"/>
  <c r="M2455" i="2" a="1"/>
  <c r="M2455" i="2" s="1"/>
  <c r="M2456" i="2" a="1"/>
  <c r="M2456" i="2" s="1"/>
  <c r="M2457" i="2" a="1"/>
  <c r="M2457" i="2" s="1"/>
  <c r="M2458" i="2" a="1"/>
  <c r="M2458" i="2" s="1"/>
  <c r="M2459" i="2" a="1"/>
  <c r="M2459" i="2" s="1"/>
  <c r="M2460" i="2" a="1"/>
  <c r="M2460" i="2" s="1"/>
  <c r="M2461" i="2" a="1"/>
  <c r="M2461" i="2" s="1"/>
  <c r="M2462" i="2" a="1"/>
  <c r="M2462" i="2" s="1"/>
  <c r="M2463" i="2" a="1"/>
  <c r="M2463" i="2" s="1"/>
  <c r="M2464" i="2" a="1"/>
  <c r="M2464" i="2" s="1"/>
  <c r="M2465" i="2" a="1"/>
  <c r="M2465" i="2" s="1"/>
  <c r="M2466" i="2" a="1"/>
  <c r="M2466" i="2" s="1"/>
  <c r="M2467" i="2" a="1"/>
  <c r="M2467" i="2" s="1"/>
  <c r="M2468" i="2" a="1"/>
  <c r="M2468" i="2" s="1"/>
  <c r="M2469" i="2" a="1"/>
  <c r="M2469" i="2" s="1"/>
  <c r="M2470" i="2" a="1"/>
  <c r="M2470" i="2" s="1"/>
  <c r="M2471" i="2" a="1"/>
  <c r="M2471" i="2" s="1"/>
  <c r="M2472" i="2" a="1"/>
  <c r="M2472" i="2" s="1"/>
  <c r="M2473" i="2" a="1"/>
  <c r="M2473" i="2" s="1"/>
  <c r="M2474" i="2" a="1"/>
  <c r="M2474" i="2" s="1"/>
  <c r="M2475" i="2" a="1"/>
  <c r="M2475" i="2" s="1"/>
  <c r="M2476" i="2" a="1"/>
  <c r="M2476" i="2" s="1"/>
  <c r="M2477" i="2" a="1"/>
  <c r="M2477" i="2" s="1"/>
  <c r="M2478" i="2" a="1"/>
  <c r="M2478" i="2" s="1"/>
  <c r="M2479" i="2" a="1"/>
  <c r="M2479" i="2" s="1"/>
  <c r="M2480" i="2" a="1"/>
  <c r="M2480" i="2" s="1"/>
  <c r="M2481" i="2" a="1"/>
  <c r="M2481" i="2" s="1"/>
  <c r="M2482" i="2" a="1"/>
  <c r="M2482" i="2" s="1"/>
  <c r="M2483" i="2" a="1"/>
  <c r="M2483" i="2" s="1"/>
  <c r="M2484" i="2" a="1"/>
  <c r="M2484" i="2" s="1"/>
  <c r="M2485" i="2" a="1"/>
  <c r="M2485" i="2" s="1"/>
  <c r="M2486" i="2" a="1"/>
  <c r="M2486" i="2" s="1"/>
  <c r="M2487" i="2" a="1"/>
  <c r="M2487" i="2" s="1"/>
  <c r="M2488" i="2" a="1"/>
  <c r="M2488" i="2" s="1"/>
  <c r="M2489" i="2" a="1"/>
  <c r="M2489" i="2" s="1"/>
  <c r="M2490" i="2" a="1"/>
  <c r="M2490" i="2" s="1"/>
  <c r="M2491" i="2" a="1"/>
  <c r="M2491" i="2" s="1"/>
  <c r="M2492" i="2" a="1"/>
  <c r="M2492" i="2" s="1"/>
  <c r="M2493" i="2" a="1"/>
  <c r="M2493" i="2" s="1"/>
  <c r="M2494" i="2" a="1"/>
  <c r="M2494" i="2" s="1"/>
  <c r="M2495" i="2" a="1"/>
  <c r="M2495" i="2" s="1"/>
  <c r="M2496" i="2" a="1"/>
  <c r="M2496" i="2" s="1"/>
  <c r="M2497" i="2" a="1"/>
  <c r="M2497" i="2" s="1"/>
  <c r="M2498" i="2" a="1"/>
  <c r="M2498" i="2" s="1"/>
  <c r="M2499" i="2" a="1"/>
  <c r="M2499" i="2" s="1"/>
  <c r="M2500" i="2" a="1"/>
  <c r="M2500" i="2" s="1"/>
  <c r="M2501" i="2" a="1"/>
  <c r="M2501" i="2" s="1"/>
  <c r="M2502" i="2" a="1"/>
  <c r="M2502" i="2" s="1"/>
  <c r="M2503" i="2" a="1"/>
  <c r="M2503" i="2" s="1"/>
  <c r="M2504" i="2" a="1"/>
  <c r="M2504" i="2" s="1"/>
  <c r="M2505" i="2" a="1"/>
  <c r="M2505" i="2" s="1"/>
  <c r="M2506" i="2" a="1"/>
  <c r="M2506" i="2" s="1"/>
  <c r="M2507" i="2" a="1"/>
  <c r="M2507" i="2" s="1"/>
  <c r="M2508" i="2" a="1"/>
  <c r="M2508" i="2" s="1"/>
  <c r="M2509" i="2" a="1"/>
  <c r="M2509" i="2" s="1"/>
  <c r="M2510" i="2" a="1"/>
  <c r="M2510" i="2" s="1"/>
  <c r="M2511" i="2" a="1"/>
  <c r="M2511" i="2" s="1"/>
  <c r="M2512" i="2" a="1"/>
  <c r="M2512" i="2" s="1"/>
  <c r="M2513" i="2" a="1"/>
  <c r="M2513" i="2" s="1"/>
  <c r="M2514" i="2" a="1"/>
  <c r="M2514" i="2" s="1"/>
  <c r="M2515" i="2" a="1"/>
  <c r="M2515" i="2" s="1"/>
  <c r="M2516" i="2" a="1"/>
  <c r="M2516" i="2" s="1"/>
  <c r="M2517" i="2" a="1"/>
  <c r="M2517" i="2" s="1"/>
  <c r="M2518" i="2" a="1"/>
  <c r="M2518" i="2" s="1"/>
  <c r="M2519" i="2" a="1"/>
  <c r="M2519" i="2" s="1"/>
  <c r="M2520" i="2" a="1"/>
  <c r="M2520" i="2" s="1"/>
  <c r="M2521" i="2" a="1"/>
  <c r="M2521" i="2" s="1"/>
  <c r="M2522" i="2" a="1"/>
  <c r="M2522" i="2" s="1"/>
  <c r="M2523" i="2" a="1"/>
  <c r="M2523" i="2" s="1"/>
  <c r="M2524" i="2" a="1"/>
  <c r="M2524" i="2" s="1"/>
  <c r="M2525" i="2" a="1"/>
  <c r="M2525" i="2" s="1"/>
  <c r="M2526" i="2" a="1"/>
  <c r="M2526" i="2" s="1"/>
  <c r="M2527" i="2" a="1"/>
  <c r="M2527" i="2" s="1"/>
  <c r="M2528" i="2" a="1"/>
  <c r="M2528" i="2" s="1"/>
  <c r="M2529" i="2" a="1"/>
  <c r="M2529" i="2" s="1"/>
  <c r="M2530" i="2" a="1"/>
  <c r="M2530" i="2" s="1"/>
  <c r="M2531" i="2" a="1"/>
  <c r="M2531" i="2" s="1"/>
  <c r="M2532" i="2" a="1"/>
  <c r="M2532" i="2" s="1"/>
  <c r="M2533" i="2" a="1"/>
  <c r="M2533" i="2"/>
  <c r="M2534" i="2" a="1"/>
  <c r="M2534" i="2" s="1"/>
  <c r="M2535" i="2" a="1"/>
  <c r="M2535" i="2" s="1"/>
  <c r="M2536" i="2" a="1"/>
  <c r="M2536" i="2" s="1"/>
  <c r="M2537" i="2" a="1"/>
  <c r="M2537" i="2" s="1"/>
  <c r="M2538" i="2" a="1"/>
  <c r="M2538" i="2" s="1"/>
  <c r="M2539" i="2" a="1"/>
  <c r="M2539" i="2" s="1"/>
  <c r="M2540" i="2" a="1"/>
  <c r="M2540" i="2"/>
  <c r="M2541" i="2" a="1"/>
  <c r="M2541" i="2" s="1"/>
  <c r="M2542" i="2" a="1"/>
  <c r="M2542" i="2" s="1"/>
  <c r="M2543" i="2" a="1"/>
  <c r="M2543" i="2" s="1"/>
  <c r="M2544" i="2" a="1"/>
  <c r="M2544" i="2" s="1"/>
  <c r="M2545" i="2" a="1"/>
  <c r="M2545" i="2" s="1"/>
  <c r="M2546" i="2" a="1"/>
  <c r="M2546" i="2" s="1"/>
  <c r="M2547" i="2" a="1"/>
  <c r="M2547" i="2"/>
  <c r="M2548" i="2" a="1"/>
  <c r="M2548" i="2" s="1"/>
  <c r="M2549" i="2" a="1"/>
  <c r="M2549" i="2" s="1"/>
  <c r="M2550" i="2" a="1"/>
  <c r="M2550" i="2" s="1"/>
  <c r="M2551" i="2" a="1"/>
  <c r="M2551" i="2" s="1"/>
  <c r="M2552" i="2" a="1"/>
  <c r="M2552" i="2" s="1"/>
  <c r="M2553" i="2" a="1"/>
  <c r="M2553" i="2" s="1"/>
  <c r="M2554" i="2" a="1"/>
  <c r="M2554" i="2" s="1"/>
  <c r="M2555" i="2" a="1"/>
  <c r="M2555" i="2" s="1"/>
  <c r="M2556" i="2" a="1"/>
  <c r="M2556" i="2" s="1"/>
  <c r="M2557" i="2" a="1"/>
  <c r="M2557" i="2" s="1"/>
  <c r="M2558" i="2" a="1"/>
  <c r="M2558" i="2" s="1"/>
  <c r="M2559" i="2" a="1"/>
  <c r="M2559" i="2" s="1"/>
  <c r="M2560" i="2" a="1"/>
  <c r="M2560" i="2" s="1"/>
  <c r="M2561" i="2" a="1"/>
  <c r="M2561" i="2" s="1"/>
  <c r="M2562" i="2" a="1"/>
  <c r="M2562" i="2" s="1"/>
  <c r="M2563" i="2" a="1"/>
  <c r="M2563" i="2" s="1"/>
  <c r="M2564" i="2" a="1"/>
  <c r="M2564" i="2" s="1"/>
  <c r="M2565" i="2" a="1"/>
  <c r="M2565" i="2" s="1"/>
  <c r="M2566" i="2" a="1"/>
  <c r="M2566" i="2" s="1"/>
  <c r="M2567" i="2" a="1"/>
  <c r="M2567" i="2" s="1"/>
  <c r="M2568" i="2" a="1"/>
  <c r="M2568" i="2" s="1"/>
  <c r="M2569" i="2" a="1"/>
  <c r="M2569" i="2" s="1"/>
  <c r="M2570" i="2" a="1"/>
  <c r="M2570" i="2" s="1"/>
  <c r="M2571" i="2" a="1"/>
  <c r="M2571" i="2" s="1"/>
  <c r="M2572" i="2" a="1"/>
  <c r="M2572" i="2" s="1"/>
  <c r="M2573" i="2" a="1"/>
  <c r="M2573" i="2" s="1"/>
  <c r="M2574" i="2" a="1"/>
  <c r="M2574" i="2" s="1"/>
  <c r="M2575" i="2" a="1"/>
  <c r="M2575" i="2" s="1"/>
  <c r="M2576" i="2" a="1"/>
  <c r="M2576" i="2" s="1"/>
  <c r="M2577" i="2" a="1"/>
  <c r="M2577" i="2" s="1"/>
  <c r="M2578" i="2" a="1"/>
  <c r="M2578" i="2" s="1"/>
  <c r="M2579" i="2" a="1"/>
  <c r="M2579" i="2" s="1"/>
  <c r="M2580" i="2" a="1"/>
  <c r="M2580" i="2" s="1"/>
  <c r="M2581" i="2" a="1"/>
  <c r="M2581" i="2" s="1"/>
  <c r="M2582" i="2" a="1"/>
  <c r="M2582" i="2" s="1"/>
  <c r="M2583" i="2" a="1"/>
  <c r="M2583" i="2" s="1"/>
  <c r="M2584" i="2" a="1"/>
  <c r="M2584" i="2" s="1"/>
  <c r="M2585" i="2" a="1"/>
  <c r="M2585" i="2" s="1"/>
  <c r="M2586" i="2" a="1"/>
  <c r="M2586" i="2" s="1"/>
  <c r="M2587" i="2" a="1"/>
  <c r="M2587" i="2" s="1"/>
  <c r="M2588" i="2" a="1"/>
  <c r="M2588" i="2" s="1"/>
  <c r="M2589" i="2" a="1"/>
  <c r="M2589" i="2" s="1"/>
  <c r="M2590" i="2" a="1"/>
  <c r="M2590" i="2" s="1"/>
  <c r="M2591" i="2" a="1"/>
  <c r="M2591" i="2" s="1"/>
  <c r="M2592" i="2" a="1"/>
  <c r="M2592" i="2" s="1"/>
  <c r="M2593" i="2" a="1"/>
  <c r="M2593" i="2" s="1"/>
  <c r="M2594" i="2" a="1"/>
  <c r="M2594" i="2" s="1"/>
  <c r="M2595" i="2" a="1"/>
  <c r="M2595" i="2" s="1"/>
  <c r="M2596" i="2" a="1"/>
  <c r="M2596" i="2" s="1"/>
  <c r="M2597" i="2" a="1"/>
  <c r="M2597" i="2" s="1"/>
  <c r="M2598" i="2" a="1"/>
  <c r="M2598" i="2" s="1"/>
  <c r="M2599" i="2" a="1"/>
  <c r="M2599" i="2" s="1"/>
  <c r="M2600" i="2" a="1"/>
  <c r="M2600" i="2"/>
  <c r="M2601" i="2" a="1"/>
  <c r="M2601" i="2" s="1"/>
  <c r="M2602" i="2" a="1"/>
  <c r="M2602" i="2" s="1"/>
  <c r="M2603" i="2" a="1"/>
  <c r="M2603" i="2" s="1"/>
  <c r="M2604" i="2" a="1"/>
  <c r="M2604" i="2" s="1"/>
  <c r="M2605" i="2" a="1"/>
  <c r="M2605" i="2" s="1"/>
  <c r="M2606" i="2" a="1"/>
  <c r="M2606" i="2" s="1"/>
  <c r="M2607" i="2" a="1"/>
  <c r="M2607" i="2" s="1"/>
  <c r="M2608" i="2" a="1"/>
  <c r="M2608" i="2" s="1"/>
  <c r="M2609" i="2" a="1"/>
  <c r="M2609" i="2" s="1"/>
  <c r="M2610" i="2" a="1"/>
  <c r="M2610" i="2" s="1"/>
  <c r="M2611" i="2" a="1"/>
  <c r="M2611" i="2" s="1"/>
  <c r="M2612" i="2" a="1"/>
  <c r="M2612" i="2" s="1"/>
  <c r="M2613" i="2" a="1"/>
  <c r="M2613" i="2" s="1"/>
  <c r="M2614" i="2" a="1"/>
  <c r="M2614" i="2" s="1"/>
  <c r="M2615" i="2" a="1"/>
  <c r="M2615" i="2" s="1"/>
  <c r="M2616" i="2" a="1"/>
  <c r="M2616" i="2" s="1"/>
  <c r="M2617" i="2" a="1"/>
  <c r="M2617" i="2" s="1"/>
  <c r="M2618" i="2" a="1"/>
  <c r="M2618" i="2" s="1"/>
  <c r="M2619" i="2" a="1"/>
  <c r="M2619" i="2" s="1"/>
  <c r="M2620" i="2" a="1"/>
  <c r="M2620" i="2" s="1"/>
  <c r="M2621" i="2" a="1"/>
  <c r="M2621" i="2" s="1"/>
  <c r="M2622" i="2" a="1"/>
  <c r="M2622" i="2" s="1"/>
  <c r="M2623" i="2" a="1"/>
  <c r="M2623" i="2" s="1"/>
  <c r="M2624" i="2" a="1"/>
  <c r="M2624" i="2" s="1"/>
  <c r="M2625" i="2" a="1"/>
  <c r="M2625" i="2" s="1"/>
  <c r="M2626" i="2" a="1"/>
  <c r="M2626" i="2" s="1"/>
  <c r="M2627" i="2" a="1"/>
  <c r="M2627" i="2" s="1"/>
  <c r="M2628" i="2" a="1"/>
  <c r="M2628" i="2" s="1"/>
  <c r="M2629" i="2" a="1"/>
  <c r="M2629" i="2" s="1"/>
  <c r="M2630" i="2" a="1"/>
  <c r="M2630" i="2" s="1"/>
  <c r="M2631" i="2" a="1"/>
  <c r="M2631" i="2" s="1"/>
  <c r="M2632" i="2" a="1"/>
  <c r="M2632" i="2" s="1"/>
  <c r="M2633" i="2" a="1"/>
  <c r="M2633" i="2" s="1"/>
  <c r="M2634" i="2" a="1"/>
  <c r="M2634" i="2" s="1"/>
  <c r="M2635" i="2" a="1"/>
  <c r="M2635" i="2" s="1"/>
  <c r="M2636" i="2" a="1"/>
  <c r="M2636" i="2" s="1"/>
  <c r="M2637" i="2" a="1"/>
  <c r="M2637" i="2" s="1"/>
  <c r="M2638" i="2" a="1"/>
  <c r="M2638" i="2" s="1"/>
  <c r="M2639" i="2" a="1"/>
  <c r="M2639" i="2" s="1"/>
  <c r="M2640" i="2" a="1"/>
  <c r="M2640" i="2" s="1"/>
  <c r="M2641" i="2" a="1"/>
  <c r="M2641" i="2" s="1"/>
  <c r="M2642" i="2" a="1"/>
  <c r="M2642" i="2" s="1"/>
  <c r="M2643" i="2" a="1"/>
  <c r="M2643" i="2" s="1"/>
  <c r="M2644" i="2" a="1"/>
  <c r="M2644" i="2" s="1"/>
  <c r="M2645" i="2" a="1"/>
  <c r="M2645" i="2" s="1"/>
  <c r="M2646" i="2" a="1"/>
  <c r="M2646" i="2" s="1"/>
  <c r="M2647" i="2" a="1"/>
  <c r="M2647" i="2" s="1"/>
  <c r="M2648" i="2" a="1"/>
  <c r="M2648" i="2" s="1"/>
  <c r="M2649" i="2" a="1"/>
  <c r="M2649" i="2" s="1"/>
  <c r="M2650" i="2" a="1"/>
  <c r="M2650" i="2" s="1"/>
  <c r="M2651" i="2" a="1"/>
  <c r="M2651" i="2" s="1"/>
  <c r="M2652" i="2" a="1"/>
  <c r="M2652" i="2" s="1"/>
  <c r="M2653" i="2" a="1"/>
  <c r="M2653" i="2" s="1"/>
  <c r="M2654" i="2" a="1"/>
  <c r="M2654" i="2" s="1"/>
  <c r="M2655" i="2" a="1"/>
  <c r="M2655" i="2" s="1"/>
  <c r="M2656" i="2" a="1"/>
  <c r="M2656" i="2" s="1"/>
  <c r="M2657" i="2" a="1"/>
  <c r="M2657" i="2" s="1"/>
  <c r="M2658" i="2" a="1"/>
  <c r="M2658" i="2" s="1"/>
  <c r="M2659" i="2" a="1"/>
  <c r="M2659" i="2" s="1"/>
  <c r="M2660" i="2" a="1"/>
  <c r="M2660" i="2" s="1"/>
  <c r="M2661" i="2" a="1"/>
  <c r="M2661" i="2" s="1"/>
  <c r="M2662" i="2" a="1"/>
  <c r="M2662" i="2" s="1"/>
  <c r="M2663" i="2" a="1"/>
  <c r="M2663" i="2" s="1"/>
  <c r="M2664" i="2" a="1"/>
  <c r="M2664" i="2" s="1"/>
  <c r="M2665" i="2" a="1"/>
  <c r="M2665" i="2" s="1"/>
  <c r="M2666" i="2" a="1"/>
  <c r="M2666" i="2" s="1"/>
  <c r="M2667" i="2" a="1"/>
  <c r="M2667" i="2" s="1"/>
  <c r="M2668" i="2" a="1"/>
  <c r="M2668" i="2" s="1"/>
  <c r="M2669" i="2" a="1"/>
  <c r="M2669" i="2" s="1"/>
  <c r="M2670" i="2" a="1"/>
  <c r="M2670" i="2" s="1"/>
  <c r="M2671" i="2" a="1"/>
  <c r="M2671" i="2" s="1"/>
  <c r="M2672" i="2" a="1"/>
  <c r="M2672" i="2" s="1"/>
  <c r="M2673" i="2" a="1"/>
  <c r="M2673" i="2" s="1"/>
  <c r="M2674" i="2" a="1"/>
  <c r="M2674" i="2" s="1"/>
  <c r="M2675" i="2" a="1"/>
  <c r="M2675" i="2" s="1"/>
  <c r="M2676" i="2" a="1"/>
  <c r="M2676" i="2" s="1"/>
  <c r="M2677" i="2" a="1"/>
  <c r="M2677" i="2" s="1"/>
  <c r="M2678" i="2" a="1"/>
  <c r="M2678" i="2" s="1"/>
  <c r="M2679" i="2" a="1"/>
  <c r="M2679" i="2" s="1"/>
  <c r="M2680" i="2" a="1"/>
  <c r="M2680" i="2" s="1"/>
  <c r="M2681" i="2" a="1"/>
  <c r="M2681" i="2" s="1"/>
  <c r="M2682" i="2" a="1"/>
  <c r="M2682" i="2" s="1"/>
  <c r="M2683" i="2" a="1"/>
  <c r="M2683" i="2" s="1"/>
  <c r="M2684" i="2" a="1"/>
  <c r="M2684" i="2" s="1"/>
  <c r="M2685" i="2" a="1"/>
  <c r="M2685" i="2"/>
  <c r="M2686" i="2" a="1"/>
  <c r="M2686" i="2" s="1"/>
  <c r="M2687" i="2" a="1"/>
  <c r="M2687" i="2" s="1"/>
  <c r="M2688" i="2" a="1"/>
  <c r="M2688" i="2" s="1"/>
  <c r="M2689" i="2" a="1"/>
  <c r="M2689" i="2" s="1"/>
  <c r="M2690" i="2" a="1"/>
  <c r="M2690" i="2" s="1"/>
  <c r="M2691" i="2" a="1"/>
  <c r="M2691" i="2" s="1"/>
  <c r="M2692" i="2" a="1"/>
  <c r="M2692" i="2" s="1"/>
  <c r="M2693" i="2" a="1"/>
  <c r="M2693" i="2" s="1"/>
  <c r="M2694" i="2" a="1"/>
  <c r="M2694" i="2" s="1"/>
  <c r="M2695" i="2" a="1"/>
  <c r="M2695" i="2" s="1"/>
  <c r="M2696" i="2" a="1"/>
  <c r="M2696" i="2" s="1"/>
  <c r="M2697" i="2" a="1"/>
  <c r="M2697" i="2" s="1"/>
  <c r="M2698" i="2" a="1"/>
  <c r="M2698" i="2" s="1"/>
  <c r="M2699" i="2" a="1"/>
  <c r="M2699" i="2" s="1"/>
  <c r="M2700" i="2" a="1"/>
  <c r="M2700" i="2" s="1"/>
  <c r="M2701" i="2" a="1"/>
  <c r="M2701" i="2" s="1"/>
  <c r="M2702" i="2" a="1"/>
  <c r="M2702" i="2" s="1"/>
  <c r="M2703" i="2" a="1"/>
  <c r="M2703" i="2" s="1"/>
  <c r="M2704" i="2" a="1"/>
  <c r="M2704" i="2" s="1"/>
  <c r="M2705" i="2" a="1"/>
  <c r="M2705" i="2" s="1"/>
  <c r="M2706" i="2" a="1"/>
  <c r="M2706" i="2" s="1"/>
  <c r="M2707" i="2" a="1"/>
  <c r="M2707" i="2" s="1"/>
  <c r="M2708" i="2" a="1"/>
  <c r="M2708" i="2" s="1"/>
  <c r="M2709" i="2" a="1"/>
  <c r="M2709" i="2" s="1"/>
  <c r="M2710" i="2" a="1"/>
  <c r="M2710" i="2" s="1"/>
  <c r="M2711" i="2" a="1"/>
  <c r="M2711" i="2" s="1"/>
  <c r="M2712" i="2" a="1"/>
  <c r="M2712" i="2" s="1"/>
  <c r="M2713" i="2" a="1"/>
  <c r="M2713" i="2" s="1"/>
  <c r="M2714" i="2" a="1"/>
  <c r="M2714" i="2" s="1"/>
  <c r="M2715" i="2" a="1"/>
  <c r="M2715" i="2" s="1"/>
  <c r="M2716" i="2" a="1"/>
  <c r="M2716" i="2" s="1"/>
  <c r="M2717" i="2" a="1"/>
  <c r="M2717" i="2" s="1"/>
  <c r="M2718" i="2" a="1"/>
  <c r="M2718" i="2" s="1"/>
  <c r="M2719" i="2" a="1"/>
  <c r="M2719" i="2" s="1"/>
  <c r="M2720" i="2" a="1"/>
  <c r="M2720" i="2" s="1"/>
  <c r="M2721" i="2" a="1"/>
  <c r="M2721" i="2" s="1"/>
  <c r="M2722" i="2" a="1"/>
  <c r="M2722" i="2" s="1"/>
  <c r="M2723" i="2" a="1"/>
  <c r="M2723" i="2" s="1"/>
  <c r="M2724" i="2" a="1"/>
  <c r="M2724" i="2" s="1"/>
  <c r="M2725" i="2" a="1"/>
  <c r="M2725" i="2" s="1"/>
  <c r="M2726" i="2" a="1"/>
  <c r="M2726" i="2" s="1"/>
  <c r="M2727" i="2" a="1"/>
  <c r="M2727" i="2" s="1"/>
  <c r="M2728" i="2" a="1"/>
  <c r="M2728" i="2" s="1"/>
  <c r="M2729" i="2" a="1"/>
  <c r="M2729" i="2" s="1"/>
  <c r="M2730" i="2" a="1"/>
  <c r="M2730" i="2" s="1"/>
  <c r="M2731" i="2" a="1"/>
  <c r="M2731" i="2" s="1"/>
  <c r="M2732" i="2" a="1"/>
  <c r="M2732" i="2" s="1"/>
  <c r="M2733" i="2" a="1"/>
  <c r="M2733" i="2" s="1"/>
  <c r="M2734" i="2" a="1"/>
  <c r="M2734" i="2" s="1"/>
  <c r="M2735" i="2" a="1"/>
  <c r="M2735" i="2" s="1"/>
  <c r="M2736" i="2" a="1"/>
  <c r="M2736" i="2" s="1"/>
  <c r="M2737" i="2" a="1"/>
  <c r="M2737" i="2" s="1"/>
  <c r="M2738" i="2" a="1"/>
  <c r="M2738" i="2" s="1"/>
  <c r="M2739" i="2" a="1"/>
  <c r="M2739" i="2" s="1"/>
  <c r="M2740" i="2" a="1"/>
  <c r="M2740" i="2" s="1"/>
  <c r="M2741" i="2" a="1"/>
  <c r="M2741" i="2" s="1"/>
  <c r="M2742" i="2" a="1"/>
  <c r="M2742" i="2" s="1"/>
  <c r="M2743" i="2" a="1"/>
  <c r="M2743" i="2" s="1"/>
  <c r="M2744" i="2" a="1"/>
  <c r="M2744" i="2" s="1"/>
  <c r="M2745" i="2" a="1"/>
  <c r="M2745" i="2" s="1"/>
  <c r="M2746" i="2" a="1"/>
  <c r="M2746" i="2" s="1"/>
  <c r="M2747" i="2" a="1"/>
  <c r="M2747" i="2" s="1"/>
  <c r="M2748" i="2" a="1"/>
  <c r="M2748" i="2" s="1"/>
  <c r="M2749" i="2" a="1"/>
  <c r="M2749" i="2" s="1"/>
  <c r="M2750" i="2" a="1"/>
  <c r="M2750" i="2" s="1"/>
  <c r="M2751" i="2" a="1"/>
  <c r="M2751" i="2" s="1"/>
  <c r="M2752" i="2" a="1"/>
  <c r="M2752" i="2" s="1"/>
  <c r="M2753" i="2" a="1"/>
  <c r="M2753" i="2" s="1"/>
  <c r="M2754" i="2" a="1"/>
  <c r="M2754" i="2" s="1"/>
  <c r="M2755" i="2" a="1"/>
  <c r="M2755" i="2" s="1"/>
  <c r="M2756" i="2" a="1"/>
  <c r="M2756" i="2" s="1"/>
  <c r="M2757" i="2" a="1"/>
  <c r="M2757" i="2" s="1"/>
  <c r="M2758" i="2" a="1"/>
  <c r="M2758" i="2" s="1"/>
  <c r="M2759" i="2" a="1"/>
  <c r="M2759" i="2" s="1"/>
  <c r="M2760" i="2" a="1"/>
  <c r="M2760" i="2" s="1"/>
  <c r="M2761" i="2" a="1"/>
  <c r="M2761" i="2" s="1"/>
  <c r="M2762" i="2" a="1"/>
  <c r="M2762" i="2" s="1"/>
  <c r="M2763" i="2" a="1"/>
  <c r="M2763" i="2" s="1"/>
  <c r="M2764" i="2" a="1"/>
  <c r="M2764" i="2" s="1"/>
  <c r="M2765" i="2" a="1"/>
  <c r="M2765" i="2" s="1"/>
  <c r="M2766" i="2" a="1"/>
  <c r="M2766" i="2" s="1"/>
  <c r="M2767" i="2" a="1"/>
  <c r="M2767" i="2" s="1"/>
  <c r="M2768" i="2" a="1"/>
  <c r="M2768" i="2" s="1"/>
  <c r="M2769" i="2" a="1"/>
  <c r="M2769" i="2" s="1"/>
  <c r="M2770" i="2" a="1"/>
  <c r="M2770" i="2" s="1"/>
  <c r="M2771" i="2" a="1"/>
  <c r="M2771" i="2" s="1"/>
  <c r="M2772" i="2" a="1"/>
  <c r="M2772" i="2" s="1"/>
  <c r="M2773" i="2" a="1"/>
  <c r="M2773" i="2" s="1"/>
  <c r="M2774" i="2" a="1"/>
  <c r="M2774" i="2" s="1"/>
  <c r="M2775" i="2" a="1"/>
  <c r="M2775" i="2" s="1"/>
  <c r="M2776" i="2" a="1"/>
  <c r="M2776" i="2" s="1"/>
  <c r="M2777" i="2" a="1"/>
  <c r="M2777" i="2" s="1"/>
  <c r="M2778" i="2" a="1"/>
  <c r="M2778" i="2" s="1"/>
  <c r="M2779" i="2" a="1"/>
  <c r="M2779" i="2" s="1"/>
  <c r="M2780" i="2" a="1"/>
  <c r="M2780" i="2" s="1"/>
  <c r="M2781" i="2" a="1"/>
  <c r="M2781" i="2" s="1"/>
  <c r="M2782" i="2" a="1"/>
  <c r="M2782" i="2" s="1"/>
  <c r="M2783" i="2" a="1"/>
  <c r="M2783" i="2" s="1"/>
  <c r="M2784" i="2" a="1"/>
  <c r="M2784" i="2" s="1"/>
  <c r="M2785" i="2" a="1"/>
  <c r="M2785" i="2" s="1"/>
  <c r="M2786" i="2" a="1"/>
  <c r="M2786" i="2" s="1"/>
  <c r="M2787" i="2" a="1"/>
  <c r="M2787" i="2" s="1"/>
  <c r="M2788" i="2" a="1"/>
  <c r="M2788" i="2" s="1"/>
  <c r="M2789" i="2" a="1"/>
  <c r="M2789" i="2" s="1"/>
  <c r="M2790" i="2" a="1"/>
  <c r="M2790" i="2" s="1"/>
  <c r="M2791" i="2" a="1"/>
  <c r="M2791" i="2" s="1"/>
  <c r="M2792" i="2" a="1"/>
  <c r="M2792" i="2" s="1"/>
  <c r="M2793" i="2" a="1"/>
  <c r="M2793" i="2" s="1"/>
  <c r="M2794" i="2" a="1"/>
  <c r="M2794" i="2" s="1"/>
  <c r="M2795" i="2" a="1"/>
  <c r="M2795" i="2" s="1"/>
  <c r="M2796" i="2" a="1"/>
  <c r="M2796" i="2" s="1"/>
  <c r="M2797" i="2" a="1"/>
  <c r="M2797" i="2" s="1"/>
  <c r="M2798" i="2" a="1"/>
  <c r="M2798" i="2" s="1"/>
  <c r="M2799" i="2" a="1"/>
  <c r="M2799" i="2" s="1"/>
  <c r="M2800" i="2" a="1"/>
  <c r="M2800" i="2" s="1"/>
  <c r="M2801" i="2" a="1"/>
  <c r="M2801" i="2" s="1"/>
  <c r="M2802" i="2" a="1"/>
  <c r="M2802" i="2" s="1"/>
  <c r="M2803" i="2" a="1"/>
  <c r="M2803" i="2" s="1"/>
  <c r="M2804" i="2" a="1"/>
  <c r="M2804" i="2" s="1"/>
  <c r="M2805" i="2" a="1"/>
  <c r="M2805" i="2" s="1"/>
  <c r="M2806" i="2" a="1"/>
  <c r="M2806" i="2" s="1"/>
  <c r="M2807" i="2" a="1"/>
  <c r="M2807" i="2" s="1"/>
  <c r="M2808" i="2" a="1"/>
  <c r="M2808" i="2" s="1"/>
  <c r="M2809" i="2" a="1"/>
  <c r="M2809" i="2" s="1"/>
  <c r="M2810" i="2" a="1"/>
  <c r="M2810" i="2" s="1"/>
  <c r="M2811" i="2" a="1"/>
  <c r="M2811" i="2" s="1"/>
  <c r="M2812" i="2" a="1"/>
  <c r="M2812" i="2" s="1"/>
  <c r="M2813" i="2" a="1"/>
  <c r="M2813" i="2" s="1"/>
  <c r="M2814" i="2" a="1"/>
  <c r="M2814" i="2" s="1"/>
  <c r="M2815" i="2" a="1"/>
  <c r="M2815" i="2" s="1"/>
  <c r="M2816" i="2" a="1"/>
  <c r="M2816" i="2" s="1"/>
  <c r="M2817" i="2" a="1"/>
  <c r="M2817" i="2" s="1"/>
  <c r="M2818" i="2" a="1"/>
  <c r="M2818" i="2" s="1"/>
  <c r="M2819" i="2" a="1"/>
  <c r="M2819" i="2"/>
  <c r="M2820" i="2" a="1"/>
  <c r="M2820" i="2" s="1"/>
  <c r="M2821" i="2" a="1"/>
  <c r="M2821" i="2" s="1"/>
  <c r="M2822" i="2" a="1"/>
  <c r="M2822" i="2" s="1"/>
  <c r="M2823" i="2" a="1"/>
  <c r="M2823" i="2" s="1"/>
  <c r="M2824" i="2" a="1"/>
  <c r="M2824" i="2" s="1"/>
  <c r="M2825" i="2" a="1"/>
  <c r="M2825" i="2" s="1"/>
  <c r="M2826" i="2" a="1"/>
  <c r="M2826" i="2" s="1"/>
  <c r="M2827" i="2" a="1"/>
  <c r="M2827" i="2" s="1"/>
  <c r="M2828" i="2" a="1"/>
  <c r="M2828" i="2" s="1"/>
  <c r="M2829" i="2" a="1"/>
  <c r="M2829" i="2" s="1"/>
  <c r="M2830" i="2" a="1"/>
  <c r="M2830" i="2" s="1"/>
  <c r="M2831" i="2" a="1"/>
  <c r="M2831" i="2" s="1"/>
  <c r="M2832" i="2" a="1"/>
  <c r="M2832" i="2" s="1"/>
  <c r="M2833" i="2" a="1"/>
  <c r="M2833" i="2"/>
  <c r="M2834" i="2" a="1"/>
  <c r="M2834" i="2" s="1"/>
  <c r="M2835" i="2" a="1"/>
  <c r="M2835" i="2" s="1"/>
  <c r="M2836" i="2" a="1"/>
  <c r="M2836" i="2" s="1"/>
  <c r="M2837" i="2" a="1"/>
  <c r="M2837" i="2" s="1"/>
  <c r="M2838" i="2" a="1"/>
  <c r="M2838" i="2" s="1"/>
  <c r="M2839" i="2" a="1"/>
  <c r="M2839" i="2" s="1"/>
  <c r="M2840" i="2" a="1"/>
  <c r="M2840" i="2" s="1"/>
  <c r="M2841" i="2" a="1"/>
  <c r="M2841" i="2" s="1"/>
  <c r="M2842" i="2" a="1"/>
  <c r="M2842" i="2" s="1"/>
  <c r="M2843" i="2" a="1"/>
  <c r="M2843" i="2" s="1"/>
  <c r="M2844" i="2" a="1"/>
  <c r="M2844" i="2" s="1"/>
  <c r="M2845" i="2" a="1"/>
  <c r="M2845" i="2" s="1"/>
  <c r="M2846" i="2" a="1"/>
  <c r="M2846" i="2" s="1"/>
  <c r="M2847" i="2" a="1"/>
  <c r="M2847" i="2" s="1"/>
  <c r="M2848" i="2" a="1"/>
  <c r="M2848" i="2" s="1"/>
  <c r="M2849" i="2" a="1"/>
  <c r="M2849" i="2" s="1"/>
  <c r="M2850" i="2" a="1"/>
  <c r="M2850" i="2" s="1"/>
  <c r="M2851" i="2" a="1"/>
  <c r="M2851" i="2" s="1"/>
  <c r="M2852" i="2" a="1"/>
  <c r="M2852" i="2" s="1"/>
  <c r="M2853" i="2" a="1"/>
  <c r="M2853" i="2" s="1"/>
  <c r="M2854" i="2" a="1"/>
  <c r="M2854" i="2" s="1"/>
  <c r="M2855" i="2" a="1"/>
  <c r="M2855" i="2" s="1"/>
  <c r="M2856" i="2" a="1"/>
  <c r="M2856" i="2" s="1"/>
  <c r="M2857" i="2" a="1"/>
  <c r="M2857" i="2" s="1"/>
  <c r="M2858" i="2" a="1"/>
  <c r="M2858" i="2" s="1"/>
  <c r="M2859" i="2" a="1"/>
  <c r="M2859" i="2" s="1"/>
  <c r="M2860" i="2" a="1"/>
  <c r="M2860" i="2" s="1"/>
  <c r="M2861" i="2" a="1"/>
  <c r="M2861" i="2" s="1"/>
  <c r="M2862" i="2" a="1"/>
  <c r="M2862" i="2" s="1"/>
  <c r="M2863" i="2" a="1"/>
  <c r="M2863" i="2" s="1"/>
  <c r="M2864" i="2" a="1"/>
  <c r="M2864" i="2" s="1"/>
  <c r="M2865" i="2" a="1"/>
  <c r="M2865" i="2" s="1"/>
  <c r="M2866" i="2" a="1"/>
  <c r="M2866" i="2" s="1"/>
  <c r="M2867" i="2" a="1"/>
  <c r="M2867" i="2" s="1"/>
  <c r="M2868" i="2" a="1"/>
  <c r="M2868" i="2" s="1"/>
  <c r="M2869" i="2" a="1"/>
  <c r="M2869" i="2" s="1"/>
  <c r="M2870" i="2" a="1"/>
  <c r="M2870" i="2" s="1"/>
  <c r="M2871" i="2" a="1"/>
  <c r="M2871" i="2" s="1"/>
  <c r="M2872" i="2" a="1"/>
  <c r="M2872" i="2" s="1"/>
  <c r="M2873" i="2" a="1"/>
  <c r="M2873" i="2" s="1"/>
  <c r="M2874" i="2" a="1"/>
  <c r="M2874" i="2" s="1"/>
  <c r="M2875" i="2" a="1"/>
  <c r="M2875" i="2" s="1"/>
  <c r="M2876" i="2" a="1"/>
  <c r="M2876" i="2" s="1"/>
  <c r="M2877" i="2" a="1"/>
  <c r="M2877" i="2" s="1"/>
  <c r="M2878" i="2" a="1"/>
  <c r="M2878" i="2" s="1"/>
  <c r="M2879" i="2" a="1"/>
  <c r="M2879" i="2" s="1"/>
  <c r="M2880" i="2" a="1"/>
  <c r="M2880" i="2" s="1"/>
  <c r="M2881" i="2" a="1"/>
  <c r="M2881" i="2" s="1"/>
  <c r="M2882" i="2" a="1"/>
  <c r="M2882" i="2" s="1"/>
  <c r="M2883" i="2" a="1"/>
  <c r="M2883" i="2" s="1"/>
  <c r="M2884" i="2" a="1"/>
  <c r="M2884" i="2" s="1"/>
  <c r="M2885" i="2" a="1"/>
  <c r="M2885" i="2" s="1"/>
  <c r="M2886" i="2" a="1"/>
  <c r="M2886" i="2" s="1"/>
  <c r="M2887" i="2" a="1"/>
  <c r="M2887" i="2" s="1"/>
  <c r="M2888" i="2" a="1"/>
  <c r="M2888" i="2" s="1"/>
  <c r="M2889" i="2" a="1"/>
  <c r="M2889" i="2" s="1"/>
  <c r="M2890" i="2" a="1"/>
  <c r="M2890" i="2" s="1"/>
  <c r="M2891" i="2" a="1"/>
  <c r="M2891" i="2" s="1"/>
  <c r="M2892" i="2" a="1"/>
  <c r="M2892" i="2" s="1"/>
  <c r="M2893" i="2" a="1"/>
  <c r="M2893" i="2" s="1"/>
  <c r="M2894" i="2" a="1"/>
  <c r="M2894" i="2" s="1"/>
  <c r="M2895" i="2" a="1"/>
  <c r="M2895" i="2" s="1"/>
  <c r="M2896" i="2" a="1"/>
  <c r="M2896" i="2" s="1"/>
  <c r="M2897" i="2" a="1"/>
  <c r="M2897" i="2" s="1"/>
  <c r="M2898" i="2" a="1"/>
  <c r="M2898" i="2" s="1"/>
  <c r="M2899" i="2" a="1"/>
  <c r="M2899" i="2" s="1"/>
  <c r="M2900" i="2" a="1"/>
  <c r="M2900" i="2" s="1"/>
  <c r="M2901" i="2" a="1"/>
  <c r="M2901" i="2" s="1"/>
  <c r="M2902" i="2" a="1"/>
  <c r="M2902" i="2" s="1"/>
  <c r="M2903" i="2" a="1"/>
  <c r="M2903" i="2" s="1"/>
  <c r="M2904" i="2" a="1"/>
  <c r="M2904" i="2" s="1"/>
  <c r="M2905" i="2" a="1"/>
  <c r="M2905" i="2" s="1"/>
  <c r="M2906" i="2" a="1"/>
  <c r="M2906" i="2" s="1"/>
  <c r="M2907" i="2" a="1"/>
  <c r="M2907" i="2" s="1"/>
  <c r="M2908" i="2" a="1"/>
  <c r="M2908" i="2" s="1"/>
  <c r="M2909" i="2" a="1"/>
  <c r="M2909" i="2" s="1"/>
  <c r="M2910" i="2" a="1"/>
  <c r="M2910" i="2" s="1"/>
  <c r="M2911" i="2" a="1"/>
  <c r="M2911" i="2" s="1"/>
  <c r="M2912" i="2" a="1"/>
  <c r="M2912" i="2" s="1"/>
  <c r="M2913" i="2" a="1"/>
  <c r="M2913" i="2" s="1"/>
  <c r="M2914" i="2" a="1"/>
  <c r="M2914" i="2" s="1"/>
  <c r="M2915" i="2" a="1"/>
  <c r="M2915" i="2" s="1"/>
  <c r="M2916" i="2" a="1"/>
  <c r="M2916" i="2" s="1"/>
  <c r="M2917" i="2" a="1"/>
  <c r="M2917" i="2" s="1"/>
  <c r="M2918" i="2" a="1"/>
  <c r="M2918" i="2" s="1"/>
  <c r="M2919" i="2" a="1"/>
  <c r="M2919" i="2" s="1"/>
  <c r="M2920" i="2" a="1"/>
  <c r="M2920" i="2" s="1"/>
  <c r="M2921" i="2" a="1"/>
  <c r="M2921" i="2" s="1"/>
  <c r="M2922" i="2" a="1"/>
  <c r="M2922" i="2" s="1"/>
  <c r="M2923" i="2" a="1"/>
  <c r="M2923" i="2" s="1"/>
  <c r="M2924" i="2" a="1"/>
  <c r="M2924" i="2" s="1"/>
  <c r="M2925" i="2" a="1"/>
  <c r="M2925" i="2" s="1"/>
  <c r="M2926" i="2" a="1"/>
  <c r="M2926" i="2" s="1"/>
  <c r="M2927" i="2" a="1"/>
  <c r="M2927" i="2" s="1"/>
  <c r="M2928" i="2" a="1"/>
  <c r="M2928" i="2" s="1"/>
  <c r="M2929" i="2" a="1"/>
  <c r="M2929" i="2" s="1"/>
  <c r="M2930" i="2" a="1"/>
  <c r="M2930" i="2" s="1"/>
  <c r="M2931" i="2" a="1"/>
  <c r="M2931" i="2" s="1"/>
  <c r="M2932" i="2" a="1"/>
  <c r="M2932" i="2" s="1"/>
  <c r="M2933" i="2" a="1"/>
  <c r="M2933" i="2" s="1"/>
  <c r="M2934" i="2" a="1"/>
  <c r="M2934" i="2" s="1"/>
  <c r="M2935" i="2" a="1"/>
  <c r="M2935" i="2" s="1"/>
  <c r="M2936" i="2" a="1"/>
  <c r="M2936" i="2" s="1"/>
  <c r="M2937" i="2" a="1"/>
  <c r="M2937" i="2" s="1"/>
  <c r="M2938" i="2" a="1"/>
  <c r="M2938" i="2" s="1"/>
  <c r="M2939" i="2" a="1"/>
  <c r="M2939" i="2" s="1"/>
  <c r="M2940" i="2" a="1"/>
  <c r="M2940" i="2" s="1"/>
  <c r="M2941" i="2" a="1"/>
  <c r="M2941" i="2" s="1"/>
  <c r="M2942" i="2" a="1"/>
  <c r="M2942" i="2"/>
  <c r="M2943" i="2" a="1"/>
  <c r="M2943" i="2" s="1"/>
  <c r="M2944" i="2" a="1"/>
  <c r="M2944" i="2" s="1"/>
  <c r="M2945" i="2" a="1"/>
  <c r="M2945" i="2" s="1"/>
  <c r="M2946" i="2" a="1"/>
  <c r="M2946" i="2" s="1"/>
  <c r="M2947" i="2" a="1"/>
  <c r="M2947" i="2" s="1"/>
  <c r="M2948" i="2" a="1"/>
  <c r="M2948" i="2" s="1"/>
  <c r="M2949" i="2" a="1"/>
  <c r="M2949" i="2" s="1"/>
  <c r="M2950" i="2" a="1"/>
  <c r="M2950" i="2" s="1"/>
  <c r="M2951" i="2" a="1"/>
  <c r="M2951" i="2" s="1"/>
  <c r="M2952" i="2" a="1"/>
  <c r="M2952" i="2" s="1"/>
  <c r="M2953" i="2" a="1"/>
  <c r="M2953" i="2" s="1"/>
  <c r="M2954" i="2" a="1"/>
  <c r="M2954" i="2" s="1"/>
  <c r="M2955" i="2" a="1"/>
  <c r="M2955" i="2" s="1"/>
  <c r="M2956" i="2" a="1"/>
  <c r="M2956" i="2" s="1"/>
  <c r="M2957" i="2" a="1"/>
  <c r="M2957" i="2" s="1"/>
  <c r="M2958" i="2" a="1"/>
  <c r="M2958" i="2" s="1"/>
  <c r="M2959" i="2" a="1"/>
  <c r="M2959" i="2" s="1"/>
  <c r="M2960" i="2" a="1"/>
  <c r="M2960" i="2" s="1"/>
  <c r="M2961" i="2" a="1"/>
  <c r="M2961" i="2" s="1"/>
  <c r="M2962" i="2" a="1"/>
  <c r="M2962" i="2" s="1"/>
  <c r="M2963" i="2" a="1"/>
  <c r="M2963" i="2" s="1"/>
  <c r="M2964" i="2" a="1"/>
  <c r="M2964" i="2" s="1"/>
  <c r="M2965" i="2" a="1"/>
  <c r="M2965" i="2" s="1"/>
  <c r="M2966" i="2" a="1"/>
  <c r="M2966" i="2" s="1"/>
  <c r="M2967" i="2" a="1"/>
  <c r="M2967" i="2" s="1"/>
  <c r="M2968" i="2" a="1"/>
  <c r="M2968" i="2" s="1"/>
  <c r="M2969" i="2" a="1"/>
  <c r="M2969" i="2" s="1"/>
  <c r="M2970" i="2" a="1"/>
  <c r="M2970" i="2" s="1"/>
  <c r="M2971" i="2" a="1"/>
  <c r="M2971" i="2" s="1"/>
  <c r="M2972" i="2" a="1"/>
  <c r="M2972" i="2" s="1"/>
  <c r="M2973" i="2" a="1"/>
  <c r="M2973" i="2" s="1"/>
  <c r="M2974" i="2" a="1"/>
  <c r="M2974" i="2" s="1"/>
  <c r="M2975" i="2" a="1"/>
  <c r="M2975" i="2" s="1"/>
  <c r="M2976" i="2" a="1"/>
  <c r="M2976" i="2" s="1"/>
  <c r="M2977" i="2" a="1"/>
  <c r="M2977" i="2" s="1"/>
  <c r="M2978" i="2" a="1"/>
  <c r="M2978" i="2" s="1"/>
  <c r="M2979" i="2" a="1"/>
  <c r="M2979" i="2" s="1"/>
  <c r="M2980" i="2" a="1"/>
  <c r="M2980" i="2" s="1"/>
  <c r="M2981" i="2" a="1"/>
  <c r="M2981" i="2" s="1"/>
  <c r="M2982" i="2" a="1"/>
  <c r="M2982" i="2" s="1"/>
  <c r="M2983" i="2" a="1"/>
  <c r="M2983" i="2" s="1"/>
  <c r="M2984" i="2" a="1"/>
  <c r="M2984" i="2" s="1"/>
  <c r="M2985" i="2" a="1"/>
  <c r="M2985" i="2" s="1"/>
  <c r="M2986" i="2" a="1"/>
  <c r="M2986" i="2" s="1"/>
  <c r="M2987" i="2" a="1"/>
  <c r="M2987" i="2" s="1"/>
  <c r="M2988" i="2" a="1"/>
  <c r="M2988" i="2" s="1"/>
  <c r="M2989" i="2" a="1"/>
  <c r="M2989" i="2" s="1"/>
  <c r="M2990" i="2" a="1"/>
  <c r="M2990" i="2" s="1"/>
  <c r="M2991" i="2" a="1"/>
  <c r="M2991" i="2" s="1"/>
  <c r="M2992" i="2" a="1"/>
  <c r="M2992" i="2" s="1"/>
  <c r="M2993" i="2" a="1"/>
  <c r="M2993" i="2" s="1"/>
  <c r="M2994" i="2" a="1"/>
  <c r="M2994" i="2" s="1"/>
  <c r="M2995" i="2" a="1"/>
  <c r="M2995" i="2" s="1"/>
  <c r="M2996" i="2" a="1"/>
  <c r="M2996" i="2" s="1"/>
  <c r="M2997" i="2" a="1"/>
  <c r="M2997" i="2" s="1"/>
  <c r="M2998" i="2" a="1"/>
  <c r="M2998" i="2" s="1"/>
  <c r="M2999" i="2" a="1"/>
  <c r="M2999" i="2" s="1"/>
  <c r="M3000" i="2" a="1"/>
  <c r="M3000" i="2" s="1"/>
  <c r="M3001" i="2" a="1"/>
  <c r="M3001" i="2" s="1"/>
  <c r="M3002" i="2" a="1"/>
  <c r="M3002" i="2" s="1"/>
  <c r="M3003" i="2" a="1"/>
  <c r="M3003" i="2" s="1"/>
  <c r="M3004" i="2" a="1"/>
  <c r="M3004" i="2" s="1"/>
  <c r="M3005" i="2" a="1"/>
  <c r="M3005" i="2" s="1"/>
  <c r="M3006" i="2" a="1"/>
  <c r="M3006" i="2" s="1"/>
  <c r="M3007" i="2" a="1"/>
  <c r="M3007" i="2" s="1"/>
  <c r="M3008" i="2" a="1"/>
  <c r="M3008" i="2" s="1"/>
  <c r="M3009" i="2" a="1"/>
  <c r="M3009" i="2" s="1"/>
  <c r="M3010" i="2" a="1"/>
  <c r="M3010" i="2" s="1"/>
  <c r="M3011" i="2" a="1"/>
  <c r="M3011" i="2" s="1"/>
  <c r="M3012" i="2" a="1"/>
  <c r="M3012" i="2" s="1"/>
  <c r="M3013" i="2" a="1"/>
  <c r="M3013" i="2" s="1"/>
  <c r="M3014" i="2" a="1"/>
  <c r="M3014" i="2" s="1"/>
  <c r="M3015" i="2" a="1"/>
  <c r="M3015" i="2" s="1"/>
  <c r="M3016" i="2" a="1"/>
  <c r="M3016" i="2" s="1"/>
  <c r="M3017" i="2" a="1"/>
  <c r="M3017" i="2" s="1"/>
  <c r="M3018" i="2" a="1"/>
  <c r="M3018" i="2" s="1"/>
  <c r="M3019" i="2" a="1"/>
  <c r="M3019" i="2" s="1"/>
  <c r="M3020" i="2" a="1"/>
  <c r="M3020" i="2" s="1"/>
  <c r="M3021" i="2" a="1"/>
  <c r="M3021" i="2" s="1"/>
  <c r="M3022" i="2" a="1"/>
  <c r="M3022" i="2" s="1"/>
  <c r="M3023" i="2" a="1"/>
  <c r="M3023" i="2" s="1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FF9FA9-B906-4BE5-A124-747B62FB0E61}" keepAlive="1" name="Query - electric_vehicles_dataset" description="Connection to the 'electric_vehicles_dataset' query in the workbook." type="5" refreshedVersion="8" background="1" saveData="1">
    <dbPr connection="Provider=Microsoft.Mashup.OleDb.1;Data Source=$Workbook$;Location=electric_vehicles_dataset;Extended Properties=&quot;&quot;" command="SELECT * FROM [electric_vehicles_datase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<sst xmlns="http://schemas.openxmlformats.org/spreadsheetml/2006/main" count="27220" uniqueCount="399">
  <si>
    <t>Vehicle_ID</t>
  </si>
  <si>
    <t>Manufacturer</t>
  </si>
  <si>
    <t>Model</t>
  </si>
  <si>
    <t>Year</t>
  </si>
  <si>
    <t>Battery_Type</t>
  </si>
  <si>
    <t>Battery_Capacity_kWh</t>
  </si>
  <si>
    <t>Range_km</t>
  </si>
  <si>
    <t>Charging_Type</t>
  </si>
  <si>
    <t>Charge_Time_hr</t>
  </si>
  <si>
    <t>Price_USD</t>
  </si>
  <si>
    <t>Color</t>
  </si>
  <si>
    <t>Country_of_Manufacture</t>
  </si>
  <si>
    <t>Autonomous_Level</t>
  </si>
  <si>
    <t>Safety_Rating</t>
  </si>
  <si>
    <t>Units_Sold_2024</t>
  </si>
  <si>
    <t>Warranty_Years</t>
  </si>
  <si>
    <t>Acura</t>
  </si>
  <si>
    <t>Lithium-titanate</t>
  </si>
  <si>
    <t>CHAdeMO</t>
  </si>
  <si>
    <t>Matte White</t>
  </si>
  <si>
    <t>UK</t>
  </si>
  <si>
    <t>Lamborghini</t>
  </si>
  <si>
    <t>White</t>
  </si>
  <si>
    <t>Netherlands</t>
  </si>
  <si>
    <t>NIO</t>
  </si>
  <si>
    <t>ET7</t>
  </si>
  <si>
    <t>Calcium-ion</t>
  </si>
  <si>
    <t>Level 2 Charging</t>
  </si>
  <si>
    <t>Beige</t>
  </si>
  <si>
    <t>Audi</t>
  </si>
  <si>
    <t>e-tron</t>
  </si>
  <si>
    <t>Lithium-iron phosphate</t>
  </si>
  <si>
    <t>Sunset Orange</t>
  </si>
  <si>
    <t>Argentina</t>
  </si>
  <si>
    <t>Plug-in Hydrogen Refueling</t>
  </si>
  <si>
    <t>Ice Silver</t>
  </si>
  <si>
    <t>XPeng</t>
  </si>
  <si>
    <t>G9</t>
  </si>
  <si>
    <t>Mobile Charging</t>
  </si>
  <si>
    <t>Ruby Red</t>
  </si>
  <si>
    <t>Australia</t>
  </si>
  <si>
    <t>Jeep</t>
  </si>
  <si>
    <t>Nickel-cobalt-aluminum</t>
  </si>
  <si>
    <t>Orange</t>
  </si>
  <si>
    <t>Sweden</t>
  </si>
  <si>
    <t>Changan</t>
  </si>
  <si>
    <t>Q05</t>
  </si>
  <si>
    <t>Lead-acid</t>
  </si>
  <si>
    <t>CCS</t>
  </si>
  <si>
    <t>Bronze</t>
  </si>
  <si>
    <t>Mexico</t>
  </si>
  <si>
    <t>Citroen</t>
  </si>
  <si>
    <t>ë-C4</t>
  </si>
  <si>
    <t>Aluminum-ion</t>
  </si>
  <si>
    <t>Solar Charging</t>
  </si>
  <si>
    <t>Metallic Silver</t>
  </si>
  <si>
    <t>Rimac</t>
  </si>
  <si>
    <t>Nevera</t>
  </si>
  <si>
    <t>Solid-state</t>
  </si>
  <si>
    <t>Matte Green</t>
  </si>
  <si>
    <t>Volkswagen</t>
  </si>
  <si>
    <t>ID.Buzz</t>
  </si>
  <si>
    <t>Stealth Gray</t>
  </si>
  <si>
    <t>Denmark</t>
  </si>
  <si>
    <t>Jaguar</t>
  </si>
  <si>
    <t>I-PACE</t>
  </si>
  <si>
    <t>Cosmic Purple</t>
  </si>
  <si>
    <t>South Korea</t>
  </si>
  <si>
    <t>Mini</t>
  </si>
  <si>
    <t>Mini Cooper SE</t>
  </si>
  <si>
    <t>Tan</t>
  </si>
  <si>
    <t>BMW</t>
  </si>
  <si>
    <t>iX3</t>
  </si>
  <si>
    <t>Flow batteries</t>
  </si>
  <si>
    <t>Faraday Future</t>
  </si>
  <si>
    <t>FF 91</t>
  </si>
  <si>
    <t>Level 1 Charging</t>
  </si>
  <si>
    <t>Rose Gold</t>
  </si>
  <si>
    <t>Belgium</t>
  </si>
  <si>
    <t>Tesla</t>
  </si>
  <si>
    <t>Model Y</t>
  </si>
  <si>
    <t>Burgundy</t>
  </si>
  <si>
    <t>Maserati</t>
  </si>
  <si>
    <t>Grecale Folgore</t>
  </si>
  <si>
    <t>Lithium-ion</t>
  </si>
  <si>
    <t>NACS</t>
  </si>
  <si>
    <t>Norway</t>
  </si>
  <si>
    <t>Polestar</t>
  </si>
  <si>
    <t>Polestar 2</t>
  </si>
  <si>
    <t>Hungary</t>
  </si>
  <si>
    <t>Zinc-air</t>
  </si>
  <si>
    <t>Teal</t>
  </si>
  <si>
    <t>China</t>
  </si>
  <si>
    <t>France</t>
  </si>
  <si>
    <t>Skoda</t>
  </si>
  <si>
    <t>Japan</t>
  </si>
  <si>
    <t>Geely</t>
  </si>
  <si>
    <t>Emgrand EV</t>
  </si>
  <si>
    <t>Matte Blue</t>
  </si>
  <si>
    <t>Enyaq</t>
  </si>
  <si>
    <t>Forest Green</t>
  </si>
  <si>
    <t>Nickel-metal hydride</t>
  </si>
  <si>
    <t>Crimson Red</t>
  </si>
  <si>
    <t>Mini Electric</t>
  </si>
  <si>
    <t>Sodium-ion</t>
  </si>
  <si>
    <t>Battery Swapping</t>
  </si>
  <si>
    <t>Sky Blue</t>
  </si>
  <si>
    <t>Saudi Arabia</t>
  </si>
  <si>
    <t>Chevrolet</t>
  </si>
  <si>
    <t>Bolt EV</t>
  </si>
  <si>
    <t>India</t>
  </si>
  <si>
    <t>Poland</t>
  </si>
  <si>
    <t>Lucid Motors</t>
  </si>
  <si>
    <t>Lucid Gravity</t>
  </si>
  <si>
    <t>Matte Gray</t>
  </si>
  <si>
    <t>USA</t>
  </si>
  <si>
    <t>Geometry C</t>
  </si>
  <si>
    <t>Lime Green</t>
  </si>
  <si>
    <t>Finland</t>
  </si>
  <si>
    <t>Bolt EUV</t>
  </si>
  <si>
    <t>Porsche</t>
  </si>
  <si>
    <t>South Africa</t>
  </si>
  <si>
    <t>Toyota</t>
  </si>
  <si>
    <t>Lexus RZ</t>
  </si>
  <si>
    <t>Switzerland</t>
  </si>
  <si>
    <t>Li Auto</t>
  </si>
  <si>
    <t>MEGA</t>
  </si>
  <si>
    <t>Magenta</t>
  </si>
  <si>
    <t>Volvo</t>
  </si>
  <si>
    <t>EX30</t>
  </si>
  <si>
    <t>Nickel-manganese-cobalt</t>
  </si>
  <si>
    <t>Gray</t>
  </si>
  <si>
    <t>SL03</t>
  </si>
  <si>
    <t>Lithium-sulfur</t>
  </si>
  <si>
    <t>Portugal</t>
  </si>
  <si>
    <t>Germany</t>
  </si>
  <si>
    <t>Seat</t>
  </si>
  <si>
    <t>Avenger</t>
  </si>
  <si>
    <t>Lucid Air</t>
  </si>
  <si>
    <t>Ireland</t>
  </si>
  <si>
    <t>MG</t>
  </si>
  <si>
    <t>MG5 EV</t>
  </si>
  <si>
    <t>Titanium</t>
  </si>
  <si>
    <t>Green</t>
  </si>
  <si>
    <t>Nissan</t>
  </si>
  <si>
    <t>Ariya</t>
  </si>
  <si>
    <t>Purple</t>
  </si>
  <si>
    <t>Canada</t>
  </si>
  <si>
    <t>Wagoneer S</t>
  </si>
  <si>
    <t>Overhead Pantograph Charging</t>
  </si>
  <si>
    <t>Italy</t>
  </si>
  <si>
    <t>Cybertruck</t>
  </si>
  <si>
    <t>Aurora Blue</t>
  </si>
  <si>
    <t>Ford</t>
  </si>
  <si>
    <t>E-Transit</t>
  </si>
  <si>
    <t>GMC</t>
  </si>
  <si>
    <t>Hummer EV Pickup</t>
  </si>
  <si>
    <t>Cadillac</t>
  </si>
  <si>
    <t>Celestiq</t>
  </si>
  <si>
    <t>Austria</t>
  </si>
  <si>
    <t>Gun Metal</t>
  </si>
  <si>
    <t>Spain</t>
  </si>
  <si>
    <t>Ami</t>
  </si>
  <si>
    <t>L9</t>
  </si>
  <si>
    <t>Thailand</t>
  </si>
  <si>
    <t>Turquoise</t>
  </si>
  <si>
    <t>ID.5</t>
  </si>
  <si>
    <t>Israel</t>
  </si>
  <si>
    <t>Navy Blue</t>
  </si>
  <si>
    <t>Indonesia</t>
  </si>
  <si>
    <t>VinFast</t>
  </si>
  <si>
    <t>VF 7</t>
  </si>
  <si>
    <t>Candy Apple Red</t>
  </si>
  <si>
    <t>Great Wall Motors</t>
  </si>
  <si>
    <t>ORA Lightning Cat</t>
  </si>
  <si>
    <t>Yellow</t>
  </si>
  <si>
    <t>Mazda</t>
  </si>
  <si>
    <t>Pearl White</t>
  </si>
  <si>
    <t>F-150 Lightning</t>
  </si>
  <si>
    <t>Copper</t>
  </si>
  <si>
    <t>Honda</t>
  </si>
  <si>
    <t>Honda Prologue</t>
  </si>
  <si>
    <t>Singapore</t>
  </si>
  <si>
    <t>Magnesium-ion</t>
  </si>
  <si>
    <t>Kia</t>
  </si>
  <si>
    <t>Soul EV</t>
  </si>
  <si>
    <t>bZ4X</t>
  </si>
  <si>
    <t>BYD</t>
  </si>
  <si>
    <t>Han EV</t>
  </si>
  <si>
    <t>Gold</t>
  </si>
  <si>
    <t>Hummer EV SUV</t>
  </si>
  <si>
    <t>Polestar 3</t>
  </si>
  <si>
    <t>Rivian</t>
  </si>
  <si>
    <t>Opel</t>
  </si>
  <si>
    <t>Corsa-e</t>
  </si>
  <si>
    <t>Panamera EV</t>
  </si>
  <si>
    <t>Brown</t>
  </si>
  <si>
    <t>e-tron GT</t>
  </si>
  <si>
    <t>R1S</t>
  </si>
  <si>
    <t>Vietnam</t>
  </si>
  <si>
    <t>Hyundai</t>
  </si>
  <si>
    <t>Kona Electric</t>
  </si>
  <si>
    <t>Brazil</t>
  </si>
  <si>
    <t>Grandland Electric</t>
  </si>
  <si>
    <t>Mustang Mach-E</t>
  </si>
  <si>
    <t>Electric Blue</t>
  </si>
  <si>
    <t>Turkey</t>
  </si>
  <si>
    <t>Lotus</t>
  </si>
  <si>
    <t>Evija</t>
  </si>
  <si>
    <t>ID.6</t>
  </si>
  <si>
    <t>Silver</t>
  </si>
  <si>
    <t>P5</t>
  </si>
  <si>
    <t>Matte Black</t>
  </si>
  <si>
    <t>Niro EV</t>
  </si>
  <si>
    <t>Champagne</t>
  </si>
  <si>
    <t>Dacia</t>
  </si>
  <si>
    <t>Jogger Hybrid</t>
  </si>
  <si>
    <t>Sapphire Blue</t>
  </si>
  <si>
    <t>VF 8</t>
  </si>
  <si>
    <t>Pink</t>
  </si>
  <si>
    <t>Mercedes-Benz</t>
  </si>
  <si>
    <t>EQB</t>
  </si>
  <si>
    <t>Zeekr</t>
  </si>
  <si>
    <t>Zeekr 001</t>
  </si>
  <si>
    <t>Genesis</t>
  </si>
  <si>
    <t>GV80 Electric</t>
  </si>
  <si>
    <t>New Zealand</t>
  </si>
  <si>
    <t>MG4 Electric</t>
  </si>
  <si>
    <t>Red</t>
  </si>
  <si>
    <t>Midnight Black</t>
  </si>
  <si>
    <t>Russia</t>
  </si>
  <si>
    <t>Zeekr X</t>
  </si>
  <si>
    <t>Zeekr 009</t>
  </si>
  <si>
    <t>ID.2all</t>
  </si>
  <si>
    <t>Subaru</t>
  </si>
  <si>
    <t>Solterra</t>
  </si>
  <si>
    <t>Malaysia</t>
  </si>
  <si>
    <t>Lucid DreamDrive</t>
  </si>
  <si>
    <t>Emerald Green</t>
  </si>
  <si>
    <t>ë-Spacetourer</t>
  </si>
  <si>
    <t>Charcoal</t>
  </si>
  <si>
    <t>Canoo</t>
  </si>
  <si>
    <t>Pickup</t>
  </si>
  <si>
    <t>Fisker</t>
  </si>
  <si>
    <t>Ocean</t>
  </si>
  <si>
    <t>P7</t>
  </si>
  <si>
    <t>Graphite Gray</t>
  </si>
  <si>
    <t>MPDV</t>
  </si>
  <si>
    <t>ID.7</t>
  </si>
  <si>
    <t>ORA Good Cat</t>
  </si>
  <si>
    <t>Lexus UX 300e</t>
  </si>
  <si>
    <t>EV6</t>
  </si>
  <si>
    <t>Taycan</t>
  </si>
  <si>
    <t>Cream</t>
  </si>
  <si>
    <t>Volcanic Yellow</t>
  </si>
  <si>
    <t>iX1</t>
  </si>
  <si>
    <t>MG ES5</t>
  </si>
  <si>
    <t>Platinum</t>
  </si>
  <si>
    <t>i3</t>
  </si>
  <si>
    <t>Renault</t>
  </si>
  <si>
    <t>Kangoo E-Tech</t>
  </si>
  <si>
    <t>Ferrari</t>
  </si>
  <si>
    <t>Mahindra</t>
  </si>
  <si>
    <t>XUV400</t>
  </si>
  <si>
    <t>ET5</t>
  </si>
  <si>
    <t>Czech Republic</t>
  </si>
  <si>
    <t>Scenic E-Tech</t>
  </si>
  <si>
    <t>Model S</t>
  </si>
  <si>
    <t>C40 Recharge</t>
  </si>
  <si>
    <t>Peugeot</t>
  </si>
  <si>
    <t>e-3008</t>
  </si>
  <si>
    <t>Cobalt Blue</t>
  </si>
  <si>
    <t>ES8</t>
  </si>
  <si>
    <t>Leaf</t>
  </si>
  <si>
    <t>EQS SUV</t>
  </si>
  <si>
    <t>VF 9</t>
  </si>
  <si>
    <t>L7</t>
  </si>
  <si>
    <t>Racing Red</t>
  </si>
  <si>
    <t>Roma PHEV</t>
  </si>
  <si>
    <t>Blue</t>
  </si>
  <si>
    <t>GV60</t>
  </si>
  <si>
    <t>GranTurismo Folgore</t>
  </si>
  <si>
    <t>EQA</t>
  </si>
  <si>
    <t>Deepal S07</t>
  </si>
  <si>
    <t>XC40 Recharge</t>
  </si>
  <si>
    <t>e:Ny1</t>
  </si>
  <si>
    <t>Lifestyle Vehicle</t>
  </si>
  <si>
    <t>Emeya</t>
  </si>
  <si>
    <t>Macan EV</t>
  </si>
  <si>
    <t>Mini Aceman</t>
  </si>
  <si>
    <t>EQS</t>
  </si>
  <si>
    <t>L8</t>
  </si>
  <si>
    <t>Geometry A</t>
  </si>
  <si>
    <t>Dolphin</t>
  </si>
  <si>
    <t>Enyaq Coupe</t>
  </si>
  <si>
    <t>Zeekr 007</t>
  </si>
  <si>
    <t>Lyriq</t>
  </si>
  <si>
    <t>GV70 Electric</t>
  </si>
  <si>
    <t>5 E-Tech</t>
  </si>
  <si>
    <t>Model X</t>
  </si>
  <si>
    <t>ES7</t>
  </si>
  <si>
    <t>Black</t>
  </si>
  <si>
    <t>Tang EV</t>
  </si>
  <si>
    <t>G80 Electric</t>
  </si>
  <si>
    <t>Eletre</t>
  </si>
  <si>
    <t>Polestar 4</t>
  </si>
  <si>
    <t>ORA Ballet Cat</t>
  </si>
  <si>
    <t>e-208</t>
  </si>
  <si>
    <t>Equinox EV</t>
  </si>
  <si>
    <t>EV9</t>
  </si>
  <si>
    <t>Explorer EV (Europe)</t>
  </si>
  <si>
    <t>Megane E-Tech</t>
  </si>
  <si>
    <t>Mokka-e</t>
  </si>
  <si>
    <t>Pininfarina</t>
  </si>
  <si>
    <t>Battista</t>
  </si>
  <si>
    <t>iX</t>
  </si>
  <si>
    <t>R1T</t>
  </si>
  <si>
    <t>G6</t>
  </si>
  <si>
    <t>Atto 3</t>
  </si>
  <si>
    <t>Seal</t>
  </si>
  <si>
    <t>Seagull</t>
  </si>
  <si>
    <t>i7</t>
  </si>
  <si>
    <t>ID.3</t>
  </si>
  <si>
    <t>Q8 e-tron</t>
  </si>
  <si>
    <t>X9</t>
  </si>
  <si>
    <t>Silverado EV</t>
  </si>
  <si>
    <t>MX-30</t>
  </si>
  <si>
    <t>Ioniq 6</t>
  </si>
  <si>
    <t>ET9</t>
  </si>
  <si>
    <t>e-2008</t>
  </si>
  <si>
    <t>i4</t>
  </si>
  <si>
    <t>Q4 e-tron</t>
  </si>
  <si>
    <t>EX90</t>
  </si>
  <si>
    <t>Model 3</t>
  </si>
  <si>
    <t>VF 6</t>
  </si>
  <si>
    <t>EQC</t>
  </si>
  <si>
    <t>EQE SUV</t>
  </si>
  <si>
    <t>EQE</t>
  </si>
  <si>
    <t>Ioniq 5</t>
  </si>
  <si>
    <t>MG ZS EV</t>
  </si>
  <si>
    <t>e-5008</t>
  </si>
  <si>
    <t>ES6</t>
  </si>
  <si>
    <t>ID.4</t>
  </si>
  <si>
    <t>EL7</t>
  </si>
  <si>
    <t>EC6</t>
  </si>
  <si>
    <t>V2H</t>
  </si>
  <si>
    <t>Battery_capacity_range(kWh)</t>
  </si>
  <si>
    <t xml:space="preserve">ZDX </t>
  </si>
  <si>
    <t>40-60</t>
  </si>
  <si>
    <t xml:space="preserve">Revuelto </t>
  </si>
  <si>
    <t>80-100</t>
  </si>
  <si>
    <t>60-80</t>
  </si>
  <si>
    <t>120-140</t>
  </si>
  <si>
    <t xml:space="preserve">Ultra-Fast Charging </t>
  </si>
  <si>
    <t>UAE</t>
  </si>
  <si>
    <t xml:space="preserve">Recon </t>
  </si>
  <si>
    <t>V2L</t>
  </si>
  <si>
    <t>20-40</t>
  </si>
  <si>
    <t>V2G</t>
  </si>
  <si>
    <t>Inductive  Charging</t>
  </si>
  <si>
    <t xml:space="preserve">Elroq </t>
  </si>
  <si>
    <t>100-120</t>
  </si>
  <si>
    <t xml:space="preserve">Cayenne Electric </t>
  </si>
  <si>
    <t xml:space="preserve">Lanzador </t>
  </si>
  <si>
    <t>DCFC</t>
  </si>
  <si>
    <t xml:space="preserve">Mazda EV </t>
  </si>
  <si>
    <t>Electric Delivery Van</t>
  </si>
  <si>
    <t xml:space="preserve">VFe34 </t>
  </si>
  <si>
    <t xml:space="preserve">Ioniq 7 </t>
  </si>
  <si>
    <t xml:space="preserve">Volt </t>
  </si>
  <si>
    <t xml:space="preserve">Ferrari EV </t>
  </si>
  <si>
    <t xml:space="preserve">Pear </t>
  </si>
  <si>
    <t xml:space="preserve">SF90 Stradale </t>
  </si>
  <si>
    <t xml:space="preserve">Born Electric </t>
  </si>
  <si>
    <t xml:space="preserve">Grand Cherokee 4xe </t>
  </si>
  <si>
    <t xml:space="preserve">Optiq </t>
  </si>
  <si>
    <t xml:space="preserve">Roadster </t>
  </si>
  <si>
    <t xml:space="preserve">Bigster EV </t>
  </si>
  <si>
    <t xml:space="preserve">A6 e-tron </t>
  </si>
  <si>
    <t xml:space="preserve">Honda e </t>
  </si>
  <si>
    <t xml:space="preserve">Wrangler 4xe </t>
  </si>
  <si>
    <t xml:space="preserve">Polestar 5 </t>
  </si>
  <si>
    <t xml:space="preserve">G-Class Electric </t>
  </si>
  <si>
    <t>Price_Category</t>
  </si>
  <si>
    <t>Energy_Density_Index</t>
  </si>
  <si>
    <t>Sales_Revenue</t>
  </si>
  <si>
    <t>&gt;140</t>
  </si>
  <si>
    <t>Region</t>
  </si>
  <si>
    <t>Autonomous Category</t>
  </si>
  <si>
    <t>Europe</t>
  </si>
  <si>
    <t>No Automation</t>
  </si>
  <si>
    <t>Advanced Driver Assistance Systems</t>
  </si>
  <si>
    <t>Self-Driving</t>
  </si>
  <si>
    <t>South America</t>
  </si>
  <si>
    <t>Asia</t>
  </si>
  <si>
    <t>Oceania</t>
  </si>
  <si>
    <t>North America</t>
  </si>
  <si>
    <t>Hands-off/ Eyes-off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</si>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</sst>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164" formatCode="&quot;$&quot;#,##0.00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7AF13B-47C6-495F-A5FC-B16E2DFD9B6E}" autoFormatId="16" applyNumberFormats="0" applyBorderFormats="0" applyFontFormats="0" applyPatternFormats="0" applyAlignmentFormats="0" applyWidthHeightFormats="0">
  <queryTableRefresh nextId="28">
    <queryTableFields count="22">
      <queryTableField id="1" name="Vehicle_ID" tableColumnId="1"/>
      <queryTableField id="2" name="Manufacturer" tableColumnId="2"/>
      <queryTableField id="3" name="Model" tableColumnId="3"/>
      <queryTableField id="4" name="Year" tableColumnId="4"/>
      <queryTableField id="5" name="Battery_Type" tableColumnId="5"/>
      <queryTableField id="6" name="Battery_Capacity_kWh" tableColumnId="6"/>
      <queryTableField id="17" name="Battery_capacity_range(kWh)" tableColumnId="17"/>
      <queryTableField id="20" dataBound="0" tableColumnId="19"/>
      <queryTableField id="7" name="Range_km" tableColumnId="7"/>
      <queryTableField id="8" name="Charging_Type" tableColumnId="8"/>
      <queryTableField id="9" name="Charge_Time_hr" tableColumnId="9"/>
      <queryTableField id="10" name="Price_USD" tableColumnId="10"/>
      <queryTableField id="19" dataBound="0" tableColumnId="18"/>
      <queryTableField id="11" name="Color" tableColumnId="11"/>
      <queryTableField id="12" name="Country_of_Manufacture" tableColumnId="12"/>
      <queryTableField id="23" name="Region" tableColumnId="21"/>
      <queryTableField id="13" name="Autonomous_Level" tableColumnId="13"/>
      <queryTableField id="24" name="Autonomous Category" tableColumnId="22"/>
      <queryTableField id="21" dataBound="0" tableColumnId="20"/>
      <queryTableField id="14" name="Safety_Rating" tableColumnId="14"/>
      <queryTableField id="15" name="Units_Sold_2024" tableColumnId="15"/>
      <queryTableField id="16" name="Warranty_Year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F97AC-CD74-442C-9597-92264CE4A491}" name="electric_vehicles_dataset" displayName="electric_vehicles_dataset" ref="A1:V3023" tableType="queryTable" totalsRowShown="0">
  <autoFilter ref="A1:V3023" xr:uid="{E22F97AC-CD74-442C-9597-92264CE4A491}"/>
  <tableColumns count="22">
    <tableColumn id="1" xr3:uid="{FD2E19DA-E46A-4619-B275-49F9EEFB1518}" uniqueName="1" name="Vehicle_ID" queryTableFieldId="1"/>
    <tableColumn id="2" xr3:uid="{02963994-5BAE-410B-80FE-FEFAD864A5D5}" uniqueName="2" name="Manufacturer" queryTableFieldId="2" dataDxfId="11"/>
    <tableColumn id="3" xr3:uid="{E95319E2-CCED-4B0B-A5D1-F965BD69067B}" uniqueName="3" name="Model" queryTableFieldId="3" dataDxfId="10"/>
    <tableColumn id="4" xr3:uid="{13094A5D-5500-4A4B-8B23-DF36A91EA7A7}" uniqueName="4" name="Year" queryTableFieldId="4"/>
    <tableColumn id="5" xr3:uid="{C6D561C4-CB2D-4881-B8BC-F6DE11ADBDCA}" uniqueName="5" name="Battery_Type" queryTableFieldId="5" dataDxfId="9"/>
    <tableColumn id="6" xr3:uid="{909BADB8-0E53-4214-B681-1F18BF3F416E}" uniqueName="6" name="Battery_Capacity_kWh" queryTableFieldId="6"/>
    <tableColumn id="17" xr3:uid="{1ADD32F9-EAA8-452C-BBA5-8261CFD095FF}" uniqueName="17" name="Battery_capacity_range(kWh)" queryTableFieldId="17" dataDxfId="8"/>
    <tableColumn id="19" xr3:uid="{9A3D8FAE-8CB7-410C-B58D-FEA30E481D39}" uniqueName="19" name="Energy_Density_Index" queryTableFieldId="20" dataDxfId="7">
      <calculatedColumnFormula>electric_vehicles_dataset[[#This Row],[Battery_Capacity_kWh]]/electric_vehicles_dataset[[#This Row],[Range_km]]</calculatedColumnFormula>
    </tableColumn>
    <tableColumn id="7" xr3:uid="{BD24F298-85A0-47A7-8C0B-B40B7A92C53D}" uniqueName="7" name="Range_km" queryTableFieldId="7"/>
    <tableColumn id="8" xr3:uid="{DED0AED5-2F22-4B81-B342-3A737436C85E}" uniqueName="8" name="Charging_Type" queryTableFieldId="8" dataDxfId="6"/>
    <tableColumn id="9" xr3:uid="{3FBFC3EC-9CC9-46A1-88B2-E2CC6131906E}" uniqueName="9" name="Charge_Time_hr" queryTableFieldId="9"/>
    <tableColumn id="10" xr3:uid="{F6C48F62-A20E-4745-89CC-8A6B44C7F525}" uniqueName="10" name="Price_USD" queryTableFieldId="10" dataDxfId="3"/>
    <tableColumn id="18" xr3:uid="{B3A704C8-B467-40D7-9964-59494344AD63}" uniqueName="18" name="Price_Category" queryTableFieldId="19" dataDxfId="2">
      <calculatedColumnFormula array="1">_xlfn.IFS(electric_vehicles_dataset[[#This Row],[Price_USD]]&lt;70000,"Entry level",electric_vehicles_dataset[[#This Row],[Price_USD]]&lt;110000,"Mid range",electric_vehicles_dataset[[#This Row],[Price_USD]]&lt;150000,"Premium")</calculatedColumnFormula>
    </tableColumn>
    <tableColumn id="11" xr3:uid="{40B8FCDB-3ECE-451A-9E9A-272C7A6A63DD}" uniqueName="11" name="Color" queryTableFieldId="11" dataDxfId="5"/>
    <tableColumn id="12" xr3:uid="{C445E647-0A5A-4EC6-A090-7349FAD55140}" uniqueName="12" name="Country_of_Manufacture" queryTableFieldId="12" dataDxfId="4"/>
    <tableColumn id="21" xr3:uid="{1D3C72FF-66B7-413F-8B12-A717A01EE3DC}" uniqueName="21" name="Region" queryTableFieldId="23" dataDxfId="1"/>
    <tableColumn id="13" xr3:uid="{252F3CAA-1099-4AB2-8B44-19EC37DC1723}" uniqueName="13" name="Autonomous_Level" queryTableFieldId="13"/>
    <tableColumn id="22" xr3:uid="{E2195D64-E488-41F6-AF06-ABE33CBCBC25}" uniqueName="22" name="Autonomous Category" queryTableFieldId="24"/>
    <tableColumn id="20" xr3:uid="{9A0489CD-5099-4B0B-B43B-45817A71A373}" uniqueName="20" name="Sales_Revenue" queryTableFieldId="21" dataDxfId="0">
      <calculatedColumnFormula>electric_vehicles_dataset[[#This Row],[Units_Sold_2024]]*electric_vehicles_dataset[[#This Row],[Price_USD]]</calculatedColumnFormula>
    </tableColumn>
    <tableColumn id="14" xr3:uid="{0989CA4E-DB48-4A78-BCDD-98E7787C007B}" uniqueName="14" name="Safety_Rating" queryTableFieldId="14"/>
    <tableColumn id="15" xr3:uid="{262CB695-E6E9-4808-A5C4-60DEF157347E}" uniqueName="15" name="Units_Sold_2024" queryTableFieldId="15"/>
    <tableColumn id="16" xr3:uid="{3EF60F56-6ECC-41EB-AE58-AA0072DD2BBA}" uniqueName="16" name="Warranty_Years" queryTableFieldId="16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2EC0-4802-4D09-9F6C-845B682B9EB3}">
  <dimension ref="A1:V3023"/>
  <sheetViews>
    <sheetView tabSelected="1" topLeftCell="M1" workbookViewId="0">
      <selection activeCell="R6" sqref="R6"/>
    </sheetView>
  </sheetViews>
  <sheetFormatPr defaultRowHeight="14.5" x14ac:dyDescent="0.35"/>
  <cols>
    <col min="1" max="1" width="12" bestFit="1" customWidth="1"/>
    <col min="2" max="2" width="15.36328125" bestFit="1" customWidth="1"/>
    <col min="3" max="3" width="17.7265625" bestFit="1" customWidth="1"/>
    <col min="4" max="4" width="6.81640625" bestFit="1" customWidth="1"/>
    <col min="5" max="5" width="21.90625" bestFit="1" customWidth="1"/>
    <col min="6" max="6" width="22" bestFit="1" customWidth="1"/>
    <col min="7" max="7" width="27.81640625" bestFit="1" customWidth="1"/>
    <col min="8" max="8" width="21.453125" bestFit="1" customWidth="1"/>
    <col min="9" max="9" width="11.7265625" bestFit="1" customWidth="1"/>
    <col min="10" max="10" width="26.1796875" bestFit="1" customWidth="1"/>
    <col min="11" max="11" width="16.54296875" bestFit="1" customWidth="1"/>
    <col min="12" max="12" width="11.81640625" style="1" bestFit="1" customWidth="1"/>
    <col min="13" max="13" width="15.6328125" style="1" bestFit="1" customWidth="1"/>
    <col min="14" max="14" width="14.36328125" bestFit="1" customWidth="1"/>
    <col min="15" max="15" width="23.90625" bestFit="1" customWidth="1"/>
    <col min="16" max="16" width="12.54296875" bestFit="1" customWidth="1"/>
    <col min="17" max="17" width="18.90625" bestFit="1" customWidth="1"/>
    <col min="18" max="18" width="30.81640625" bestFit="1" customWidth="1"/>
    <col min="19" max="19" width="16.08984375" bestFit="1" customWidth="1"/>
    <col min="20" max="20" width="14.54296875" bestFit="1" customWidth="1"/>
    <col min="21" max="21" width="17" bestFit="1" customWidth="1"/>
    <col min="22" max="22" width="16.17968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346</v>
      </c>
      <c r="H1" t="s">
        <v>384</v>
      </c>
      <c r="I1" t="s">
        <v>6</v>
      </c>
      <c r="J1" t="s">
        <v>7</v>
      </c>
      <c r="K1" t="s">
        <v>8</v>
      </c>
      <c r="L1" s="1" t="s">
        <v>9</v>
      </c>
      <c r="M1" s="1" t="s">
        <v>383</v>
      </c>
      <c r="N1" t="s">
        <v>10</v>
      </c>
      <c r="O1" t="s">
        <v>11</v>
      </c>
      <c r="P1" t="s">
        <v>387</v>
      </c>
      <c r="Q1" t="s">
        <v>12</v>
      </c>
      <c r="R1" t="s">
        <v>388</v>
      </c>
      <c r="S1" t="s">
        <v>385</v>
      </c>
      <c r="T1" t="s">
        <v>13</v>
      </c>
      <c r="U1" t="s">
        <v>14</v>
      </c>
      <c r="V1" t="s">
        <v>15</v>
      </c>
    </row>
    <row r="2" spans="1:22" x14ac:dyDescent="0.35">
      <c r="A2">
        <v>1</v>
      </c>
      <c r="B2" t="s">
        <v>16</v>
      </c>
      <c r="C2" t="s">
        <v>347</v>
      </c>
      <c r="D2">
        <v>2015</v>
      </c>
      <c r="E2" t="s">
        <v>17</v>
      </c>
      <c r="F2">
        <v>55.8</v>
      </c>
      <c r="G2" t="s">
        <v>348</v>
      </c>
      <c r="H2">
        <f>electric_vehicles_dataset[[#This Row],[Battery_Capacity_kWh]]/electric_vehicles_dataset[[#This Row],[Range_km]]</f>
        <v>0.26074766355140183</v>
      </c>
      <c r="I2">
        <v>214</v>
      </c>
      <c r="J2" t="s">
        <v>18</v>
      </c>
      <c r="K2">
        <v>9</v>
      </c>
      <c r="L2" s="1">
        <v>111203.94</v>
      </c>
      <c r="M2" s="1" t="str" cm="1">
        <f t="array" ref="M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" t="s">
        <v>19</v>
      </c>
      <c r="O2" t="s">
        <v>20</v>
      </c>
      <c r="P2" s="2" t="s">
        <v>389</v>
      </c>
      <c r="Q2">
        <v>0</v>
      </c>
      <c r="R2" t="s">
        <v>390</v>
      </c>
      <c r="S2" s="1">
        <f>electric_vehicles_dataset[[#This Row],[Units_Sold_2024]]*electric_vehicles_dataset[[#This Row],[Price_USD]]</f>
        <v>2193608920.4400001</v>
      </c>
      <c r="T2">
        <v>5</v>
      </c>
      <c r="U2">
        <v>19726</v>
      </c>
      <c r="V2">
        <v>3</v>
      </c>
    </row>
    <row r="3" spans="1:22" x14ac:dyDescent="0.35">
      <c r="A3">
        <v>2</v>
      </c>
      <c r="B3" t="s">
        <v>21</v>
      </c>
      <c r="C3" t="s">
        <v>349</v>
      </c>
      <c r="D3">
        <v>2025</v>
      </c>
      <c r="E3" t="s">
        <v>17</v>
      </c>
      <c r="F3">
        <v>90.8</v>
      </c>
      <c r="G3" t="s">
        <v>350</v>
      </c>
      <c r="H3">
        <f>electric_vehicles_dataset[[#This Row],[Battery_Capacity_kWh]]/electric_vehicles_dataset[[#This Row],[Range_km]]</f>
        <v>0.42830188679245279</v>
      </c>
      <c r="I3">
        <v>212</v>
      </c>
      <c r="J3" t="s">
        <v>345</v>
      </c>
      <c r="K3">
        <v>7</v>
      </c>
      <c r="L3" s="1">
        <v>127131.65</v>
      </c>
      <c r="M3" s="1" t="str" cm="1">
        <f t="array" ref="M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" t="s">
        <v>22</v>
      </c>
      <c r="O3" t="s">
        <v>23</v>
      </c>
      <c r="P3" s="2" t="s">
        <v>389</v>
      </c>
      <c r="Q3">
        <v>2</v>
      </c>
      <c r="R3" t="s">
        <v>391</v>
      </c>
      <c r="S3" s="1">
        <f>electric_vehicles_dataset[[#This Row],[Units_Sold_2024]]*electric_vehicles_dataset[[#This Row],[Price_USD]]</f>
        <v>425763895.84999996</v>
      </c>
      <c r="T3">
        <v>4</v>
      </c>
      <c r="U3">
        <v>3349</v>
      </c>
      <c r="V3">
        <v>3</v>
      </c>
    </row>
    <row r="4" spans="1:22" x14ac:dyDescent="0.35">
      <c r="A4">
        <v>3</v>
      </c>
      <c r="B4" t="s">
        <v>24</v>
      </c>
      <c r="C4" t="s">
        <v>25</v>
      </c>
      <c r="D4">
        <v>2020</v>
      </c>
      <c r="E4" t="s">
        <v>26</v>
      </c>
      <c r="F4">
        <v>64.7</v>
      </c>
      <c r="G4" t="s">
        <v>351</v>
      </c>
      <c r="H4">
        <f>electric_vehicles_dataset[[#This Row],[Battery_Capacity_kWh]]/electric_vehicles_dataset[[#This Row],[Range_km]]</f>
        <v>0.27531914893617021</v>
      </c>
      <c r="I4">
        <v>235</v>
      </c>
      <c r="J4" t="s">
        <v>27</v>
      </c>
      <c r="K4">
        <v>9</v>
      </c>
      <c r="L4" s="1">
        <v>94347.37</v>
      </c>
      <c r="M4" s="1" t="str" cm="1">
        <f t="array" ref="M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" t="s">
        <v>28</v>
      </c>
      <c r="O4" t="s">
        <v>20</v>
      </c>
      <c r="P4" s="2" t="s">
        <v>389</v>
      </c>
      <c r="Q4">
        <v>5</v>
      </c>
      <c r="R4" t="s">
        <v>392</v>
      </c>
      <c r="S4" s="1">
        <f>electric_vehicles_dataset[[#This Row],[Units_Sold_2024]]*electric_vehicles_dataset[[#This Row],[Price_USD]]</f>
        <v>594388431</v>
      </c>
      <c r="T4">
        <v>5</v>
      </c>
      <c r="U4">
        <v>6300</v>
      </c>
      <c r="V4">
        <v>5</v>
      </c>
    </row>
    <row r="5" spans="1:22" x14ac:dyDescent="0.35">
      <c r="A5">
        <v>4</v>
      </c>
      <c r="B5" t="s">
        <v>29</v>
      </c>
      <c r="C5" t="s">
        <v>30</v>
      </c>
      <c r="D5">
        <v>2025</v>
      </c>
      <c r="E5" t="s">
        <v>31</v>
      </c>
      <c r="F5">
        <v>120.5</v>
      </c>
      <c r="G5" t="s">
        <v>352</v>
      </c>
      <c r="H5">
        <f>electric_vehicles_dataset[[#This Row],[Battery_Capacity_kWh]]/electric_vehicles_dataset[[#This Row],[Range_km]]</f>
        <v>0.86071428571428577</v>
      </c>
      <c r="I5">
        <v>140</v>
      </c>
      <c r="J5" t="s">
        <v>353</v>
      </c>
      <c r="K5">
        <v>11</v>
      </c>
      <c r="L5" s="1">
        <v>75615.149999999994</v>
      </c>
      <c r="M5" s="1" t="str" cm="1">
        <f t="array" ref="M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" t="s">
        <v>32</v>
      </c>
      <c r="O5" t="s">
        <v>33</v>
      </c>
      <c r="P5" s="2" t="s">
        <v>393</v>
      </c>
      <c r="Q5">
        <v>2</v>
      </c>
      <c r="R5" t="s">
        <v>391</v>
      </c>
      <c r="S5" s="1">
        <f>electric_vehicles_dataset[[#This Row],[Units_Sold_2024]]*electric_vehicles_dataset[[#This Row],[Price_USD]]</f>
        <v>176863835.84999999</v>
      </c>
      <c r="T5">
        <v>5</v>
      </c>
      <c r="U5">
        <v>2339</v>
      </c>
      <c r="V5">
        <v>5</v>
      </c>
    </row>
    <row r="6" spans="1:22" x14ac:dyDescent="0.35">
      <c r="A6">
        <v>5</v>
      </c>
      <c r="B6" t="s">
        <v>16</v>
      </c>
      <c r="C6" t="s">
        <v>347</v>
      </c>
      <c r="D6">
        <v>2023</v>
      </c>
      <c r="E6" t="s">
        <v>17</v>
      </c>
      <c r="F6">
        <v>51.8</v>
      </c>
      <c r="G6" t="s">
        <v>348</v>
      </c>
      <c r="H6">
        <f>electric_vehicles_dataset[[#This Row],[Battery_Capacity_kWh]]/electric_vehicles_dataset[[#This Row],[Range_km]]</f>
        <v>0.15416666666666665</v>
      </c>
      <c r="I6">
        <v>336</v>
      </c>
      <c r="J6" t="s">
        <v>34</v>
      </c>
      <c r="K6">
        <v>4</v>
      </c>
      <c r="L6" s="1">
        <v>141046.94</v>
      </c>
      <c r="M6" s="1" t="str" cm="1">
        <f t="array" ref="M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" t="s">
        <v>35</v>
      </c>
      <c r="O6" t="s">
        <v>354</v>
      </c>
      <c r="P6" s="2" t="s">
        <v>394</v>
      </c>
      <c r="Q6">
        <v>2</v>
      </c>
      <c r="R6" t="s">
        <v>391</v>
      </c>
      <c r="S6" s="1">
        <f>electric_vehicles_dataset[[#This Row],[Units_Sold_2024]]*electric_vehicles_dataset[[#This Row],[Price_USD]]</f>
        <v>148240333.94</v>
      </c>
      <c r="T6">
        <v>3</v>
      </c>
      <c r="U6">
        <v>1051</v>
      </c>
      <c r="V6">
        <v>4</v>
      </c>
    </row>
    <row r="7" spans="1:22" x14ac:dyDescent="0.35">
      <c r="A7">
        <v>6</v>
      </c>
      <c r="B7" t="s">
        <v>36</v>
      </c>
      <c r="C7" t="s">
        <v>37</v>
      </c>
      <c r="D7">
        <v>2016</v>
      </c>
      <c r="E7" t="s">
        <v>31</v>
      </c>
      <c r="F7">
        <v>138.69999999999999</v>
      </c>
      <c r="G7" t="s">
        <v>352</v>
      </c>
      <c r="H7">
        <f>electric_vehicles_dataset[[#This Row],[Battery_Capacity_kWh]]/electric_vehicles_dataset[[#This Row],[Range_km]]</f>
        <v>0.35564102564102562</v>
      </c>
      <c r="I7">
        <v>390</v>
      </c>
      <c r="J7" t="s">
        <v>38</v>
      </c>
      <c r="K7">
        <v>3</v>
      </c>
      <c r="L7" s="1">
        <v>89907.75</v>
      </c>
      <c r="M7" s="1" t="str" cm="1">
        <f t="array" ref="M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" t="s">
        <v>39</v>
      </c>
      <c r="O7" t="s">
        <v>40</v>
      </c>
      <c r="P7" s="2" t="s">
        <v>395</v>
      </c>
      <c r="Q7">
        <v>2</v>
      </c>
      <c r="R7" t="s">
        <v>391</v>
      </c>
      <c r="S7" s="1">
        <f>electric_vehicles_dataset[[#This Row],[Units_Sold_2024]]*electric_vehicles_dataset[[#This Row],[Price_USD]]</f>
        <v>774015819.75</v>
      </c>
      <c r="T7">
        <v>5</v>
      </c>
      <c r="U7">
        <v>8609</v>
      </c>
      <c r="V7">
        <v>5</v>
      </c>
    </row>
    <row r="8" spans="1:22" x14ac:dyDescent="0.35">
      <c r="A8">
        <v>7</v>
      </c>
      <c r="B8" t="s">
        <v>41</v>
      </c>
      <c r="C8" t="s">
        <v>355</v>
      </c>
      <c r="D8">
        <v>2024</v>
      </c>
      <c r="E8" t="s">
        <v>42</v>
      </c>
      <c r="F8">
        <v>67.099999999999994</v>
      </c>
      <c r="G8" t="s">
        <v>351</v>
      </c>
      <c r="H8">
        <f>electric_vehicles_dataset[[#This Row],[Battery_Capacity_kWh]]/electric_vehicles_dataset[[#This Row],[Range_km]]</f>
        <v>0.39470588235294113</v>
      </c>
      <c r="I8">
        <v>170</v>
      </c>
      <c r="J8" t="s">
        <v>356</v>
      </c>
      <c r="K8">
        <v>2</v>
      </c>
      <c r="L8" s="1">
        <v>35653.97</v>
      </c>
      <c r="M8" s="1" t="str" cm="1">
        <f t="array" ref="M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" t="s">
        <v>43</v>
      </c>
      <c r="O8" t="s">
        <v>44</v>
      </c>
      <c r="P8" s="2" t="s">
        <v>389</v>
      </c>
      <c r="Q8">
        <v>5</v>
      </c>
      <c r="R8" t="s">
        <v>392</v>
      </c>
      <c r="S8" s="1">
        <f>electric_vehicles_dataset[[#This Row],[Units_Sold_2024]]*electric_vehicles_dataset[[#This Row],[Price_USD]]</f>
        <v>445817240.88</v>
      </c>
      <c r="T8">
        <v>4</v>
      </c>
      <c r="U8">
        <v>12504</v>
      </c>
      <c r="V8">
        <v>5</v>
      </c>
    </row>
    <row r="9" spans="1:22" x14ac:dyDescent="0.35">
      <c r="A9">
        <v>8</v>
      </c>
      <c r="B9" t="s">
        <v>45</v>
      </c>
      <c r="C9" t="s">
        <v>46</v>
      </c>
      <c r="D9">
        <v>2019</v>
      </c>
      <c r="E9" t="s">
        <v>47</v>
      </c>
      <c r="F9">
        <v>131.9</v>
      </c>
      <c r="G9" t="s">
        <v>352</v>
      </c>
      <c r="H9">
        <f>electric_vehicles_dataset[[#This Row],[Battery_Capacity_kWh]]/electric_vehicles_dataset[[#This Row],[Range_km]]</f>
        <v>1.2561904761904763</v>
      </c>
      <c r="I9">
        <v>105</v>
      </c>
      <c r="J9" t="s">
        <v>48</v>
      </c>
      <c r="K9">
        <v>8</v>
      </c>
      <c r="L9" s="1">
        <v>94436.44</v>
      </c>
      <c r="M9" s="1" t="str" cm="1">
        <f t="array" ref="M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" t="s">
        <v>49</v>
      </c>
      <c r="O9" t="s">
        <v>50</v>
      </c>
      <c r="P9" s="2" t="s">
        <v>396</v>
      </c>
      <c r="Q9">
        <v>5</v>
      </c>
      <c r="R9" t="s">
        <v>392</v>
      </c>
      <c r="S9" s="1">
        <f>electric_vehicles_dataset[[#This Row],[Units_Sold_2024]]*electric_vehicles_dataset[[#This Row],[Price_USD]]</f>
        <v>814986477.20000005</v>
      </c>
      <c r="T9">
        <v>5</v>
      </c>
      <c r="U9">
        <v>8630</v>
      </c>
      <c r="V9">
        <v>5</v>
      </c>
    </row>
    <row r="10" spans="1:22" x14ac:dyDescent="0.35">
      <c r="A10">
        <v>9</v>
      </c>
      <c r="B10" t="s">
        <v>51</v>
      </c>
      <c r="C10" t="s">
        <v>52</v>
      </c>
      <c r="D10">
        <v>2023</v>
      </c>
      <c r="E10" t="s">
        <v>53</v>
      </c>
      <c r="F10">
        <v>33.799999999999997</v>
      </c>
      <c r="G10" t="s">
        <v>357</v>
      </c>
      <c r="H10">
        <f>electric_vehicles_dataset[[#This Row],[Battery_Capacity_kWh]]/electric_vehicles_dataset[[#This Row],[Range_km]]</f>
        <v>8.0476190476190465E-2</v>
      </c>
      <c r="I10">
        <v>420</v>
      </c>
      <c r="J10" t="s">
        <v>54</v>
      </c>
      <c r="K10">
        <v>10</v>
      </c>
      <c r="L10" s="1">
        <v>90919.55</v>
      </c>
      <c r="M10" s="1" t="str" cm="1">
        <f t="array" ref="M1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" t="s">
        <v>55</v>
      </c>
      <c r="O10" t="s">
        <v>44</v>
      </c>
      <c r="P10" s="2" t="s">
        <v>389</v>
      </c>
      <c r="Q10">
        <v>1</v>
      </c>
      <c r="R10" t="s">
        <v>391</v>
      </c>
      <c r="S10" s="1">
        <f>electric_vehicles_dataset[[#This Row],[Units_Sold_2024]]*electric_vehicles_dataset[[#This Row],[Price_USD]]</f>
        <v>1636551.9000000001</v>
      </c>
      <c r="T10">
        <v>5</v>
      </c>
      <c r="U10">
        <v>18</v>
      </c>
      <c r="V10">
        <v>5</v>
      </c>
    </row>
    <row r="11" spans="1:22" x14ac:dyDescent="0.35">
      <c r="A11">
        <v>10</v>
      </c>
      <c r="B11" t="s">
        <v>56</v>
      </c>
      <c r="C11" t="s">
        <v>57</v>
      </c>
      <c r="D11">
        <v>2015</v>
      </c>
      <c r="E11" t="s">
        <v>58</v>
      </c>
      <c r="F11">
        <v>140.80000000000001</v>
      </c>
      <c r="G11" t="s">
        <v>386</v>
      </c>
      <c r="H11">
        <f>electric_vehicles_dataset[[#This Row],[Battery_Capacity_kWh]]/electric_vehicles_dataset[[#This Row],[Range_km]]</f>
        <v>0.25646630236794171</v>
      </c>
      <c r="I11">
        <v>549</v>
      </c>
      <c r="J11" t="s">
        <v>54</v>
      </c>
      <c r="K11">
        <v>3</v>
      </c>
      <c r="L11" s="1">
        <v>58904.59</v>
      </c>
      <c r="M11" s="1" t="str" cm="1">
        <f t="array" ref="M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" t="s">
        <v>59</v>
      </c>
      <c r="O11" t="s">
        <v>20</v>
      </c>
      <c r="P11" s="2" t="s">
        <v>389</v>
      </c>
      <c r="Q11">
        <v>1</v>
      </c>
      <c r="R11" t="s">
        <v>391</v>
      </c>
      <c r="S11" s="1">
        <f>electric_vehicles_dataset[[#This Row],[Units_Sold_2024]]*electric_vehicles_dataset[[#This Row],[Price_USD]]</f>
        <v>1028179618.4499999</v>
      </c>
      <c r="T11">
        <v>4</v>
      </c>
      <c r="U11">
        <v>17455</v>
      </c>
      <c r="V11">
        <v>3</v>
      </c>
    </row>
    <row r="12" spans="1:22" x14ac:dyDescent="0.35">
      <c r="A12">
        <v>11</v>
      </c>
      <c r="B12" t="s">
        <v>60</v>
      </c>
      <c r="C12" t="s">
        <v>61</v>
      </c>
      <c r="D12">
        <v>2022</v>
      </c>
      <c r="E12" t="s">
        <v>47</v>
      </c>
      <c r="F12">
        <v>41.5</v>
      </c>
      <c r="G12" t="s">
        <v>348</v>
      </c>
      <c r="H12">
        <f>electric_vehicles_dataset[[#This Row],[Battery_Capacity_kWh]]/electric_vehicles_dataset[[#This Row],[Range_km]]</f>
        <v>0.11216216216216217</v>
      </c>
      <c r="I12">
        <v>370</v>
      </c>
      <c r="J12" t="s">
        <v>358</v>
      </c>
      <c r="K12">
        <v>12</v>
      </c>
      <c r="L12" s="1">
        <v>141469.62</v>
      </c>
      <c r="M12" s="1" t="str" cm="1">
        <f t="array" ref="M1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" t="s">
        <v>62</v>
      </c>
      <c r="O12" t="s">
        <v>63</v>
      </c>
      <c r="P12" s="2" t="s">
        <v>389</v>
      </c>
      <c r="Q12">
        <v>3</v>
      </c>
      <c r="R12" t="s">
        <v>397</v>
      </c>
      <c r="S12" s="1">
        <f>electric_vehicles_dataset[[#This Row],[Units_Sold_2024]]*electric_vehicles_dataset[[#This Row],[Price_USD]]</f>
        <v>2399183285.5799999</v>
      </c>
      <c r="T12">
        <v>4</v>
      </c>
      <c r="U12">
        <v>16959</v>
      </c>
      <c r="V12">
        <v>4</v>
      </c>
    </row>
    <row r="13" spans="1:22" x14ac:dyDescent="0.35">
      <c r="A13">
        <v>12</v>
      </c>
      <c r="B13" t="s">
        <v>64</v>
      </c>
      <c r="C13" t="s">
        <v>65</v>
      </c>
      <c r="D13">
        <v>2018</v>
      </c>
      <c r="E13" t="s">
        <v>58</v>
      </c>
      <c r="F13">
        <v>64</v>
      </c>
      <c r="G13" t="s">
        <v>351</v>
      </c>
      <c r="H13">
        <f>electric_vehicles_dataset[[#This Row],[Battery_Capacity_kWh]]/electric_vehicles_dataset[[#This Row],[Range_km]]</f>
        <v>0.15960099750623441</v>
      </c>
      <c r="I13">
        <v>401</v>
      </c>
      <c r="J13" t="s">
        <v>353</v>
      </c>
      <c r="K13">
        <v>7</v>
      </c>
      <c r="L13" s="1">
        <v>30862.9</v>
      </c>
      <c r="M13" s="1" t="str" cm="1">
        <f t="array" ref="M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" t="s">
        <v>66</v>
      </c>
      <c r="O13" t="s">
        <v>67</v>
      </c>
      <c r="P13" s="2" t="s">
        <v>394</v>
      </c>
      <c r="Q13">
        <v>0</v>
      </c>
      <c r="R13" t="s">
        <v>390</v>
      </c>
      <c r="S13" s="1">
        <f>electric_vehicles_dataset[[#This Row],[Units_Sold_2024]]*electric_vehicles_dataset[[#This Row],[Price_USD]]</f>
        <v>240668894.20000002</v>
      </c>
      <c r="T13">
        <v>4</v>
      </c>
      <c r="U13">
        <v>7798</v>
      </c>
      <c r="V13">
        <v>4</v>
      </c>
    </row>
    <row r="14" spans="1:22" x14ac:dyDescent="0.35">
      <c r="A14">
        <v>13</v>
      </c>
      <c r="B14" t="s">
        <v>68</v>
      </c>
      <c r="C14" t="s">
        <v>69</v>
      </c>
      <c r="D14">
        <v>2018</v>
      </c>
      <c r="E14" t="s">
        <v>47</v>
      </c>
      <c r="F14">
        <v>37.200000000000003</v>
      </c>
      <c r="G14" t="s">
        <v>357</v>
      </c>
      <c r="H14">
        <f>electric_vehicles_dataset[[#This Row],[Battery_Capacity_kWh]]/electric_vehicles_dataset[[#This Row],[Range_km]]</f>
        <v>6.4359861591695502E-2</v>
      </c>
      <c r="I14">
        <v>578</v>
      </c>
      <c r="J14" t="s">
        <v>356</v>
      </c>
      <c r="K14">
        <v>3</v>
      </c>
      <c r="L14" s="1">
        <v>86756.75</v>
      </c>
      <c r="M14" s="1" t="str" cm="1">
        <f t="array" ref="M1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" t="s">
        <v>70</v>
      </c>
      <c r="O14" t="s">
        <v>63</v>
      </c>
      <c r="P14" s="2" t="s">
        <v>389</v>
      </c>
      <c r="Q14">
        <v>0</v>
      </c>
      <c r="R14" t="s">
        <v>390</v>
      </c>
      <c r="S14" s="1">
        <f>electric_vehicles_dataset[[#This Row],[Units_Sold_2024]]*electric_vehicles_dataset[[#This Row],[Price_USD]]</f>
        <v>1327638545.25</v>
      </c>
      <c r="T14">
        <v>4</v>
      </c>
      <c r="U14">
        <v>15303</v>
      </c>
      <c r="V14">
        <v>5</v>
      </c>
    </row>
    <row r="15" spans="1:22" x14ac:dyDescent="0.35">
      <c r="A15">
        <v>14</v>
      </c>
      <c r="B15" t="s">
        <v>71</v>
      </c>
      <c r="C15" t="s">
        <v>72</v>
      </c>
      <c r="D15">
        <v>2025</v>
      </c>
      <c r="E15" t="s">
        <v>73</v>
      </c>
      <c r="F15">
        <v>32.799999999999997</v>
      </c>
      <c r="G15" t="s">
        <v>357</v>
      </c>
      <c r="H15">
        <f>electric_vehicles_dataset[[#This Row],[Battery_Capacity_kWh]]/electric_vehicles_dataset[[#This Row],[Range_km]]</f>
        <v>0.10718954248366012</v>
      </c>
      <c r="I15">
        <v>306</v>
      </c>
      <c r="J15" t="s">
        <v>38</v>
      </c>
      <c r="K15">
        <v>10</v>
      </c>
      <c r="L15" s="1">
        <v>43112.28</v>
      </c>
      <c r="M15" s="1" t="str" cm="1">
        <f t="array" ref="M1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" t="s">
        <v>55</v>
      </c>
      <c r="O15" t="s">
        <v>63</v>
      </c>
      <c r="P15" s="2" t="s">
        <v>389</v>
      </c>
      <c r="Q15">
        <v>1</v>
      </c>
      <c r="R15" t="s">
        <v>391</v>
      </c>
      <c r="S15" s="1">
        <f>electric_vehicles_dataset[[#This Row],[Units_Sold_2024]]*electric_vehicles_dataset[[#This Row],[Price_USD]]</f>
        <v>106487331.59999999</v>
      </c>
      <c r="T15">
        <v>3</v>
      </c>
      <c r="U15">
        <v>2470</v>
      </c>
      <c r="V15">
        <v>4</v>
      </c>
    </row>
    <row r="16" spans="1:22" x14ac:dyDescent="0.35">
      <c r="A16">
        <v>15</v>
      </c>
      <c r="B16" t="s">
        <v>74</v>
      </c>
      <c r="C16" t="s">
        <v>75</v>
      </c>
      <c r="D16">
        <v>2015</v>
      </c>
      <c r="E16" t="s">
        <v>73</v>
      </c>
      <c r="F16">
        <v>149.9</v>
      </c>
      <c r="G16" t="s">
        <v>386</v>
      </c>
      <c r="H16">
        <f>electric_vehicles_dataset[[#This Row],[Battery_Capacity_kWh]]/electric_vehicles_dataset[[#This Row],[Range_km]]</f>
        <v>0.28390151515151518</v>
      </c>
      <c r="I16">
        <v>528</v>
      </c>
      <c r="J16" t="s">
        <v>76</v>
      </c>
      <c r="K16">
        <v>12</v>
      </c>
      <c r="L16" s="1">
        <v>141164.04</v>
      </c>
      <c r="M16" s="1" t="str" cm="1">
        <f t="array" ref="M1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" t="s">
        <v>77</v>
      </c>
      <c r="O16" t="s">
        <v>78</v>
      </c>
      <c r="P16" s="2" t="s">
        <v>389</v>
      </c>
      <c r="Q16">
        <v>3</v>
      </c>
      <c r="R16" t="s">
        <v>397</v>
      </c>
      <c r="S16" s="1">
        <f>electric_vehicles_dataset[[#This Row],[Units_Sold_2024]]*electric_vehicles_dataset[[#This Row],[Price_USD]]</f>
        <v>761438831.75999999</v>
      </c>
      <c r="T16">
        <v>3</v>
      </c>
      <c r="U16">
        <v>5394</v>
      </c>
      <c r="V16">
        <v>4</v>
      </c>
    </row>
    <row r="17" spans="1:22" x14ac:dyDescent="0.35">
      <c r="A17">
        <v>16</v>
      </c>
      <c r="B17" t="s">
        <v>79</v>
      </c>
      <c r="C17" t="s">
        <v>80</v>
      </c>
      <c r="D17">
        <v>2019</v>
      </c>
      <c r="E17" t="s">
        <v>53</v>
      </c>
      <c r="F17">
        <v>121.9</v>
      </c>
      <c r="G17" t="s">
        <v>352</v>
      </c>
      <c r="H17">
        <f>electric_vehicles_dataset[[#This Row],[Battery_Capacity_kWh]]/electric_vehicles_dataset[[#This Row],[Range_km]]</f>
        <v>0.36716867469879522</v>
      </c>
      <c r="I17">
        <v>332</v>
      </c>
      <c r="J17" t="s">
        <v>54</v>
      </c>
      <c r="K17">
        <v>5</v>
      </c>
      <c r="L17" s="1">
        <v>144878.12</v>
      </c>
      <c r="M17" s="1" t="str" cm="1">
        <f t="array" ref="M1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" t="s">
        <v>81</v>
      </c>
      <c r="O17" t="s">
        <v>354</v>
      </c>
      <c r="P17" s="2" t="s">
        <v>394</v>
      </c>
      <c r="Q17">
        <v>3</v>
      </c>
      <c r="R17" t="s">
        <v>397</v>
      </c>
      <c r="S17" s="1">
        <f>electric_vehicles_dataset[[#This Row],[Units_Sold_2024]]*electric_vehicles_dataset[[#This Row],[Price_USD]]</f>
        <v>2749496961.3600001</v>
      </c>
      <c r="T17">
        <v>3</v>
      </c>
      <c r="U17">
        <v>18978</v>
      </c>
      <c r="V17">
        <v>5</v>
      </c>
    </row>
    <row r="18" spans="1:22" x14ac:dyDescent="0.35">
      <c r="A18">
        <v>17</v>
      </c>
      <c r="B18" t="s">
        <v>82</v>
      </c>
      <c r="C18" t="s">
        <v>83</v>
      </c>
      <c r="D18">
        <v>2020</v>
      </c>
      <c r="E18" t="s">
        <v>84</v>
      </c>
      <c r="F18">
        <v>26.5</v>
      </c>
      <c r="G18" t="s">
        <v>357</v>
      </c>
      <c r="H18">
        <f>electric_vehicles_dataset[[#This Row],[Battery_Capacity_kWh]]/electric_vehicles_dataset[[#This Row],[Range_km]]</f>
        <v>7.7034883720930231E-2</v>
      </c>
      <c r="I18">
        <v>344</v>
      </c>
      <c r="J18" t="s">
        <v>85</v>
      </c>
      <c r="K18">
        <v>1</v>
      </c>
      <c r="L18" s="1">
        <v>90939.42</v>
      </c>
      <c r="M18" s="1" t="str" cm="1">
        <f t="array" ref="M1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" t="s">
        <v>77</v>
      </c>
      <c r="O18" t="s">
        <v>86</v>
      </c>
      <c r="P18" s="2" t="s">
        <v>389</v>
      </c>
      <c r="Q18">
        <v>3</v>
      </c>
      <c r="R18" t="s">
        <v>397</v>
      </c>
      <c r="S18" s="1">
        <f>electric_vehicles_dataset[[#This Row],[Units_Sold_2024]]*electric_vehicles_dataset[[#This Row],[Price_USD]]</f>
        <v>357210041.75999999</v>
      </c>
      <c r="T18">
        <v>4</v>
      </c>
      <c r="U18">
        <v>3928</v>
      </c>
      <c r="V18">
        <v>5</v>
      </c>
    </row>
    <row r="19" spans="1:22" x14ac:dyDescent="0.35">
      <c r="A19">
        <v>18</v>
      </c>
      <c r="B19" t="s">
        <v>87</v>
      </c>
      <c r="C19" t="s">
        <v>88</v>
      </c>
      <c r="D19">
        <v>2024</v>
      </c>
      <c r="E19" t="s">
        <v>58</v>
      </c>
      <c r="F19">
        <v>74.5</v>
      </c>
      <c r="G19" t="s">
        <v>351</v>
      </c>
      <c r="H19">
        <f>electric_vehicles_dataset[[#This Row],[Battery_Capacity_kWh]]/electric_vehicles_dataset[[#This Row],[Range_km]]</f>
        <v>0.18718592964824121</v>
      </c>
      <c r="I19">
        <v>398</v>
      </c>
      <c r="J19" t="s">
        <v>38</v>
      </c>
      <c r="K19">
        <v>11</v>
      </c>
      <c r="L19" s="1">
        <v>54511.1</v>
      </c>
      <c r="M19" s="1" t="str" cm="1">
        <f t="array" ref="M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" t="s">
        <v>66</v>
      </c>
      <c r="O19" t="s">
        <v>89</v>
      </c>
      <c r="P19" s="2" t="s">
        <v>389</v>
      </c>
      <c r="Q19">
        <v>3</v>
      </c>
      <c r="R19" t="s">
        <v>397</v>
      </c>
      <c r="S19" s="1">
        <f>electric_vehicles_dataset[[#This Row],[Units_Sold_2024]]*electric_vehicles_dataset[[#This Row],[Price_USD]]</f>
        <v>564734996</v>
      </c>
      <c r="T19">
        <v>4</v>
      </c>
      <c r="U19">
        <v>10360</v>
      </c>
      <c r="V19">
        <v>3</v>
      </c>
    </row>
    <row r="20" spans="1:22" x14ac:dyDescent="0.35">
      <c r="A20">
        <v>19</v>
      </c>
      <c r="B20" t="s">
        <v>79</v>
      </c>
      <c r="C20" t="s">
        <v>80</v>
      </c>
      <c r="D20">
        <v>2024</v>
      </c>
      <c r="E20" t="s">
        <v>90</v>
      </c>
      <c r="F20">
        <v>149.5</v>
      </c>
      <c r="G20" t="s">
        <v>386</v>
      </c>
      <c r="H20">
        <f>electric_vehicles_dataset[[#This Row],[Battery_Capacity_kWh]]/electric_vehicles_dataset[[#This Row],[Range_km]]</f>
        <v>1.0912408759124088</v>
      </c>
      <c r="I20">
        <v>137</v>
      </c>
      <c r="J20" t="s">
        <v>359</v>
      </c>
      <c r="K20">
        <v>6</v>
      </c>
      <c r="L20" s="1">
        <v>45894.79</v>
      </c>
      <c r="M20" s="1" t="str" cm="1">
        <f t="array" ref="M2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" t="s">
        <v>91</v>
      </c>
      <c r="O20" t="s">
        <v>92</v>
      </c>
      <c r="P20" s="2" t="s">
        <v>394</v>
      </c>
      <c r="Q20">
        <v>2</v>
      </c>
      <c r="R20" t="s">
        <v>391</v>
      </c>
      <c r="S20" s="1">
        <f>electric_vehicles_dataset[[#This Row],[Units_Sold_2024]]*electric_vehicles_dataset[[#This Row],[Price_USD]]</f>
        <v>454909158.48000002</v>
      </c>
      <c r="T20">
        <v>5</v>
      </c>
      <c r="U20">
        <v>9912</v>
      </c>
      <c r="V20">
        <v>5</v>
      </c>
    </row>
    <row r="21" spans="1:22" x14ac:dyDescent="0.35">
      <c r="A21">
        <v>20</v>
      </c>
      <c r="B21" t="s">
        <v>74</v>
      </c>
      <c r="C21" t="s">
        <v>75</v>
      </c>
      <c r="D21">
        <v>2025</v>
      </c>
      <c r="E21" t="s">
        <v>26</v>
      </c>
      <c r="F21">
        <v>92.1</v>
      </c>
      <c r="G21" t="s">
        <v>350</v>
      </c>
      <c r="H21">
        <f>electric_vehicles_dataset[[#This Row],[Battery_Capacity_kWh]]/electric_vehicles_dataset[[#This Row],[Range_km]]</f>
        <v>0.15961871750433274</v>
      </c>
      <c r="I21">
        <v>577</v>
      </c>
      <c r="J21" t="s">
        <v>48</v>
      </c>
      <c r="K21">
        <v>11</v>
      </c>
      <c r="L21" s="1">
        <v>46114.93</v>
      </c>
      <c r="M21" s="1" t="str" cm="1">
        <f t="array" ref="M2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" t="s">
        <v>43</v>
      </c>
      <c r="O21" t="s">
        <v>93</v>
      </c>
      <c r="P21" s="2" t="s">
        <v>389</v>
      </c>
      <c r="Q21">
        <v>1</v>
      </c>
      <c r="R21" t="s">
        <v>391</v>
      </c>
      <c r="S21" s="1">
        <f>electric_vehicles_dataset[[#This Row],[Units_Sold_2024]]*electric_vehicles_dataset[[#This Row],[Price_USD]]</f>
        <v>518101238.55000001</v>
      </c>
      <c r="T21">
        <v>5</v>
      </c>
      <c r="U21">
        <v>11235</v>
      </c>
      <c r="V21">
        <v>3</v>
      </c>
    </row>
    <row r="22" spans="1:22" x14ac:dyDescent="0.35">
      <c r="A22">
        <v>21</v>
      </c>
      <c r="B22" t="s">
        <v>94</v>
      </c>
      <c r="C22" t="s">
        <v>360</v>
      </c>
      <c r="D22">
        <v>2019</v>
      </c>
      <c r="E22" t="s">
        <v>47</v>
      </c>
      <c r="F22">
        <v>83.5</v>
      </c>
      <c r="G22" t="s">
        <v>350</v>
      </c>
      <c r="H22">
        <f>electric_vehicles_dataset[[#This Row],[Battery_Capacity_kWh]]/electric_vehicles_dataset[[#This Row],[Range_km]]</f>
        <v>0.1483126110124334</v>
      </c>
      <c r="I22">
        <v>563</v>
      </c>
      <c r="J22" t="s">
        <v>27</v>
      </c>
      <c r="K22">
        <v>2</v>
      </c>
      <c r="L22" s="1">
        <v>80829.09</v>
      </c>
      <c r="M22" s="1" t="str" cm="1">
        <f t="array" ref="M2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" t="s">
        <v>49</v>
      </c>
      <c r="O22" t="s">
        <v>95</v>
      </c>
      <c r="P22" s="2" t="s">
        <v>394</v>
      </c>
      <c r="Q22">
        <v>1</v>
      </c>
      <c r="R22" t="s">
        <v>391</v>
      </c>
      <c r="S22" s="1">
        <f>electric_vehicles_dataset[[#This Row],[Units_Sold_2024]]*electric_vehicles_dataset[[#This Row],[Price_USD]]</f>
        <v>427909202.45999998</v>
      </c>
      <c r="T22">
        <v>4</v>
      </c>
      <c r="U22">
        <v>5294</v>
      </c>
      <c r="V22">
        <v>5</v>
      </c>
    </row>
    <row r="23" spans="1:22" x14ac:dyDescent="0.35">
      <c r="A23">
        <v>22</v>
      </c>
      <c r="B23" t="s">
        <v>96</v>
      </c>
      <c r="C23" t="s">
        <v>97</v>
      </c>
      <c r="D23">
        <v>2021</v>
      </c>
      <c r="E23" t="s">
        <v>47</v>
      </c>
      <c r="F23">
        <v>21.3</v>
      </c>
      <c r="G23" t="s">
        <v>357</v>
      </c>
      <c r="H23">
        <f>electric_vehicles_dataset[[#This Row],[Battery_Capacity_kWh]]/electric_vehicles_dataset[[#This Row],[Range_km]]</f>
        <v>0.15434782608695652</v>
      </c>
      <c r="I23">
        <v>138</v>
      </c>
      <c r="J23" t="s">
        <v>18</v>
      </c>
      <c r="K23">
        <v>7</v>
      </c>
      <c r="L23" s="1">
        <v>130151.4</v>
      </c>
      <c r="M23" s="1" t="str" cm="1">
        <f t="array" ref="M2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" t="s">
        <v>98</v>
      </c>
      <c r="O23" t="s">
        <v>354</v>
      </c>
      <c r="P23" s="2" t="s">
        <v>394</v>
      </c>
      <c r="Q23">
        <v>1</v>
      </c>
      <c r="R23" t="s">
        <v>391</v>
      </c>
      <c r="S23" s="1">
        <f>electric_vehicles_dataset[[#This Row],[Units_Sold_2024]]*electric_vehicles_dataset[[#This Row],[Price_USD]]</f>
        <v>1525895013.5999999</v>
      </c>
      <c r="T23">
        <v>3</v>
      </c>
      <c r="U23">
        <v>11724</v>
      </c>
      <c r="V23">
        <v>3</v>
      </c>
    </row>
    <row r="24" spans="1:22" x14ac:dyDescent="0.35">
      <c r="A24">
        <v>23</v>
      </c>
      <c r="B24" t="s">
        <v>94</v>
      </c>
      <c r="C24" t="s">
        <v>99</v>
      </c>
      <c r="D24">
        <v>2025</v>
      </c>
      <c r="E24" t="s">
        <v>58</v>
      </c>
      <c r="F24">
        <v>66</v>
      </c>
      <c r="G24" t="s">
        <v>351</v>
      </c>
      <c r="H24">
        <f>electric_vehicles_dataset[[#This Row],[Battery_Capacity_kWh]]/electric_vehicles_dataset[[#This Row],[Range_km]]</f>
        <v>0.17098445595854922</v>
      </c>
      <c r="I24">
        <v>386</v>
      </c>
      <c r="J24" t="s">
        <v>358</v>
      </c>
      <c r="K24">
        <v>12</v>
      </c>
      <c r="L24" s="1">
        <v>119937.31</v>
      </c>
      <c r="M24" s="1" t="str" cm="1">
        <f t="array" ref="M2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" t="s">
        <v>100</v>
      </c>
      <c r="O24" t="s">
        <v>23</v>
      </c>
      <c r="P24" s="2" t="s">
        <v>389</v>
      </c>
      <c r="Q24">
        <v>1</v>
      </c>
      <c r="R24" t="s">
        <v>391</v>
      </c>
      <c r="S24" s="1">
        <f>electric_vehicles_dataset[[#This Row],[Units_Sold_2024]]*electric_vehicles_dataset[[#This Row],[Price_USD]]</f>
        <v>1305517619.3499999</v>
      </c>
      <c r="T24">
        <v>4</v>
      </c>
      <c r="U24">
        <v>10885</v>
      </c>
      <c r="V24">
        <v>4</v>
      </c>
    </row>
    <row r="25" spans="1:22" x14ac:dyDescent="0.35">
      <c r="A25">
        <v>24</v>
      </c>
      <c r="B25" t="s">
        <v>74</v>
      </c>
      <c r="C25" t="s">
        <v>75</v>
      </c>
      <c r="D25">
        <v>2019</v>
      </c>
      <c r="E25" t="s">
        <v>101</v>
      </c>
      <c r="F25">
        <v>122.4</v>
      </c>
      <c r="G25" t="s">
        <v>352</v>
      </c>
      <c r="H25">
        <f>electric_vehicles_dataset[[#This Row],[Battery_Capacity_kWh]]/electric_vehicles_dataset[[#This Row],[Range_km]]</f>
        <v>0.78967741935483871</v>
      </c>
      <c r="I25">
        <v>155</v>
      </c>
      <c r="J25" t="s">
        <v>34</v>
      </c>
      <c r="K25">
        <v>11</v>
      </c>
      <c r="L25" s="1">
        <v>133031.19</v>
      </c>
      <c r="M25" s="1" t="str" cm="1">
        <f t="array" ref="M2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" t="s">
        <v>102</v>
      </c>
      <c r="O25" t="s">
        <v>63</v>
      </c>
      <c r="P25" s="2" t="s">
        <v>389</v>
      </c>
      <c r="Q25">
        <v>3</v>
      </c>
      <c r="R25" t="s">
        <v>397</v>
      </c>
      <c r="S25" s="1">
        <f>electric_vehicles_dataset[[#This Row],[Units_Sold_2024]]*electric_vehicles_dataset[[#This Row],[Price_USD]]</f>
        <v>971659811.75999999</v>
      </c>
      <c r="T25">
        <v>3</v>
      </c>
      <c r="U25">
        <v>7304</v>
      </c>
      <c r="V25">
        <v>3</v>
      </c>
    </row>
    <row r="26" spans="1:22" x14ac:dyDescent="0.35">
      <c r="A26">
        <v>25</v>
      </c>
      <c r="B26" t="s">
        <v>68</v>
      </c>
      <c r="C26" t="s">
        <v>103</v>
      </c>
      <c r="D26">
        <v>2021</v>
      </c>
      <c r="E26" t="s">
        <v>104</v>
      </c>
      <c r="F26">
        <v>56.2</v>
      </c>
      <c r="G26" t="s">
        <v>348</v>
      </c>
      <c r="H26">
        <f>electric_vehicles_dataset[[#This Row],[Battery_Capacity_kWh]]/electric_vehicles_dataset[[#This Row],[Range_km]]</f>
        <v>0.41629629629629633</v>
      </c>
      <c r="I26">
        <v>135</v>
      </c>
      <c r="J26" t="s">
        <v>105</v>
      </c>
      <c r="K26">
        <v>5</v>
      </c>
      <c r="L26" s="1">
        <v>91128.68</v>
      </c>
      <c r="M26" s="1" t="str" cm="1">
        <f t="array" ref="M2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" t="s">
        <v>106</v>
      </c>
      <c r="O26" t="s">
        <v>107</v>
      </c>
      <c r="P26" s="2" t="s">
        <v>394</v>
      </c>
      <c r="Q26">
        <v>0</v>
      </c>
      <c r="R26" t="s">
        <v>390</v>
      </c>
      <c r="S26" s="1">
        <f>electric_vehicles_dataset[[#This Row],[Units_Sold_2024]]*electric_vehicles_dataset[[#This Row],[Price_USD]]</f>
        <v>1733632008.3199999</v>
      </c>
      <c r="T26">
        <v>3</v>
      </c>
      <c r="U26">
        <v>19024</v>
      </c>
      <c r="V26">
        <v>4</v>
      </c>
    </row>
    <row r="27" spans="1:22" x14ac:dyDescent="0.35">
      <c r="A27">
        <v>26</v>
      </c>
      <c r="B27" t="s">
        <v>108</v>
      </c>
      <c r="C27" t="s">
        <v>109</v>
      </c>
      <c r="D27">
        <v>2024</v>
      </c>
      <c r="E27" t="s">
        <v>42</v>
      </c>
      <c r="F27">
        <v>64.900000000000006</v>
      </c>
      <c r="G27" t="s">
        <v>351</v>
      </c>
      <c r="H27">
        <f>electric_vehicles_dataset[[#This Row],[Battery_Capacity_kWh]]/electric_vehicles_dataset[[#This Row],[Range_km]]</f>
        <v>0.12928286852589643</v>
      </c>
      <c r="I27">
        <v>502</v>
      </c>
      <c r="J27" t="s">
        <v>38</v>
      </c>
      <c r="K27">
        <v>6</v>
      </c>
      <c r="L27" s="1">
        <v>148108.29999999999</v>
      </c>
      <c r="M27" s="1" t="str" cm="1">
        <f t="array" ref="M2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" t="s">
        <v>43</v>
      </c>
      <c r="O27" t="s">
        <v>110</v>
      </c>
      <c r="P27" s="2" t="s">
        <v>394</v>
      </c>
      <c r="Q27">
        <v>1</v>
      </c>
      <c r="R27" t="s">
        <v>391</v>
      </c>
      <c r="S27" s="1">
        <f>electric_vehicles_dataset[[#This Row],[Units_Sold_2024]]*electric_vehicles_dataset[[#This Row],[Price_USD]]</f>
        <v>2523172998.7999997</v>
      </c>
      <c r="T27">
        <v>3</v>
      </c>
      <c r="U27">
        <v>17036</v>
      </c>
      <c r="V27">
        <v>5</v>
      </c>
    </row>
    <row r="28" spans="1:22" x14ac:dyDescent="0.35">
      <c r="A28">
        <v>27</v>
      </c>
      <c r="B28" t="s">
        <v>94</v>
      </c>
      <c r="C28" t="s">
        <v>360</v>
      </c>
      <c r="D28">
        <v>2025</v>
      </c>
      <c r="E28" t="s">
        <v>31</v>
      </c>
      <c r="F28">
        <v>67.3</v>
      </c>
      <c r="G28" t="s">
        <v>351</v>
      </c>
      <c r="H28">
        <f>electric_vehicles_dataset[[#This Row],[Battery_Capacity_kWh]]/electric_vehicles_dataset[[#This Row],[Range_km]]</f>
        <v>0.49851851851851847</v>
      </c>
      <c r="I28">
        <v>135</v>
      </c>
      <c r="J28" t="s">
        <v>38</v>
      </c>
      <c r="K28">
        <v>8</v>
      </c>
      <c r="L28" s="1">
        <v>109606.5</v>
      </c>
      <c r="M28" s="1" t="str" cm="1">
        <f t="array" ref="M2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" t="s">
        <v>43</v>
      </c>
      <c r="O28" t="s">
        <v>111</v>
      </c>
      <c r="P28" s="2" t="s">
        <v>389</v>
      </c>
      <c r="Q28">
        <v>5</v>
      </c>
      <c r="R28" t="s">
        <v>392</v>
      </c>
      <c r="S28" s="1">
        <f>electric_vehicles_dataset[[#This Row],[Units_Sold_2024]]*electric_vehicles_dataset[[#This Row],[Price_USD]]</f>
        <v>1991111679</v>
      </c>
      <c r="T28">
        <v>4</v>
      </c>
      <c r="U28">
        <v>18166</v>
      </c>
      <c r="V28">
        <v>3</v>
      </c>
    </row>
    <row r="29" spans="1:22" x14ac:dyDescent="0.35">
      <c r="A29">
        <v>28</v>
      </c>
      <c r="B29" t="s">
        <v>112</v>
      </c>
      <c r="C29" t="s">
        <v>113</v>
      </c>
      <c r="D29">
        <v>2025</v>
      </c>
      <c r="E29" t="s">
        <v>42</v>
      </c>
      <c r="F29">
        <v>108.1</v>
      </c>
      <c r="G29" t="s">
        <v>361</v>
      </c>
      <c r="H29">
        <f>electric_vehicles_dataset[[#This Row],[Battery_Capacity_kWh]]/electric_vehicles_dataset[[#This Row],[Range_km]]</f>
        <v>0.19234875444839858</v>
      </c>
      <c r="I29">
        <v>562</v>
      </c>
      <c r="J29" t="s">
        <v>85</v>
      </c>
      <c r="K29">
        <v>8</v>
      </c>
      <c r="L29" s="1">
        <v>66113.98</v>
      </c>
      <c r="M29" s="1" t="str" cm="1">
        <f t="array" ref="M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" t="s">
        <v>114</v>
      </c>
      <c r="O29" t="s">
        <v>115</v>
      </c>
      <c r="P29" s="2" t="s">
        <v>396</v>
      </c>
      <c r="Q29">
        <v>1</v>
      </c>
      <c r="R29" t="s">
        <v>391</v>
      </c>
      <c r="S29" s="1">
        <f>electric_vehicles_dataset[[#This Row],[Units_Sold_2024]]*electric_vehicles_dataset[[#This Row],[Price_USD]]</f>
        <v>698097514.81999993</v>
      </c>
      <c r="T29">
        <v>5</v>
      </c>
      <c r="U29">
        <v>10559</v>
      </c>
      <c r="V29">
        <v>4</v>
      </c>
    </row>
    <row r="30" spans="1:22" x14ac:dyDescent="0.35">
      <c r="A30">
        <v>29</v>
      </c>
      <c r="B30" t="s">
        <v>96</v>
      </c>
      <c r="C30" t="s">
        <v>116</v>
      </c>
      <c r="D30">
        <v>2025</v>
      </c>
      <c r="E30" t="s">
        <v>31</v>
      </c>
      <c r="F30">
        <v>86.5</v>
      </c>
      <c r="G30" t="s">
        <v>350</v>
      </c>
      <c r="H30">
        <f>electric_vehicles_dataset[[#This Row],[Battery_Capacity_kWh]]/electric_vehicles_dataset[[#This Row],[Range_km]]</f>
        <v>0.17094861660079053</v>
      </c>
      <c r="I30">
        <v>506</v>
      </c>
      <c r="J30" t="s">
        <v>85</v>
      </c>
      <c r="K30">
        <v>8</v>
      </c>
      <c r="L30" s="1">
        <v>64054.37</v>
      </c>
      <c r="M30" s="1" t="str" cm="1">
        <f t="array" ref="M3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0" t="s">
        <v>117</v>
      </c>
      <c r="O30" t="s">
        <v>118</v>
      </c>
      <c r="P30" s="2" t="s">
        <v>389</v>
      </c>
      <c r="Q30">
        <v>1</v>
      </c>
      <c r="R30" t="s">
        <v>391</v>
      </c>
      <c r="S30" s="1">
        <f>electric_vehicles_dataset[[#This Row],[Units_Sold_2024]]*electric_vehicles_dataset[[#This Row],[Price_USD]]</f>
        <v>309254498.36000001</v>
      </c>
      <c r="T30">
        <v>3</v>
      </c>
      <c r="U30">
        <v>4828</v>
      </c>
      <c r="V30">
        <v>3</v>
      </c>
    </row>
    <row r="31" spans="1:22" x14ac:dyDescent="0.35">
      <c r="A31">
        <v>30</v>
      </c>
      <c r="B31" t="s">
        <v>108</v>
      </c>
      <c r="C31" t="s">
        <v>119</v>
      </c>
      <c r="D31">
        <v>2022</v>
      </c>
      <c r="E31" t="s">
        <v>90</v>
      </c>
      <c r="F31">
        <v>130.5</v>
      </c>
      <c r="G31" t="s">
        <v>352</v>
      </c>
      <c r="H31">
        <f>electric_vehicles_dataset[[#This Row],[Battery_Capacity_kWh]]/electric_vehicles_dataset[[#This Row],[Range_km]]</f>
        <v>0.95255474452554745</v>
      </c>
      <c r="I31">
        <v>137</v>
      </c>
      <c r="J31" t="s">
        <v>345</v>
      </c>
      <c r="K31">
        <v>5</v>
      </c>
      <c r="L31" s="1">
        <v>105571.85</v>
      </c>
      <c r="M31" s="1" t="str" cm="1">
        <f t="array" ref="M3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1" t="s">
        <v>55</v>
      </c>
      <c r="O31" t="s">
        <v>110</v>
      </c>
      <c r="P31" s="2" t="s">
        <v>394</v>
      </c>
      <c r="Q31">
        <v>1</v>
      </c>
      <c r="R31" t="s">
        <v>391</v>
      </c>
      <c r="S31" s="1">
        <f>electric_vehicles_dataset[[#This Row],[Units_Sold_2024]]*electric_vehicles_dataset[[#This Row],[Price_USD]]</f>
        <v>1470721442.3500001</v>
      </c>
      <c r="T31">
        <v>3</v>
      </c>
      <c r="U31">
        <v>13931</v>
      </c>
      <c r="V31">
        <v>3</v>
      </c>
    </row>
    <row r="32" spans="1:22" x14ac:dyDescent="0.35">
      <c r="A32">
        <v>31</v>
      </c>
      <c r="B32" t="s">
        <v>120</v>
      </c>
      <c r="C32" t="s">
        <v>362</v>
      </c>
      <c r="D32">
        <v>2015</v>
      </c>
      <c r="E32" t="s">
        <v>47</v>
      </c>
      <c r="F32">
        <v>52.4</v>
      </c>
      <c r="G32" t="s">
        <v>348</v>
      </c>
      <c r="H32">
        <f>electric_vehicles_dataset[[#This Row],[Battery_Capacity_kWh]]/electric_vehicles_dataset[[#This Row],[Range_km]]</f>
        <v>9.8127340823970038E-2</v>
      </c>
      <c r="I32">
        <v>534</v>
      </c>
      <c r="J32" t="s">
        <v>48</v>
      </c>
      <c r="K32">
        <v>6</v>
      </c>
      <c r="L32" s="1">
        <v>126169.99</v>
      </c>
      <c r="M32" s="1" t="str" cm="1">
        <f t="array" ref="M3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2" t="s">
        <v>117</v>
      </c>
      <c r="O32" t="s">
        <v>121</v>
      </c>
      <c r="P32" s="2" t="s">
        <v>398</v>
      </c>
      <c r="Q32">
        <v>4</v>
      </c>
      <c r="R32" t="s">
        <v>392</v>
      </c>
      <c r="S32" s="1">
        <f>electric_vehicles_dataset[[#This Row],[Units_Sold_2024]]*electric_vehicles_dataset[[#This Row],[Price_USD]]</f>
        <v>2086851634.6000001</v>
      </c>
      <c r="T32">
        <v>4</v>
      </c>
      <c r="U32">
        <v>16540</v>
      </c>
      <c r="V32">
        <v>4</v>
      </c>
    </row>
    <row r="33" spans="1:22" x14ac:dyDescent="0.35">
      <c r="A33">
        <v>32</v>
      </c>
      <c r="B33" t="s">
        <v>21</v>
      </c>
      <c r="C33" t="s">
        <v>363</v>
      </c>
      <c r="D33">
        <v>2017</v>
      </c>
      <c r="E33" t="s">
        <v>17</v>
      </c>
      <c r="F33">
        <v>132</v>
      </c>
      <c r="G33" t="s">
        <v>352</v>
      </c>
      <c r="H33">
        <f>electric_vehicles_dataset[[#This Row],[Battery_Capacity_kWh]]/electric_vehicles_dataset[[#This Row],[Range_km]]</f>
        <v>0.4</v>
      </c>
      <c r="I33">
        <v>330</v>
      </c>
      <c r="J33" t="s">
        <v>105</v>
      </c>
      <c r="K33">
        <v>9</v>
      </c>
      <c r="L33" s="1">
        <v>130783.55</v>
      </c>
      <c r="M33" s="1" t="str" cm="1">
        <f t="array" ref="M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3" t="s">
        <v>49</v>
      </c>
      <c r="O33" t="s">
        <v>121</v>
      </c>
      <c r="P33" s="2" t="s">
        <v>398</v>
      </c>
      <c r="Q33">
        <v>1</v>
      </c>
      <c r="R33" t="s">
        <v>391</v>
      </c>
      <c r="S33" s="1">
        <f>electric_vehicles_dataset[[#This Row],[Units_Sold_2024]]*electric_vehicles_dataset[[#This Row],[Price_USD]]</f>
        <v>1224395595.1000001</v>
      </c>
      <c r="T33">
        <v>4</v>
      </c>
      <c r="U33">
        <v>9362</v>
      </c>
      <c r="V33">
        <v>3</v>
      </c>
    </row>
    <row r="34" spans="1:22" x14ac:dyDescent="0.35">
      <c r="A34">
        <v>33</v>
      </c>
      <c r="B34" t="s">
        <v>122</v>
      </c>
      <c r="C34" t="s">
        <v>123</v>
      </c>
      <c r="D34">
        <v>2020</v>
      </c>
      <c r="E34" t="s">
        <v>53</v>
      </c>
      <c r="F34">
        <v>90.2</v>
      </c>
      <c r="G34" t="s">
        <v>350</v>
      </c>
      <c r="H34">
        <f>electric_vehicles_dataset[[#This Row],[Battery_Capacity_kWh]]/electric_vehicles_dataset[[#This Row],[Range_km]]</f>
        <v>0.53058823529411769</v>
      </c>
      <c r="I34">
        <v>170</v>
      </c>
      <c r="J34" t="s">
        <v>18</v>
      </c>
      <c r="K34">
        <v>3</v>
      </c>
      <c r="L34" s="1">
        <v>113273.98</v>
      </c>
      <c r="M34" s="1" t="str" cm="1">
        <f t="array" ref="M3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4" t="s">
        <v>66</v>
      </c>
      <c r="O34" t="s">
        <v>124</v>
      </c>
      <c r="P34" s="2" t="s">
        <v>389</v>
      </c>
      <c r="Q34">
        <v>1</v>
      </c>
      <c r="R34" t="s">
        <v>391</v>
      </c>
      <c r="S34" s="1">
        <f>electric_vehicles_dataset[[#This Row],[Units_Sold_2024]]*electric_vehicles_dataset[[#This Row],[Price_USD]]</f>
        <v>231078919.19999999</v>
      </c>
      <c r="T34">
        <v>4</v>
      </c>
      <c r="U34">
        <v>2040</v>
      </c>
      <c r="V34">
        <v>3</v>
      </c>
    </row>
    <row r="35" spans="1:22" x14ac:dyDescent="0.35">
      <c r="A35">
        <v>34</v>
      </c>
      <c r="B35" t="s">
        <v>125</v>
      </c>
      <c r="C35" t="s">
        <v>126</v>
      </c>
      <c r="D35">
        <v>2024</v>
      </c>
      <c r="E35" t="s">
        <v>17</v>
      </c>
      <c r="F35">
        <v>22.5</v>
      </c>
      <c r="G35" t="s">
        <v>357</v>
      </c>
      <c r="H35">
        <f>electric_vehicles_dataset[[#This Row],[Battery_Capacity_kWh]]/electric_vehicles_dataset[[#This Row],[Range_km]]</f>
        <v>4.0909090909090909E-2</v>
      </c>
      <c r="I35">
        <v>550</v>
      </c>
      <c r="J35" t="s">
        <v>34</v>
      </c>
      <c r="K35">
        <v>6</v>
      </c>
      <c r="L35" s="1">
        <v>143129</v>
      </c>
      <c r="M35" s="1" t="str" cm="1">
        <f t="array" ref="M3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5" t="s">
        <v>127</v>
      </c>
      <c r="O35" t="s">
        <v>110</v>
      </c>
      <c r="P35" s="2" t="s">
        <v>394</v>
      </c>
      <c r="Q35">
        <v>3</v>
      </c>
      <c r="R35" t="s">
        <v>397</v>
      </c>
      <c r="S35" s="1">
        <f>electric_vehicles_dataset[[#This Row],[Units_Sold_2024]]*electric_vehicles_dataset[[#This Row],[Price_USD]]</f>
        <v>1034250154</v>
      </c>
      <c r="T35">
        <v>5</v>
      </c>
      <c r="U35">
        <v>7226</v>
      </c>
      <c r="V35">
        <v>4</v>
      </c>
    </row>
    <row r="36" spans="1:22" x14ac:dyDescent="0.35">
      <c r="A36">
        <v>35</v>
      </c>
      <c r="B36" t="s">
        <v>128</v>
      </c>
      <c r="C36" t="s">
        <v>129</v>
      </c>
      <c r="D36">
        <v>2021</v>
      </c>
      <c r="E36" t="s">
        <v>130</v>
      </c>
      <c r="F36">
        <v>23.8</v>
      </c>
      <c r="G36" t="s">
        <v>357</v>
      </c>
      <c r="H36">
        <f>electric_vehicles_dataset[[#This Row],[Battery_Capacity_kWh]]/electric_vehicles_dataset[[#This Row],[Range_km]]</f>
        <v>8.7500000000000008E-2</v>
      </c>
      <c r="I36">
        <v>272</v>
      </c>
      <c r="J36" t="s">
        <v>34</v>
      </c>
      <c r="K36">
        <v>9</v>
      </c>
      <c r="L36" s="1">
        <v>130860.68</v>
      </c>
      <c r="M36" s="1" t="str" cm="1">
        <f t="array" ref="M3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6" t="s">
        <v>131</v>
      </c>
      <c r="O36" t="s">
        <v>118</v>
      </c>
      <c r="P36" s="2" t="s">
        <v>389</v>
      </c>
      <c r="Q36">
        <v>3</v>
      </c>
      <c r="R36" t="s">
        <v>397</v>
      </c>
      <c r="S36" s="1">
        <f>electric_vehicles_dataset[[#This Row],[Units_Sold_2024]]*electric_vehicles_dataset[[#This Row],[Price_USD]]</f>
        <v>1837807389.9199998</v>
      </c>
      <c r="T36">
        <v>3</v>
      </c>
      <c r="U36">
        <v>14044</v>
      </c>
      <c r="V36">
        <v>3</v>
      </c>
    </row>
    <row r="37" spans="1:22" x14ac:dyDescent="0.35">
      <c r="A37">
        <v>36</v>
      </c>
      <c r="B37" t="s">
        <v>45</v>
      </c>
      <c r="C37" t="s">
        <v>132</v>
      </c>
      <c r="D37">
        <v>2015</v>
      </c>
      <c r="E37" t="s">
        <v>133</v>
      </c>
      <c r="F37">
        <v>69.3</v>
      </c>
      <c r="G37" t="s">
        <v>351</v>
      </c>
      <c r="H37">
        <f>electric_vehicles_dataset[[#This Row],[Battery_Capacity_kWh]]/electric_vehicles_dataset[[#This Row],[Range_km]]</f>
        <v>0.33317307692307691</v>
      </c>
      <c r="I37">
        <v>208</v>
      </c>
      <c r="J37" t="s">
        <v>345</v>
      </c>
      <c r="K37">
        <v>4</v>
      </c>
      <c r="L37" s="1">
        <v>121347.56</v>
      </c>
      <c r="M37" s="1" t="str" cm="1">
        <f t="array" ref="M3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7" t="s">
        <v>28</v>
      </c>
      <c r="O37" t="s">
        <v>134</v>
      </c>
      <c r="P37" s="2" t="s">
        <v>389</v>
      </c>
      <c r="Q37">
        <v>3</v>
      </c>
      <c r="R37" t="s">
        <v>397</v>
      </c>
      <c r="S37" s="1">
        <f>electric_vehicles_dataset[[#This Row],[Units_Sold_2024]]*electric_vehicles_dataset[[#This Row],[Price_USD]]</f>
        <v>77055700.599999994</v>
      </c>
      <c r="T37">
        <v>4</v>
      </c>
      <c r="U37">
        <v>635</v>
      </c>
      <c r="V37">
        <v>5</v>
      </c>
    </row>
    <row r="38" spans="1:22" x14ac:dyDescent="0.35">
      <c r="A38">
        <v>37</v>
      </c>
      <c r="B38" t="s">
        <v>82</v>
      </c>
      <c r="C38" t="s">
        <v>83</v>
      </c>
      <c r="D38">
        <v>2020</v>
      </c>
      <c r="E38" t="s">
        <v>31</v>
      </c>
      <c r="F38">
        <v>104.5</v>
      </c>
      <c r="G38" t="s">
        <v>361</v>
      </c>
      <c r="H38">
        <f>electric_vehicles_dataset[[#This Row],[Battery_Capacity_kWh]]/electric_vehicles_dataset[[#This Row],[Range_km]]</f>
        <v>0.20941883767535069</v>
      </c>
      <c r="I38">
        <v>499</v>
      </c>
      <c r="J38" t="s">
        <v>27</v>
      </c>
      <c r="K38">
        <v>9</v>
      </c>
      <c r="L38" s="1">
        <v>143953.41</v>
      </c>
      <c r="M38" s="1" t="str" cm="1">
        <f t="array" ref="M3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8" t="s">
        <v>55</v>
      </c>
      <c r="O38" t="s">
        <v>135</v>
      </c>
      <c r="P38" s="2" t="s">
        <v>389</v>
      </c>
      <c r="Q38">
        <v>1</v>
      </c>
      <c r="R38" t="s">
        <v>391</v>
      </c>
      <c r="S38" s="1">
        <f>electric_vehicles_dataset[[#This Row],[Units_Sold_2024]]*electric_vehicles_dataset[[#This Row],[Price_USD]]</f>
        <v>1028115254.22</v>
      </c>
      <c r="T38">
        <v>5</v>
      </c>
      <c r="U38">
        <v>7142</v>
      </c>
      <c r="V38">
        <v>4</v>
      </c>
    </row>
    <row r="39" spans="1:22" x14ac:dyDescent="0.35">
      <c r="A39">
        <v>38</v>
      </c>
      <c r="B39" t="s">
        <v>136</v>
      </c>
      <c r="C39" t="s">
        <v>137</v>
      </c>
      <c r="D39">
        <v>2020</v>
      </c>
      <c r="E39" t="s">
        <v>101</v>
      </c>
      <c r="F39">
        <v>98.8</v>
      </c>
      <c r="G39" t="s">
        <v>350</v>
      </c>
      <c r="H39">
        <f>electric_vehicles_dataset[[#This Row],[Battery_Capacity_kWh]]/electric_vehicles_dataset[[#This Row],[Range_km]]</f>
        <v>0.16661045531197302</v>
      </c>
      <c r="I39">
        <v>593</v>
      </c>
      <c r="J39" t="s">
        <v>48</v>
      </c>
      <c r="K39">
        <v>9</v>
      </c>
      <c r="L39" s="1">
        <v>49651.9</v>
      </c>
      <c r="M39" s="1" t="str" cm="1">
        <f t="array" ref="M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9" t="s">
        <v>127</v>
      </c>
      <c r="O39" t="s">
        <v>93</v>
      </c>
      <c r="P39" s="2" t="s">
        <v>389</v>
      </c>
      <c r="Q39">
        <v>2</v>
      </c>
      <c r="R39" t="s">
        <v>391</v>
      </c>
      <c r="S39" s="1">
        <f>electric_vehicles_dataset[[#This Row],[Units_Sold_2024]]*electric_vehicles_dataset[[#This Row],[Price_USD]]</f>
        <v>645325744.30000007</v>
      </c>
      <c r="T39">
        <v>4</v>
      </c>
      <c r="U39">
        <v>12997</v>
      </c>
      <c r="V39">
        <v>5</v>
      </c>
    </row>
    <row r="40" spans="1:22" x14ac:dyDescent="0.35">
      <c r="A40">
        <v>39</v>
      </c>
      <c r="B40" t="s">
        <v>112</v>
      </c>
      <c r="C40" t="s">
        <v>138</v>
      </c>
      <c r="D40">
        <v>2024</v>
      </c>
      <c r="E40" t="s">
        <v>17</v>
      </c>
      <c r="F40">
        <v>128</v>
      </c>
      <c r="G40" t="s">
        <v>352</v>
      </c>
      <c r="H40">
        <f>electric_vehicles_dataset[[#This Row],[Battery_Capacity_kWh]]/electric_vehicles_dataset[[#This Row],[Range_km]]</f>
        <v>0.5714285714285714</v>
      </c>
      <c r="I40">
        <v>224</v>
      </c>
      <c r="J40" t="s">
        <v>48</v>
      </c>
      <c r="K40">
        <v>9</v>
      </c>
      <c r="L40" s="1">
        <v>66189.919999999998</v>
      </c>
      <c r="M40" s="1" t="str" cm="1">
        <f t="array" ref="M4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0" t="s">
        <v>106</v>
      </c>
      <c r="O40" t="s">
        <v>139</v>
      </c>
      <c r="P40" s="2" t="s">
        <v>389</v>
      </c>
      <c r="Q40">
        <v>4</v>
      </c>
      <c r="R40" t="s">
        <v>392</v>
      </c>
      <c r="S40" s="1">
        <f>electric_vehicles_dataset[[#This Row],[Units_Sold_2024]]*electric_vehicles_dataset[[#This Row],[Price_USD]]</f>
        <v>803678008.63999999</v>
      </c>
      <c r="T40">
        <v>4</v>
      </c>
      <c r="U40">
        <v>12142</v>
      </c>
      <c r="V40">
        <v>3</v>
      </c>
    </row>
    <row r="41" spans="1:22" x14ac:dyDescent="0.35">
      <c r="A41">
        <v>40</v>
      </c>
      <c r="B41" t="s">
        <v>140</v>
      </c>
      <c r="C41" t="s">
        <v>141</v>
      </c>
      <c r="D41">
        <v>2015</v>
      </c>
      <c r="E41" t="s">
        <v>26</v>
      </c>
      <c r="F41">
        <v>74.599999999999994</v>
      </c>
      <c r="G41" t="s">
        <v>351</v>
      </c>
      <c r="H41">
        <f>electric_vehicles_dataset[[#This Row],[Battery_Capacity_kWh]]/electric_vehicles_dataset[[#This Row],[Range_km]]</f>
        <v>0.21314285714285713</v>
      </c>
      <c r="I41">
        <v>350</v>
      </c>
      <c r="J41" t="s">
        <v>48</v>
      </c>
      <c r="K41">
        <v>6</v>
      </c>
      <c r="L41" s="1">
        <v>73462.559999999998</v>
      </c>
      <c r="M41" s="1" t="str" cm="1">
        <f t="array" ref="M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1" t="s">
        <v>142</v>
      </c>
      <c r="O41" t="s">
        <v>40</v>
      </c>
      <c r="P41" s="2" t="s">
        <v>395</v>
      </c>
      <c r="Q41">
        <v>3</v>
      </c>
      <c r="R41" t="s">
        <v>397</v>
      </c>
      <c r="S41" s="1">
        <f>electric_vehicles_dataset[[#This Row],[Units_Sold_2024]]*electric_vehicles_dataset[[#This Row],[Price_USD]]</f>
        <v>650143656</v>
      </c>
      <c r="T41">
        <v>5</v>
      </c>
      <c r="U41">
        <v>8850</v>
      </c>
      <c r="V41">
        <v>5</v>
      </c>
    </row>
    <row r="42" spans="1:22" x14ac:dyDescent="0.35">
      <c r="A42">
        <v>41</v>
      </c>
      <c r="B42" t="s">
        <v>74</v>
      </c>
      <c r="C42" t="s">
        <v>75</v>
      </c>
      <c r="D42">
        <v>2022</v>
      </c>
      <c r="E42" t="s">
        <v>42</v>
      </c>
      <c r="F42">
        <v>127.3</v>
      </c>
      <c r="G42" t="s">
        <v>352</v>
      </c>
      <c r="H42">
        <f>electric_vehicles_dataset[[#This Row],[Battery_Capacity_kWh]]/electric_vehicles_dataset[[#This Row],[Range_km]]</f>
        <v>0.31588089330024816</v>
      </c>
      <c r="I42">
        <v>403</v>
      </c>
      <c r="J42" t="s">
        <v>105</v>
      </c>
      <c r="K42">
        <v>4</v>
      </c>
      <c r="L42" s="1">
        <v>59459.42</v>
      </c>
      <c r="M42" s="1" t="str" cm="1">
        <f t="array" ref="M4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2" t="s">
        <v>143</v>
      </c>
      <c r="O42" t="s">
        <v>134</v>
      </c>
      <c r="P42" s="2" t="s">
        <v>389</v>
      </c>
      <c r="Q42">
        <v>1</v>
      </c>
      <c r="R42" t="s">
        <v>391</v>
      </c>
      <c r="S42" s="1">
        <f>electric_vehicles_dataset[[#This Row],[Units_Sold_2024]]*electric_vehicles_dataset[[#This Row],[Price_USD]]</f>
        <v>738367077.55999994</v>
      </c>
      <c r="T42">
        <v>5</v>
      </c>
      <c r="U42">
        <v>12418</v>
      </c>
      <c r="V42">
        <v>4</v>
      </c>
    </row>
    <row r="43" spans="1:22" x14ac:dyDescent="0.35">
      <c r="A43">
        <v>42</v>
      </c>
      <c r="B43" t="s">
        <v>144</v>
      </c>
      <c r="C43" t="s">
        <v>145</v>
      </c>
      <c r="D43">
        <v>2020</v>
      </c>
      <c r="E43" t="s">
        <v>101</v>
      </c>
      <c r="F43">
        <v>83.4</v>
      </c>
      <c r="G43" t="s">
        <v>350</v>
      </c>
      <c r="H43">
        <f>electric_vehicles_dataset[[#This Row],[Battery_Capacity_kWh]]/electric_vehicles_dataset[[#This Row],[Range_km]]</f>
        <v>0.29679715302491105</v>
      </c>
      <c r="I43">
        <v>281</v>
      </c>
      <c r="J43" t="s">
        <v>105</v>
      </c>
      <c r="K43">
        <v>4</v>
      </c>
      <c r="L43" s="1">
        <v>135638.39999999999</v>
      </c>
      <c r="M43" s="1" t="str" cm="1">
        <f t="array" ref="M4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3" t="s">
        <v>35</v>
      </c>
      <c r="O43" t="s">
        <v>134</v>
      </c>
      <c r="P43" s="2" t="s">
        <v>389</v>
      </c>
      <c r="Q43">
        <v>4</v>
      </c>
      <c r="R43" t="s">
        <v>392</v>
      </c>
      <c r="S43" s="1">
        <f>electric_vehicles_dataset[[#This Row],[Units_Sold_2024]]*electric_vehicles_dataset[[#This Row],[Price_USD]]</f>
        <v>1806296572.8</v>
      </c>
      <c r="T43">
        <v>4</v>
      </c>
      <c r="U43">
        <v>13317</v>
      </c>
      <c r="V43">
        <v>4</v>
      </c>
    </row>
    <row r="44" spans="1:22" x14ac:dyDescent="0.35">
      <c r="A44">
        <v>43</v>
      </c>
      <c r="B44" t="s">
        <v>21</v>
      </c>
      <c r="C44" t="s">
        <v>349</v>
      </c>
      <c r="D44">
        <v>2022</v>
      </c>
      <c r="E44" t="s">
        <v>73</v>
      </c>
      <c r="F44">
        <v>112.5</v>
      </c>
      <c r="G44" t="s">
        <v>361</v>
      </c>
      <c r="H44">
        <f>electric_vehicles_dataset[[#This Row],[Battery_Capacity_kWh]]/electric_vehicles_dataset[[#This Row],[Range_km]]</f>
        <v>0.34194528875379937</v>
      </c>
      <c r="I44">
        <v>329</v>
      </c>
      <c r="J44" t="s">
        <v>76</v>
      </c>
      <c r="K44">
        <v>2</v>
      </c>
      <c r="L44" s="1">
        <v>56591.57</v>
      </c>
      <c r="M44" s="1" t="str" cm="1">
        <f t="array" ref="M4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4" t="s">
        <v>35</v>
      </c>
      <c r="O44" t="s">
        <v>78</v>
      </c>
      <c r="P44" s="2" t="s">
        <v>389</v>
      </c>
      <c r="Q44">
        <v>4</v>
      </c>
      <c r="R44" t="s">
        <v>392</v>
      </c>
      <c r="S44" s="1">
        <f>electric_vehicles_dataset[[#This Row],[Units_Sold_2024]]*electric_vehicles_dataset[[#This Row],[Price_USD]]</f>
        <v>788999668.93999994</v>
      </c>
      <c r="T44">
        <v>4</v>
      </c>
      <c r="U44">
        <v>13942</v>
      </c>
      <c r="V44">
        <v>5</v>
      </c>
    </row>
    <row r="45" spans="1:22" x14ac:dyDescent="0.35">
      <c r="A45">
        <v>44</v>
      </c>
      <c r="B45" t="s">
        <v>21</v>
      </c>
      <c r="C45" t="s">
        <v>363</v>
      </c>
      <c r="D45">
        <v>2020</v>
      </c>
      <c r="E45" t="s">
        <v>17</v>
      </c>
      <c r="F45">
        <v>79</v>
      </c>
      <c r="G45" t="s">
        <v>351</v>
      </c>
      <c r="H45">
        <f>electric_vehicles_dataset[[#This Row],[Battery_Capacity_kWh]]/electric_vehicles_dataset[[#This Row],[Range_km]]</f>
        <v>0.30859375</v>
      </c>
      <c r="I45">
        <v>256</v>
      </c>
      <c r="J45" t="s">
        <v>105</v>
      </c>
      <c r="K45">
        <v>3</v>
      </c>
      <c r="L45" s="1">
        <v>116554.12</v>
      </c>
      <c r="M45" s="1" t="str" cm="1">
        <f t="array" ref="M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5" t="s">
        <v>146</v>
      </c>
      <c r="O45" t="s">
        <v>147</v>
      </c>
      <c r="P45" s="2" t="s">
        <v>396</v>
      </c>
      <c r="Q45">
        <v>5</v>
      </c>
      <c r="R45" t="s">
        <v>392</v>
      </c>
      <c r="S45" s="1">
        <f>electric_vehicles_dataset[[#This Row],[Units_Sold_2024]]*electric_vehicles_dataset[[#This Row],[Price_USD]]</f>
        <v>1055980327.1999999</v>
      </c>
      <c r="T45">
        <v>4</v>
      </c>
      <c r="U45">
        <v>9060</v>
      </c>
      <c r="V45">
        <v>5</v>
      </c>
    </row>
    <row r="46" spans="1:22" x14ac:dyDescent="0.35">
      <c r="A46">
        <v>45</v>
      </c>
      <c r="B46" t="s">
        <v>41</v>
      </c>
      <c r="C46" t="s">
        <v>148</v>
      </c>
      <c r="D46">
        <v>2016</v>
      </c>
      <c r="E46" t="s">
        <v>26</v>
      </c>
      <c r="F46">
        <v>45.2</v>
      </c>
      <c r="G46" t="s">
        <v>348</v>
      </c>
      <c r="H46">
        <f>electric_vehicles_dataset[[#This Row],[Battery_Capacity_kWh]]/electric_vehicles_dataset[[#This Row],[Range_km]]</f>
        <v>0.20925925925925928</v>
      </c>
      <c r="I46">
        <v>216</v>
      </c>
      <c r="J46" t="s">
        <v>149</v>
      </c>
      <c r="K46">
        <v>3</v>
      </c>
      <c r="L46" s="1">
        <v>31697.8</v>
      </c>
      <c r="M46" s="1" t="str" cm="1">
        <f t="array" ref="M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6" t="s">
        <v>19</v>
      </c>
      <c r="O46" t="s">
        <v>150</v>
      </c>
      <c r="P46" s="2" t="s">
        <v>389</v>
      </c>
      <c r="Q46">
        <v>0</v>
      </c>
      <c r="R46" t="s">
        <v>390</v>
      </c>
      <c r="S46" s="1">
        <f>electric_vehicles_dataset[[#This Row],[Units_Sold_2024]]*electric_vehicles_dataset[[#This Row],[Price_USD]]</f>
        <v>509859113</v>
      </c>
      <c r="T46">
        <v>3</v>
      </c>
      <c r="U46">
        <v>16085</v>
      </c>
      <c r="V46">
        <v>3</v>
      </c>
    </row>
    <row r="47" spans="1:22" x14ac:dyDescent="0.35">
      <c r="A47">
        <v>46</v>
      </c>
      <c r="B47" t="s">
        <v>79</v>
      </c>
      <c r="C47" t="s">
        <v>151</v>
      </c>
      <c r="D47">
        <v>2019</v>
      </c>
      <c r="E47" t="s">
        <v>130</v>
      </c>
      <c r="F47">
        <v>82.2</v>
      </c>
      <c r="G47" t="s">
        <v>350</v>
      </c>
      <c r="H47">
        <f>electric_vehicles_dataset[[#This Row],[Battery_Capacity_kWh]]/electric_vehicles_dataset[[#This Row],[Range_km]]</f>
        <v>0.3</v>
      </c>
      <c r="I47">
        <v>274</v>
      </c>
      <c r="J47" t="s">
        <v>85</v>
      </c>
      <c r="K47">
        <v>12</v>
      </c>
      <c r="L47" s="1">
        <v>60297.41</v>
      </c>
      <c r="M47" s="1" t="str" cm="1">
        <f t="array" ref="M4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7" t="s">
        <v>152</v>
      </c>
      <c r="O47" t="s">
        <v>147</v>
      </c>
      <c r="P47" s="2" t="s">
        <v>396</v>
      </c>
      <c r="Q47">
        <v>3</v>
      </c>
      <c r="R47" t="s">
        <v>397</v>
      </c>
      <c r="S47" s="1">
        <f>electric_vehicles_dataset[[#This Row],[Units_Sold_2024]]*electric_vehicles_dataset[[#This Row],[Price_USD]]</f>
        <v>105882251.96000001</v>
      </c>
      <c r="T47">
        <v>5</v>
      </c>
      <c r="U47">
        <v>1756</v>
      </c>
      <c r="V47">
        <v>3</v>
      </c>
    </row>
    <row r="48" spans="1:22" x14ac:dyDescent="0.35">
      <c r="A48">
        <v>47</v>
      </c>
      <c r="B48" t="s">
        <v>153</v>
      </c>
      <c r="C48" t="s">
        <v>154</v>
      </c>
      <c r="D48">
        <v>2016</v>
      </c>
      <c r="E48" t="s">
        <v>31</v>
      </c>
      <c r="F48">
        <v>35.4</v>
      </c>
      <c r="G48" t="s">
        <v>357</v>
      </c>
      <c r="H48">
        <f>electric_vehicles_dataset[[#This Row],[Battery_Capacity_kWh]]/electric_vehicles_dataset[[#This Row],[Range_km]]</f>
        <v>7.2097759674134412E-2</v>
      </c>
      <c r="I48">
        <v>491</v>
      </c>
      <c r="J48" t="s">
        <v>358</v>
      </c>
      <c r="K48">
        <v>8</v>
      </c>
      <c r="L48" s="1">
        <v>124888.9</v>
      </c>
      <c r="M48" s="1" t="str" cm="1">
        <f t="array" ref="M4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8" t="s">
        <v>102</v>
      </c>
      <c r="O48" t="s">
        <v>121</v>
      </c>
      <c r="P48" s="2" t="s">
        <v>398</v>
      </c>
      <c r="Q48">
        <v>3</v>
      </c>
      <c r="R48" t="s">
        <v>397</v>
      </c>
      <c r="S48" s="1">
        <f>electric_vehicles_dataset[[#This Row],[Units_Sold_2024]]*electric_vehicles_dataset[[#This Row],[Price_USD]]</f>
        <v>1249638333.3999999</v>
      </c>
      <c r="T48">
        <v>4</v>
      </c>
      <c r="U48">
        <v>10006</v>
      </c>
      <c r="V48">
        <v>5</v>
      </c>
    </row>
    <row r="49" spans="1:22" x14ac:dyDescent="0.35">
      <c r="A49">
        <v>48</v>
      </c>
      <c r="B49" t="s">
        <v>155</v>
      </c>
      <c r="C49" t="s">
        <v>156</v>
      </c>
      <c r="D49">
        <v>2024</v>
      </c>
      <c r="E49" t="s">
        <v>17</v>
      </c>
      <c r="F49">
        <v>32.9</v>
      </c>
      <c r="G49" t="s">
        <v>357</v>
      </c>
      <c r="H49">
        <f>electric_vehicles_dataset[[#This Row],[Battery_Capacity_kWh]]/electric_vehicles_dataset[[#This Row],[Range_km]]</f>
        <v>6.7142857142857143E-2</v>
      </c>
      <c r="I49">
        <v>490</v>
      </c>
      <c r="J49" t="s">
        <v>359</v>
      </c>
      <c r="K49">
        <v>8</v>
      </c>
      <c r="L49" s="1">
        <v>61757.54</v>
      </c>
      <c r="M49" s="1" t="str" cm="1">
        <f t="array" ref="M4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9" t="s">
        <v>143</v>
      </c>
      <c r="O49" t="s">
        <v>23</v>
      </c>
      <c r="P49" s="2" t="s">
        <v>389</v>
      </c>
      <c r="Q49">
        <v>4</v>
      </c>
      <c r="R49" t="s">
        <v>392</v>
      </c>
      <c r="S49" s="1">
        <f>electric_vehicles_dataset[[#This Row],[Units_Sold_2024]]*electric_vehicles_dataset[[#This Row],[Price_USD]]</f>
        <v>911664805.48000002</v>
      </c>
      <c r="T49">
        <v>4</v>
      </c>
      <c r="U49">
        <v>14762</v>
      </c>
      <c r="V49">
        <v>5</v>
      </c>
    </row>
    <row r="50" spans="1:22" x14ac:dyDescent="0.35">
      <c r="A50">
        <v>49</v>
      </c>
      <c r="B50" t="s">
        <v>157</v>
      </c>
      <c r="C50" t="s">
        <v>158</v>
      </c>
      <c r="D50">
        <v>2019</v>
      </c>
      <c r="E50" t="s">
        <v>84</v>
      </c>
      <c r="F50">
        <v>50.1</v>
      </c>
      <c r="G50" t="s">
        <v>348</v>
      </c>
      <c r="H50">
        <f>electric_vehicles_dataset[[#This Row],[Battery_Capacity_kWh]]/electric_vehicles_dataset[[#This Row],[Range_km]]</f>
        <v>0.1086767895878525</v>
      </c>
      <c r="I50">
        <v>461</v>
      </c>
      <c r="J50" t="s">
        <v>54</v>
      </c>
      <c r="K50">
        <v>9</v>
      </c>
      <c r="L50" s="1">
        <v>84483.76</v>
      </c>
      <c r="M50" s="1" t="str" cm="1">
        <f t="array" ref="M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0" t="s">
        <v>106</v>
      </c>
      <c r="O50" t="s">
        <v>159</v>
      </c>
      <c r="P50" s="2" t="s">
        <v>389</v>
      </c>
      <c r="Q50">
        <v>5</v>
      </c>
      <c r="R50" t="s">
        <v>392</v>
      </c>
      <c r="S50" s="1">
        <f>electric_vehicles_dataset[[#This Row],[Units_Sold_2024]]*electric_vehicles_dataset[[#This Row],[Price_USD]]</f>
        <v>1176858776.8</v>
      </c>
      <c r="T50">
        <v>3</v>
      </c>
      <c r="U50">
        <v>13930</v>
      </c>
      <c r="V50">
        <v>3</v>
      </c>
    </row>
    <row r="51" spans="1:22" x14ac:dyDescent="0.35">
      <c r="A51">
        <v>50</v>
      </c>
      <c r="B51" t="s">
        <v>82</v>
      </c>
      <c r="C51" t="s">
        <v>83</v>
      </c>
      <c r="D51">
        <v>2025</v>
      </c>
      <c r="E51" t="s">
        <v>101</v>
      </c>
      <c r="F51">
        <v>138.1</v>
      </c>
      <c r="G51" t="s">
        <v>352</v>
      </c>
      <c r="H51">
        <f>electric_vehicles_dataset[[#This Row],[Battery_Capacity_kWh]]/electric_vehicles_dataset[[#This Row],[Range_km]]</f>
        <v>0.26405353728489483</v>
      </c>
      <c r="I51">
        <v>523</v>
      </c>
      <c r="J51" t="s">
        <v>18</v>
      </c>
      <c r="K51">
        <v>1</v>
      </c>
      <c r="L51" s="1">
        <v>49910.73</v>
      </c>
      <c r="M51" s="1" t="str" cm="1">
        <f t="array" ref="M5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1" t="s">
        <v>127</v>
      </c>
      <c r="O51" t="s">
        <v>139</v>
      </c>
      <c r="P51" s="2" t="s">
        <v>389</v>
      </c>
      <c r="Q51">
        <v>4</v>
      </c>
      <c r="R51" t="s">
        <v>392</v>
      </c>
      <c r="S51" s="1">
        <f>electric_vehicles_dataset[[#This Row],[Units_Sold_2024]]*electric_vehicles_dataset[[#This Row],[Price_USD]]</f>
        <v>497310513.72000003</v>
      </c>
      <c r="T51">
        <v>4</v>
      </c>
      <c r="U51">
        <v>9964</v>
      </c>
      <c r="V51">
        <v>5</v>
      </c>
    </row>
    <row r="52" spans="1:22" x14ac:dyDescent="0.35">
      <c r="A52">
        <v>51</v>
      </c>
      <c r="B52" t="s">
        <v>36</v>
      </c>
      <c r="C52" t="s">
        <v>37</v>
      </c>
      <c r="D52">
        <v>2023</v>
      </c>
      <c r="E52" t="s">
        <v>47</v>
      </c>
      <c r="F52">
        <v>84.2</v>
      </c>
      <c r="G52" t="s">
        <v>350</v>
      </c>
      <c r="H52">
        <f>electric_vehicles_dataset[[#This Row],[Battery_Capacity_kWh]]/electric_vehicles_dataset[[#This Row],[Range_km]]</f>
        <v>0.59716312056737586</v>
      </c>
      <c r="I52">
        <v>141</v>
      </c>
      <c r="J52" t="s">
        <v>27</v>
      </c>
      <c r="K52">
        <v>11</v>
      </c>
      <c r="L52" s="1">
        <v>118144.07</v>
      </c>
      <c r="M52" s="1" t="str" cm="1">
        <f t="array" ref="M5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2" t="s">
        <v>160</v>
      </c>
      <c r="O52" t="s">
        <v>161</v>
      </c>
      <c r="P52" s="2" t="s">
        <v>389</v>
      </c>
      <c r="Q52">
        <v>4</v>
      </c>
      <c r="R52" t="s">
        <v>392</v>
      </c>
      <c r="S52" s="1">
        <f>electric_vehicles_dataset[[#This Row],[Units_Sold_2024]]*electric_vehicles_dataset[[#This Row],[Price_USD]]</f>
        <v>2272855618.6600003</v>
      </c>
      <c r="T52">
        <v>5</v>
      </c>
      <c r="U52">
        <v>19238</v>
      </c>
      <c r="V52">
        <v>3</v>
      </c>
    </row>
    <row r="53" spans="1:22" x14ac:dyDescent="0.35">
      <c r="A53">
        <v>52</v>
      </c>
      <c r="B53" t="s">
        <v>51</v>
      </c>
      <c r="C53" t="s">
        <v>162</v>
      </c>
      <c r="D53">
        <v>2019</v>
      </c>
      <c r="E53" t="s">
        <v>90</v>
      </c>
      <c r="F53">
        <v>25.2</v>
      </c>
      <c r="G53" t="s">
        <v>357</v>
      </c>
      <c r="H53">
        <f>electric_vehicles_dataset[[#This Row],[Battery_Capacity_kWh]]/electric_vehicles_dataset[[#This Row],[Range_km]]</f>
        <v>5.1745379876796713E-2</v>
      </c>
      <c r="I53">
        <v>487</v>
      </c>
      <c r="J53" t="s">
        <v>85</v>
      </c>
      <c r="K53">
        <v>6</v>
      </c>
      <c r="L53" s="1">
        <v>108181.14</v>
      </c>
      <c r="M53" s="1" t="str" cm="1">
        <f t="array" ref="M5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3" t="s">
        <v>49</v>
      </c>
      <c r="O53" t="s">
        <v>86</v>
      </c>
      <c r="P53" s="2" t="s">
        <v>389</v>
      </c>
      <c r="Q53">
        <v>3</v>
      </c>
      <c r="R53" t="s">
        <v>397</v>
      </c>
      <c r="S53" s="1">
        <f>electric_vehicles_dataset[[#This Row],[Units_Sold_2024]]*electric_vehicles_dataset[[#This Row],[Price_USD]]</f>
        <v>1666097737.1400001</v>
      </c>
      <c r="T53">
        <v>3</v>
      </c>
      <c r="U53">
        <v>15401</v>
      </c>
      <c r="V53">
        <v>4</v>
      </c>
    </row>
    <row r="54" spans="1:22" x14ac:dyDescent="0.35">
      <c r="A54">
        <v>53</v>
      </c>
      <c r="B54" t="s">
        <v>125</v>
      </c>
      <c r="C54" t="s">
        <v>163</v>
      </c>
      <c r="D54">
        <v>2020</v>
      </c>
      <c r="E54" t="s">
        <v>73</v>
      </c>
      <c r="F54">
        <v>33.6</v>
      </c>
      <c r="G54" t="s">
        <v>357</v>
      </c>
      <c r="H54">
        <f>electric_vehicles_dataset[[#This Row],[Battery_Capacity_kWh]]/electric_vehicles_dataset[[#This Row],[Range_km]]</f>
        <v>0.18461538461538463</v>
      </c>
      <c r="I54">
        <v>182</v>
      </c>
      <c r="J54" t="s">
        <v>38</v>
      </c>
      <c r="K54">
        <v>5</v>
      </c>
      <c r="L54" s="1">
        <v>89456.28</v>
      </c>
      <c r="M54" s="1" t="str" cm="1">
        <f t="array" ref="M5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4" t="s">
        <v>117</v>
      </c>
      <c r="O54" t="s">
        <v>164</v>
      </c>
      <c r="P54" s="2" t="s">
        <v>394</v>
      </c>
      <c r="Q54">
        <v>4</v>
      </c>
      <c r="R54" t="s">
        <v>392</v>
      </c>
      <c r="S54" s="1">
        <f>electric_vehicles_dataset[[#This Row],[Units_Sold_2024]]*electric_vehicles_dataset[[#This Row],[Price_USD]]</f>
        <v>739803435.60000002</v>
      </c>
      <c r="T54">
        <v>4</v>
      </c>
      <c r="U54">
        <v>8270</v>
      </c>
      <c r="V54">
        <v>4</v>
      </c>
    </row>
    <row r="55" spans="1:22" x14ac:dyDescent="0.35">
      <c r="A55">
        <v>54</v>
      </c>
      <c r="B55" t="s">
        <v>64</v>
      </c>
      <c r="C55" t="s">
        <v>65</v>
      </c>
      <c r="D55">
        <v>2023</v>
      </c>
      <c r="E55" t="s">
        <v>26</v>
      </c>
      <c r="F55">
        <v>148.5</v>
      </c>
      <c r="G55" t="s">
        <v>386</v>
      </c>
      <c r="H55">
        <f>electric_vehicles_dataset[[#This Row],[Battery_Capacity_kWh]]/electric_vehicles_dataset[[#This Row],[Range_km]]</f>
        <v>0.34059633027522934</v>
      </c>
      <c r="I55">
        <v>436</v>
      </c>
      <c r="J55" t="s">
        <v>345</v>
      </c>
      <c r="K55">
        <v>5</v>
      </c>
      <c r="L55" s="1">
        <v>52509.9</v>
      </c>
      <c r="M55" s="1" t="str" cm="1">
        <f t="array" ref="M5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5" t="s">
        <v>165</v>
      </c>
      <c r="O55" t="s">
        <v>118</v>
      </c>
      <c r="P55" s="2" t="s">
        <v>389</v>
      </c>
      <c r="Q55">
        <v>5</v>
      </c>
      <c r="R55" t="s">
        <v>392</v>
      </c>
      <c r="S55" s="1">
        <f>electric_vehicles_dataset[[#This Row],[Units_Sold_2024]]*electric_vehicles_dataset[[#This Row],[Price_USD]]</f>
        <v>459461625</v>
      </c>
      <c r="T55">
        <v>4</v>
      </c>
      <c r="U55">
        <v>8750</v>
      </c>
      <c r="V55">
        <v>5</v>
      </c>
    </row>
    <row r="56" spans="1:22" x14ac:dyDescent="0.35">
      <c r="A56">
        <v>55</v>
      </c>
      <c r="B56" t="s">
        <v>60</v>
      </c>
      <c r="C56" t="s">
        <v>166</v>
      </c>
      <c r="D56">
        <v>2022</v>
      </c>
      <c r="E56" t="s">
        <v>53</v>
      </c>
      <c r="F56">
        <v>110.8</v>
      </c>
      <c r="G56" t="s">
        <v>361</v>
      </c>
      <c r="H56">
        <f>electric_vehicles_dataset[[#This Row],[Battery_Capacity_kWh]]/electric_vehicles_dataset[[#This Row],[Range_km]]</f>
        <v>0.68395061728395057</v>
      </c>
      <c r="I56">
        <v>162</v>
      </c>
      <c r="J56" t="s">
        <v>76</v>
      </c>
      <c r="K56">
        <v>12</v>
      </c>
      <c r="L56" s="1">
        <v>103064.6</v>
      </c>
      <c r="M56" s="1" t="str" cm="1">
        <f t="array" ref="M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6" t="s">
        <v>100</v>
      </c>
      <c r="O56" t="s">
        <v>23</v>
      </c>
      <c r="P56" s="2" t="s">
        <v>389</v>
      </c>
      <c r="Q56">
        <v>0</v>
      </c>
      <c r="R56" t="s">
        <v>390</v>
      </c>
      <c r="S56" s="1">
        <f>electric_vehicles_dataset[[#This Row],[Units_Sold_2024]]*electric_vehicles_dataset[[#This Row],[Price_USD]]</f>
        <v>383091118.20000005</v>
      </c>
      <c r="T56">
        <v>4</v>
      </c>
      <c r="U56">
        <v>3717</v>
      </c>
      <c r="V56">
        <v>4</v>
      </c>
    </row>
    <row r="57" spans="1:22" x14ac:dyDescent="0.35">
      <c r="A57">
        <v>56</v>
      </c>
      <c r="B57" t="s">
        <v>64</v>
      </c>
      <c r="C57" t="s">
        <v>65</v>
      </c>
      <c r="D57">
        <v>2022</v>
      </c>
      <c r="E57" t="s">
        <v>53</v>
      </c>
      <c r="F57">
        <v>113.2</v>
      </c>
      <c r="G57" t="s">
        <v>361</v>
      </c>
      <c r="H57">
        <f>electric_vehicles_dataset[[#This Row],[Battery_Capacity_kWh]]/electric_vehicles_dataset[[#This Row],[Range_km]]</f>
        <v>0.31444444444444447</v>
      </c>
      <c r="I57">
        <v>360</v>
      </c>
      <c r="J57" t="s">
        <v>105</v>
      </c>
      <c r="K57">
        <v>5</v>
      </c>
      <c r="L57" s="1">
        <v>87899.95</v>
      </c>
      <c r="M57" s="1" t="str" cm="1">
        <f t="array" ref="M5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7" t="s">
        <v>152</v>
      </c>
      <c r="O57" t="s">
        <v>78</v>
      </c>
      <c r="P57" s="2" t="s">
        <v>389</v>
      </c>
      <c r="Q57">
        <v>1</v>
      </c>
      <c r="R57" t="s">
        <v>391</v>
      </c>
      <c r="S57" s="1">
        <f>electric_vehicles_dataset[[#This Row],[Units_Sold_2024]]*electric_vehicles_dataset[[#This Row],[Price_USD]]</f>
        <v>393176476.34999996</v>
      </c>
      <c r="T57">
        <v>5</v>
      </c>
      <c r="U57">
        <v>4473</v>
      </c>
      <c r="V57">
        <v>3</v>
      </c>
    </row>
    <row r="58" spans="1:22" x14ac:dyDescent="0.35">
      <c r="A58">
        <v>57</v>
      </c>
      <c r="B58" t="s">
        <v>122</v>
      </c>
      <c r="C58" t="s">
        <v>123</v>
      </c>
      <c r="D58">
        <v>2020</v>
      </c>
      <c r="E58" t="s">
        <v>53</v>
      </c>
      <c r="F58">
        <v>122.4</v>
      </c>
      <c r="G58" t="s">
        <v>352</v>
      </c>
      <c r="H58">
        <f>electric_vehicles_dataset[[#This Row],[Battery_Capacity_kWh]]/electric_vehicles_dataset[[#This Row],[Range_km]]</f>
        <v>0.51864406779661021</v>
      </c>
      <c r="I58">
        <v>236</v>
      </c>
      <c r="J58" t="s">
        <v>76</v>
      </c>
      <c r="K58">
        <v>4</v>
      </c>
      <c r="L58" s="1">
        <v>65826.7</v>
      </c>
      <c r="M58" s="1" t="str" cm="1">
        <f t="array" ref="M5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8" t="s">
        <v>98</v>
      </c>
      <c r="O58" t="s">
        <v>167</v>
      </c>
      <c r="P58" s="2" t="s">
        <v>394</v>
      </c>
      <c r="Q58">
        <v>3</v>
      </c>
      <c r="R58" t="s">
        <v>397</v>
      </c>
      <c r="S58" s="1">
        <f>electric_vehicles_dataset[[#This Row],[Units_Sold_2024]]*electric_vehicles_dataset[[#This Row],[Price_USD]]</f>
        <v>744434150.29999995</v>
      </c>
      <c r="T58">
        <v>4</v>
      </c>
      <c r="U58">
        <v>11309</v>
      </c>
      <c r="V58">
        <v>4</v>
      </c>
    </row>
    <row r="59" spans="1:22" x14ac:dyDescent="0.35">
      <c r="A59">
        <v>58</v>
      </c>
      <c r="B59" t="s">
        <v>21</v>
      </c>
      <c r="C59" t="s">
        <v>363</v>
      </c>
      <c r="D59">
        <v>2022</v>
      </c>
      <c r="E59" t="s">
        <v>53</v>
      </c>
      <c r="F59">
        <v>61.8</v>
      </c>
      <c r="G59" t="s">
        <v>351</v>
      </c>
      <c r="H59">
        <f>electric_vehicles_dataset[[#This Row],[Battery_Capacity_kWh]]/electric_vehicles_dataset[[#This Row],[Range_km]]</f>
        <v>0.3153061224489796</v>
      </c>
      <c r="I59">
        <v>196</v>
      </c>
      <c r="J59" t="s">
        <v>353</v>
      </c>
      <c r="K59">
        <v>7</v>
      </c>
      <c r="L59" s="1">
        <v>58027.49</v>
      </c>
      <c r="M59" s="1" t="str" cm="1">
        <f t="array" ref="M5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9" t="s">
        <v>168</v>
      </c>
      <c r="O59" t="s">
        <v>169</v>
      </c>
      <c r="P59" s="2" t="s">
        <v>394</v>
      </c>
      <c r="Q59">
        <v>3</v>
      </c>
      <c r="R59" t="s">
        <v>397</v>
      </c>
      <c r="S59" s="1">
        <f>electric_vehicles_dataset[[#This Row],[Units_Sold_2024]]*electric_vehicles_dataset[[#This Row],[Price_USD]]</f>
        <v>734105775.99000001</v>
      </c>
      <c r="T59">
        <v>4</v>
      </c>
      <c r="U59">
        <v>12651</v>
      </c>
      <c r="V59">
        <v>5</v>
      </c>
    </row>
    <row r="60" spans="1:22" x14ac:dyDescent="0.35">
      <c r="A60">
        <v>59</v>
      </c>
      <c r="B60" t="s">
        <v>170</v>
      </c>
      <c r="C60" t="s">
        <v>171</v>
      </c>
      <c r="D60">
        <v>2022</v>
      </c>
      <c r="E60" t="s">
        <v>84</v>
      </c>
      <c r="F60">
        <v>36.4</v>
      </c>
      <c r="G60" t="s">
        <v>357</v>
      </c>
      <c r="H60">
        <f>electric_vehicles_dataset[[#This Row],[Battery_Capacity_kWh]]/electric_vehicles_dataset[[#This Row],[Range_km]]</f>
        <v>6.1279461279461274E-2</v>
      </c>
      <c r="I60">
        <v>594</v>
      </c>
      <c r="J60" t="s">
        <v>38</v>
      </c>
      <c r="K60">
        <v>11</v>
      </c>
      <c r="L60" s="1">
        <v>134902.84</v>
      </c>
      <c r="M60" s="1" t="str" cm="1">
        <f t="array" ref="M6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0" t="s">
        <v>172</v>
      </c>
      <c r="O60" t="s">
        <v>93</v>
      </c>
      <c r="P60" s="2" t="s">
        <v>389</v>
      </c>
      <c r="Q60">
        <v>3</v>
      </c>
      <c r="R60" t="s">
        <v>397</v>
      </c>
      <c r="S60" s="1">
        <f>electric_vehicles_dataset[[#This Row],[Units_Sold_2024]]*electric_vehicles_dataset[[#This Row],[Price_USD]]</f>
        <v>682338564.72000003</v>
      </c>
      <c r="T60">
        <v>5</v>
      </c>
      <c r="U60">
        <v>5058</v>
      </c>
      <c r="V60">
        <v>3</v>
      </c>
    </row>
    <row r="61" spans="1:22" x14ac:dyDescent="0.35">
      <c r="A61">
        <v>60</v>
      </c>
      <c r="B61" t="s">
        <v>173</v>
      </c>
      <c r="C61" t="s">
        <v>174</v>
      </c>
      <c r="D61">
        <v>2020</v>
      </c>
      <c r="E61" t="s">
        <v>90</v>
      </c>
      <c r="F61">
        <v>110.1</v>
      </c>
      <c r="G61" t="s">
        <v>361</v>
      </c>
      <c r="H61">
        <f>electric_vehicles_dataset[[#This Row],[Battery_Capacity_kWh]]/electric_vehicles_dataset[[#This Row],[Range_km]]</f>
        <v>0.25486111111111109</v>
      </c>
      <c r="I61">
        <v>432</v>
      </c>
      <c r="J61" t="s">
        <v>364</v>
      </c>
      <c r="K61">
        <v>10</v>
      </c>
      <c r="L61" s="1">
        <v>132280.95999999999</v>
      </c>
      <c r="M61" s="1" t="str" cm="1">
        <f t="array" ref="M6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1" t="s">
        <v>77</v>
      </c>
      <c r="O61" t="s">
        <v>107</v>
      </c>
      <c r="P61" s="2" t="s">
        <v>394</v>
      </c>
      <c r="Q61">
        <v>2</v>
      </c>
      <c r="R61" t="s">
        <v>391</v>
      </c>
      <c r="S61" s="1">
        <f>electric_vehicles_dataset[[#This Row],[Units_Sold_2024]]*electric_vehicles_dataset[[#This Row],[Price_USD]]</f>
        <v>2345076858.8799996</v>
      </c>
      <c r="T61">
        <v>4</v>
      </c>
      <c r="U61">
        <v>17728</v>
      </c>
      <c r="V61">
        <v>3</v>
      </c>
    </row>
    <row r="62" spans="1:22" x14ac:dyDescent="0.35">
      <c r="A62">
        <v>61</v>
      </c>
      <c r="B62" t="s">
        <v>155</v>
      </c>
      <c r="C62" t="s">
        <v>156</v>
      </c>
      <c r="D62">
        <v>2018</v>
      </c>
      <c r="E62" t="s">
        <v>73</v>
      </c>
      <c r="F62">
        <v>109</v>
      </c>
      <c r="G62" t="s">
        <v>361</v>
      </c>
      <c r="H62">
        <f>electric_vehicles_dataset[[#This Row],[Battery_Capacity_kWh]]/electric_vehicles_dataset[[#This Row],[Range_km]]</f>
        <v>0.44129554655870445</v>
      </c>
      <c r="I62">
        <v>247</v>
      </c>
      <c r="J62" t="s">
        <v>353</v>
      </c>
      <c r="K62">
        <v>9</v>
      </c>
      <c r="L62" s="1">
        <v>82076.58</v>
      </c>
      <c r="M62" s="1" t="str" cm="1">
        <f t="array" ref="M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2" t="s">
        <v>175</v>
      </c>
      <c r="O62" t="s">
        <v>93</v>
      </c>
      <c r="P62" s="2" t="s">
        <v>389</v>
      </c>
      <c r="Q62">
        <v>5</v>
      </c>
      <c r="R62" t="s">
        <v>392</v>
      </c>
      <c r="S62" s="1">
        <f>electric_vehicles_dataset[[#This Row],[Units_Sold_2024]]*electric_vehicles_dataset[[#This Row],[Price_USD]]</f>
        <v>872391968.82000005</v>
      </c>
      <c r="T62">
        <v>4</v>
      </c>
      <c r="U62">
        <v>10629</v>
      </c>
      <c r="V62">
        <v>3</v>
      </c>
    </row>
    <row r="63" spans="1:22" x14ac:dyDescent="0.35">
      <c r="A63">
        <v>62</v>
      </c>
      <c r="B63" t="s">
        <v>176</v>
      </c>
      <c r="C63" t="s">
        <v>365</v>
      </c>
      <c r="D63">
        <v>2020</v>
      </c>
      <c r="E63" t="s">
        <v>42</v>
      </c>
      <c r="F63">
        <v>38.9</v>
      </c>
      <c r="G63" t="s">
        <v>357</v>
      </c>
      <c r="H63">
        <f>electric_vehicles_dataset[[#This Row],[Battery_Capacity_kWh]]/electric_vehicles_dataset[[#This Row],[Range_km]]</f>
        <v>0.10485175202156334</v>
      </c>
      <c r="I63">
        <v>371</v>
      </c>
      <c r="J63" t="s">
        <v>358</v>
      </c>
      <c r="K63">
        <v>7</v>
      </c>
      <c r="L63" s="1">
        <v>125102.34</v>
      </c>
      <c r="M63" s="1" t="str" cm="1">
        <f t="array" ref="M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3" t="s">
        <v>177</v>
      </c>
      <c r="O63" t="s">
        <v>86</v>
      </c>
      <c r="P63" s="2" t="s">
        <v>389</v>
      </c>
      <c r="Q63">
        <v>5</v>
      </c>
      <c r="R63" t="s">
        <v>392</v>
      </c>
      <c r="S63" s="1">
        <f>electric_vehicles_dataset[[#This Row],[Units_Sold_2024]]*electric_vehicles_dataset[[#This Row],[Price_USD]]</f>
        <v>2040043858.3799999</v>
      </c>
      <c r="T63">
        <v>3</v>
      </c>
      <c r="U63">
        <v>16307</v>
      </c>
      <c r="V63">
        <v>5</v>
      </c>
    </row>
    <row r="64" spans="1:22" x14ac:dyDescent="0.35">
      <c r="A64">
        <v>63</v>
      </c>
      <c r="B64" t="s">
        <v>153</v>
      </c>
      <c r="C64" t="s">
        <v>178</v>
      </c>
      <c r="D64">
        <v>2022</v>
      </c>
      <c r="E64" t="s">
        <v>73</v>
      </c>
      <c r="F64">
        <v>53</v>
      </c>
      <c r="G64" t="s">
        <v>348</v>
      </c>
      <c r="H64">
        <f>electric_vehicles_dataset[[#This Row],[Battery_Capacity_kWh]]/electric_vehicles_dataset[[#This Row],[Range_km]]</f>
        <v>0.23043478260869565</v>
      </c>
      <c r="I64">
        <v>230</v>
      </c>
      <c r="J64" t="s">
        <v>76</v>
      </c>
      <c r="K64">
        <v>11</v>
      </c>
      <c r="L64" s="1">
        <v>85830.39</v>
      </c>
      <c r="M64" s="1" t="str" cm="1">
        <f t="array" ref="M6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4" t="s">
        <v>179</v>
      </c>
      <c r="O64" t="s">
        <v>107</v>
      </c>
      <c r="P64" s="2" t="s">
        <v>394</v>
      </c>
      <c r="Q64">
        <v>3</v>
      </c>
      <c r="R64" t="s">
        <v>397</v>
      </c>
      <c r="S64" s="1">
        <f>electric_vehicles_dataset[[#This Row],[Units_Sold_2024]]*electric_vehicles_dataset[[#This Row],[Price_USD]]</f>
        <v>1193299912.1700001</v>
      </c>
      <c r="T64">
        <v>4</v>
      </c>
      <c r="U64">
        <v>13903</v>
      </c>
      <c r="V64">
        <v>5</v>
      </c>
    </row>
    <row r="65" spans="1:22" x14ac:dyDescent="0.35">
      <c r="A65">
        <v>64</v>
      </c>
      <c r="B65" t="s">
        <v>180</v>
      </c>
      <c r="C65" t="s">
        <v>181</v>
      </c>
      <c r="D65">
        <v>2019</v>
      </c>
      <c r="E65" t="s">
        <v>31</v>
      </c>
      <c r="F65">
        <v>149.9</v>
      </c>
      <c r="G65" t="s">
        <v>386</v>
      </c>
      <c r="H65">
        <f>electric_vehicles_dataset[[#This Row],[Battery_Capacity_kWh]]/electric_vehicles_dataset[[#This Row],[Range_km]]</f>
        <v>0.27966417910447761</v>
      </c>
      <c r="I65">
        <v>536</v>
      </c>
      <c r="J65" t="s">
        <v>356</v>
      </c>
      <c r="K65">
        <v>2</v>
      </c>
      <c r="L65" s="1">
        <v>75763.72</v>
      </c>
      <c r="M65" s="1" t="str" cm="1">
        <f t="array" ref="M6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5" t="s">
        <v>91</v>
      </c>
      <c r="O65" t="s">
        <v>182</v>
      </c>
      <c r="P65" s="2" t="s">
        <v>394</v>
      </c>
      <c r="Q65">
        <v>5</v>
      </c>
      <c r="R65" t="s">
        <v>392</v>
      </c>
      <c r="S65" s="1">
        <f>electric_vehicles_dataset[[#This Row],[Units_Sold_2024]]*electric_vehicles_dataset[[#This Row],[Price_USD]]</f>
        <v>982579684.68000007</v>
      </c>
      <c r="T65">
        <v>5</v>
      </c>
      <c r="U65">
        <v>12969</v>
      </c>
      <c r="V65">
        <v>4</v>
      </c>
    </row>
    <row r="66" spans="1:22" x14ac:dyDescent="0.35">
      <c r="A66">
        <v>65</v>
      </c>
      <c r="B66" t="s">
        <v>79</v>
      </c>
      <c r="C66" t="s">
        <v>151</v>
      </c>
      <c r="D66">
        <v>2025</v>
      </c>
      <c r="E66" t="s">
        <v>183</v>
      </c>
      <c r="F66">
        <v>116.8</v>
      </c>
      <c r="G66" t="s">
        <v>361</v>
      </c>
      <c r="H66">
        <f>electric_vehicles_dataset[[#This Row],[Battery_Capacity_kWh]]/electric_vehicles_dataset[[#This Row],[Range_km]]</f>
        <v>0.93440000000000001</v>
      </c>
      <c r="I66">
        <v>125</v>
      </c>
      <c r="J66" t="s">
        <v>356</v>
      </c>
      <c r="K66">
        <v>10</v>
      </c>
      <c r="L66" s="1">
        <v>138352.19</v>
      </c>
      <c r="M66" s="1" t="str" cm="1">
        <f t="array" ref="M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6" t="s">
        <v>168</v>
      </c>
      <c r="O66" t="s">
        <v>159</v>
      </c>
      <c r="P66" s="2" t="s">
        <v>389</v>
      </c>
      <c r="Q66">
        <v>2</v>
      </c>
      <c r="R66" t="s">
        <v>391</v>
      </c>
      <c r="S66" s="1">
        <f>electric_vehicles_dataset[[#This Row],[Units_Sold_2024]]*electric_vehicles_dataset[[#This Row],[Price_USD]]</f>
        <v>619956163.38999999</v>
      </c>
      <c r="T66">
        <v>4</v>
      </c>
      <c r="U66">
        <v>4481</v>
      </c>
      <c r="V66">
        <v>5</v>
      </c>
    </row>
    <row r="67" spans="1:22" x14ac:dyDescent="0.35">
      <c r="A67">
        <v>66</v>
      </c>
      <c r="B67" t="s">
        <v>184</v>
      </c>
      <c r="C67" t="s">
        <v>185</v>
      </c>
      <c r="D67">
        <v>2019</v>
      </c>
      <c r="E67" t="s">
        <v>183</v>
      </c>
      <c r="F67">
        <v>77.3</v>
      </c>
      <c r="G67" t="s">
        <v>351</v>
      </c>
      <c r="H67">
        <f>electric_vehicles_dataset[[#This Row],[Battery_Capacity_kWh]]/electric_vehicles_dataset[[#This Row],[Range_km]]</f>
        <v>0.19520202020202018</v>
      </c>
      <c r="I67">
        <v>396</v>
      </c>
      <c r="J67" t="s">
        <v>149</v>
      </c>
      <c r="K67">
        <v>9</v>
      </c>
      <c r="L67" s="1">
        <v>40816.01</v>
      </c>
      <c r="M67" s="1" t="str" cm="1">
        <f t="array" ref="M6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7" t="s">
        <v>179</v>
      </c>
      <c r="O67" t="s">
        <v>89</v>
      </c>
      <c r="P67" s="2" t="s">
        <v>389</v>
      </c>
      <c r="Q67">
        <v>1</v>
      </c>
      <c r="R67" t="s">
        <v>391</v>
      </c>
      <c r="S67" s="1">
        <f>electric_vehicles_dataset[[#This Row],[Units_Sold_2024]]*electric_vehicles_dataset[[#This Row],[Price_USD]]</f>
        <v>709953677.94000006</v>
      </c>
      <c r="T67">
        <v>4</v>
      </c>
      <c r="U67">
        <v>17394</v>
      </c>
      <c r="V67">
        <v>5</v>
      </c>
    </row>
    <row r="68" spans="1:22" x14ac:dyDescent="0.35">
      <c r="A68">
        <v>67</v>
      </c>
      <c r="B68" t="s">
        <v>122</v>
      </c>
      <c r="C68" t="s">
        <v>186</v>
      </c>
      <c r="D68">
        <v>2019</v>
      </c>
      <c r="E68" t="s">
        <v>53</v>
      </c>
      <c r="F68">
        <v>127.2</v>
      </c>
      <c r="G68" t="s">
        <v>352</v>
      </c>
      <c r="H68">
        <f>electric_vehicles_dataset[[#This Row],[Battery_Capacity_kWh]]/electric_vehicles_dataset[[#This Row],[Range_km]]</f>
        <v>0.36763005780346819</v>
      </c>
      <c r="I68">
        <v>346</v>
      </c>
      <c r="J68" t="s">
        <v>54</v>
      </c>
      <c r="K68">
        <v>9</v>
      </c>
      <c r="L68" s="1">
        <v>70645.83</v>
      </c>
      <c r="M68" s="1" t="str" cm="1">
        <f t="array" ref="M6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8" t="s">
        <v>43</v>
      </c>
      <c r="O68" t="s">
        <v>40</v>
      </c>
      <c r="P68" s="2" t="s">
        <v>395</v>
      </c>
      <c r="Q68">
        <v>1</v>
      </c>
      <c r="R68" t="s">
        <v>391</v>
      </c>
      <c r="S68" s="1">
        <f>electric_vehicles_dataset[[#This Row],[Units_Sold_2024]]*electric_vehicles_dataset[[#This Row],[Price_USD]]</f>
        <v>919949998.25999999</v>
      </c>
      <c r="T68">
        <v>5</v>
      </c>
      <c r="U68">
        <v>13022</v>
      </c>
      <c r="V68">
        <v>5</v>
      </c>
    </row>
    <row r="69" spans="1:22" x14ac:dyDescent="0.35">
      <c r="A69">
        <v>68</v>
      </c>
      <c r="B69" t="s">
        <v>187</v>
      </c>
      <c r="C69" t="s">
        <v>188</v>
      </c>
      <c r="D69">
        <v>2021</v>
      </c>
      <c r="E69" t="s">
        <v>84</v>
      </c>
      <c r="F69">
        <v>54.4</v>
      </c>
      <c r="G69" t="s">
        <v>348</v>
      </c>
      <c r="H69">
        <f>electric_vehicles_dataset[[#This Row],[Battery_Capacity_kWh]]/electric_vehicles_dataset[[#This Row],[Range_km]]</f>
        <v>0.33374233128834357</v>
      </c>
      <c r="I69">
        <v>163</v>
      </c>
      <c r="J69" t="s">
        <v>345</v>
      </c>
      <c r="K69">
        <v>5</v>
      </c>
      <c r="L69" s="1">
        <v>119881.39</v>
      </c>
      <c r="M69" s="1" t="str" cm="1">
        <f t="array" ref="M6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9" t="s">
        <v>189</v>
      </c>
      <c r="O69" t="s">
        <v>167</v>
      </c>
      <c r="P69" s="2" t="s">
        <v>394</v>
      </c>
      <c r="Q69">
        <v>5</v>
      </c>
      <c r="R69" t="s">
        <v>392</v>
      </c>
      <c r="S69" s="1">
        <f>electric_vehicles_dataset[[#This Row],[Units_Sold_2024]]*electric_vehicles_dataset[[#This Row],[Price_USD]]</f>
        <v>1852047594.1099999</v>
      </c>
      <c r="T69">
        <v>3</v>
      </c>
      <c r="U69">
        <v>15449</v>
      </c>
      <c r="V69">
        <v>3</v>
      </c>
    </row>
    <row r="70" spans="1:22" x14ac:dyDescent="0.35">
      <c r="A70">
        <v>69</v>
      </c>
      <c r="B70" t="s">
        <v>155</v>
      </c>
      <c r="C70" t="s">
        <v>190</v>
      </c>
      <c r="D70">
        <v>2024</v>
      </c>
      <c r="E70" t="s">
        <v>31</v>
      </c>
      <c r="F70">
        <v>104.2</v>
      </c>
      <c r="G70" t="s">
        <v>361</v>
      </c>
      <c r="H70">
        <f>electric_vehicles_dataset[[#This Row],[Battery_Capacity_kWh]]/electric_vehicles_dataset[[#This Row],[Range_km]]</f>
        <v>0.2451764705882353</v>
      </c>
      <c r="I70">
        <v>425</v>
      </c>
      <c r="J70" t="s">
        <v>345</v>
      </c>
      <c r="K70">
        <v>11</v>
      </c>
      <c r="L70" s="1">
        <v>66262.820000000007</v>
      </c>
      <c r="M70" s="1" t="str" cm="1">
        <f t="array" ref="M7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0" t="s">
        <v>70</v>
      </c>
      <c r="O70" t="s">
        <v>147</v>
      </c>
      <c r="P70" s="2" t="s">
        <v>396</v>
      </c>
      <c r="Q70">
        <v>5</v>
      </c>
      <c r="R70" t="s">
        <v>392</v>
      </c>
      <c r="S70" s="1">
        <f>electric_vehicles_dataset[[#This Row],[Units_Sold_2024]]*electric_vehicles_dataset[[#This Row],[Price_USD]]</f>
        <v>252130030.10000002</v>
      </c>
      <c r="T70">
        <v>4</v>
      </c>
      <c r="U70">
        <v>3805</v>
      </c>
      <c r="V70">
        <v>3</v>
      </c>
    </row>
    <row r="71" spans="1:22" x14ac:dyDescent="0.35">
      <c r="A71">
        <v>70</v>
      </c>
      <c r="B71" t="s">
        <v>87</v>
      </c>
      <c r="C71" t="s">
        <v>191</v>
      </c>
      <c r="D71">
        <v>2021</v>
      </c>
      <c r="E71" t="s">
        <v>130</v>
      </c>
      <c r="F71">
        <v>68.2</v>
      </c>
      <c r="G71" t="s">
        <v>351</v>
      </c>
      <c r="H71">
        <f>electric_vehicles_dataset[[#This Row],[Battery_Capacity_kWh]]/electric_vehicles_dataset[[#This Row],[Range_km]]</f>
        <v>0.11638225255972696</v>
      </c>
      <c r="I71">
        <v>586</v>
      </c>
      <c r="J71" t="s">
        <v>358</v>
      </c>
      <c r="K71">
        <v>7</v>
      </c>
      <c r="L71" s="1">
        <v>117191.9</v>
      </c>
      <c r="M71" s="1" t="str" cm="1">
        <f t="array" ref="M7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1" t="s">
        <v>70</v>
      </c>
      <c r="O71" t="s">
        <v>93</v>
      </c>
      <c r="P71" s="2" t="s">
        <v>389</v>
      </c>
      <c r="Q71">
        <v>4</v>
      </c>
      <c r="R71" t="s">
        <v>392</v>
      </c>
      <c r="S71" s="1">
        <f>electric_vehicles_dataset[[#This Row],[Units_Sold_2024]]*electric_vehicles_dataset[[#This Row],[Price_USD]]</f>
        <v>1422826857.8999999</v>
      </c>
      <c r="T71">
        <v>3</v>
      </c>
      <c r="U71">
        <v>12141</v>
      </c>
      <c r="V71">
        <v>3</v>
      </c>
    </row>
    <row r="72" spans="1:22" x14ac:dyDescent="0.35">
      <c r="A72">
        <v>71</v>
      </c>
      <c r="B72" t="s">
        <v>96</v>
      </c>
      <c r="C72" t="s">
        <v>116</v>
      </c>
      <c r="D72">
        <v>2018</v>
      </c>
      <c r="E72" t="s">
        <v>26</v>
      </c>
      <c r="F72">
        <v>67.099999999999994</v>
      </c>
      <c r="G72" t="s">
        <v>351</v>
      </c>
      <c r="H72">
        <f>electric_vehicles_dataset[[#This Row],[Battery_Capacity_kWh]]/electric_vehicles_dataset[[#This Row],[Range_km]]</f>
        <v>0.14878048780487804</v>
      </c>
      <c r="I72">
        <v>451</v>
      </c>
      <c r="J72" t="s">
        <v>149</v>
      </c>
      <c r="K72">
        <v>7</v>
      </c>
      <c r="L72" s="1">
        <v>147341.1</v>
      </c>
      <c r="M72" s="1" t="str" cm="1">
        <f t="array" ref="M7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2" t="s">
        <v>91</v>
      </c>
      <c r="O72" t="s">
        <v>67</v>
      </c>
      <c r="P72" s="2" t="s">
        <v>394</v>
      </c>
      <c r="Q72">
        <v>1</v>
      </c>
      <c r="R72" t="s">
        <v>391</v>
      </c>
      <c r="S72" s="1">
        <f>electric_vehicles_dataset[[#This Row],[Units_Sold_2024]]*electric_vehicles_dataset[[#This Row],[Price_USD]]</f>
        <v>442465323.30000001</v>
      </c>
      <c r="T72">
        <v>4</v>
      </c>
      <c r="U72">
        <v>3003</v>
      </c>
      <c r="V72">
        <v>5</v>
      </c>
    </row>
    <row r="73" spans="1:22" x14ac:dyDescent="0.35">
      <c r="A73">
        <v>72</v>
      </c>
      <c r="B73" t="s">
        <v>192</v>
      </c>
      <c r="C73" t="s">
        <v>366</v>
      </c>
      <c r="D73">
        <v>2025</v>
      </c>
      <c r="E73" t="s">
        <v>90</v>
      </c>
      <c r="F73">
        <v>146.19999999999999</v>
      </c>
      <c r="G73" t="s">
        <v>386</v>
      </c>
      <c r="H73">
        <f>electric_vehicles_dataset[[#This Row],[Battery_Capacity_kWh]]/electric_vehicles_dataset[[#This Row],[Range_km]]</f>
        <v>1.1696</v>
      </c>
      <c r="I73">
        <v>125</v>
      </c>
      <c r="J73" t="s">
        <v>38</v>
      </c>
      <c r="K73">
        <v>3</v>
      </c>
      <c r="L73" s="1">
        <v>45110.87</v>
      </c>
      <c r="M73" s="1" t="str" cm="1">
        <f t="array" ref="M7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3" t="s">
        <v>59</v>
      </c>
      <c r="O73" t="s">
        <v>124</v>
      </c>
      <c r="P73" s="2" t="s">
        <v>389</v>
      </c>
      <c r="Q73">
        <v>1</v>
      </c>
      <c r="R73" t="s">
        <v>391</v>
      </c>
      <c r="S73" s="1">
        <f>electric_vehicles_dataset[[#This Row],[Units_Sold_2024]]*electric_vehicles_dataset[[#This Row],[Price_USD]]</f>
        <v>344376381.58000004</v>
      </c>
      <c r="T73">
        <v>3</v>
      </c>
      <c r="U73">
        <v>7634</v>
      </c>
      <c r="V73">
        <v>4</v>
      </c>
    </row>
    <row r="74" spans="1:22" x14ac:dyDescent="0.35">
      <c r="A74">
        <v>73</v>
      </c>
      <c r="B74" t="s">
        <v>193</v>
      </c>
      <c r="C74" t="s">
        <v>194</v>
      </c>
      <c r="D74">
        <v>2024</v>
      </c>
      <c r="E74" t="s">
        <v>84</v>
      </c>
      <c r="F74">
        <v>56</v>
      </c>
      <c r="G74" t="s">
        <v>348</v>
      </c>
      <c r="H74">
        <f>electric_vehicles_dataset[[#This Row],[Battery_Capacity_kWh]]/electric_vehicles_dataset[[#This Row],[Range_km]]</f>
        <v>0.32183908045977011</v>
      </c>
      <c r="I74">
        <v>174</v>
      </c>
      <c r="J74" t="s">
        <v>18</v>
      </c>
      <c r="K74">
        <v>7</v>
      </c>
      <c r="L74" s="1">
        <v>125821.66</v>
      </c>
      <c r="M74" s="1" t="str" cm="1">
        <f t="array" ref="M7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4" t="s">
        <v>43</v>
      </c>
      <c r="O74" t="s">
        <v>135</v>
      </c>
      <c r="P74" s="2" t="s">
        <v>389</v>
      </c>
      <c r="Q74">
        <v>1</v>
      </c>
      <c r="R74" t="s">
        <v>391</v>
      </c>
      <c r="S74" s="1">
        <f>electric_vehicles_dataset[[#This Row],[Units_Sold_2024]]*electric_vehicles_dataset[[#This Row],[Price_USD]]</f>
        <v>1334841990.9400001</v>
      </c>
      <c r="T74">
        <v>5</v>
      </c>
      <c r="U74">
        <v>10609</v>
      </c>
      <c r="V74">
        <v>3</v>
      </c>
    </row>
    <row r="75" spans="1:22" x14ac:dyDescent="0.35">
      <c r="A75">
        <v>74</v>
      </c>
      <c r="B75" t="s">
        <v>120</v>
      </c>
      <c r="C75" t="s">
        <v>195</v>
      </c>
      <c r="D75">
        <v>2015</v>
      </c>
      <c r="E75" t="s">
        <v>101</v>
      </c>
      <c r="F75">
        <v>116.4</v>
      </c>
      <c r="G75" t="s">
        <v>361</v>
      </c>
      <c r="H75">
        <f>electric_vehicles_dataset[[#This Row],[Battery_Capacity_kWh]]/electric_vehicles_dataset[[#This Row],[Range_km]]</f>
        <v>0.31544715447154476</v>
      </c>
      <c r="I75">
        <v>369</v>
      </c>
      <c r="J75" t="s">
        <v>48</v>
      </c>
      <c r="K75">
        <v>9</v>
      </c>
      <c r="L75" s="1">
        <v>87149.52</v>
      </c>
      <c r="M75" s="1" t="str" cm="1">
        <f t="array" ref="M7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5" t="s">
        <v>168</v>
      </c>
      <c r="O75" t="s">
        <v>33</v>
      </c>
      <c r="P75" s="2" t="s">
        <v>393</v>
      </c>
      <c r="Q75">
        <v>0</v>
      </c>
      <c r="R75" t="s">
        <v>390</v>
      </c>
      <c r="S75" s="1">
        <f>electric_vehicles_dataset[[#This Row],[Units_Sold_2024]]*electric_vehicles_dataset[[#This Row],[Price_USD]]</f>
        <v>123752318.40000001</v>
      </c>
      <c r="T75">
        <v>5</v>
      </c>
      <c r="U75">
        <v>1420</v>
      </c>
      <c r="V75">
        <v>5</v>
      </c>
    </row>
    <row r="76" spans="1:22" x14ac:dyDescent="0.35">
      <c r="A76">
        <v>75</v>
      </c>
      <c r="B76" t="s">
        <v>170</v>
      </c>
      <c r="C76" t="s">
        <v>367</v>
      </c>
      <c r="D76">
        <v>2019</v>
      </c>
      <c r="E76" t="s">
        <v>130</v>
      </c>
      <c r="F76">
        <v>103.6</v>
      </c>
      <c r="G76" t="s">
        <v>361</v>
      </c>
      <c r="H76">
        <f>electric_vehicles_dataset[[#This Row],[Battery_Capacity_kWh]]/electric_vehicles_dataset[[#This Row],[Range_km]]</f>
        <v>0.90086956521739125</v>
      </c>
      <c r="I76">
        <v>115</v>
      </c>
      <c r="J76" t="s">
        <v>27</v>
      </c>
      <c r="K76">
        <v>12</v>
      </c>
      <c r="L76" s="1">
        <v>131675.82999999999</v>
      </c>
      <c r="M76" s="1" t="str" cm="1">
        <f t="array" ref="M7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6" t="s">
        <v>196</v>
      </c>
      <c r="O76" t="s">
        <v>93</v>
      </c>
      <c r="P76" s="2" t="s">
        <v>389</v>
      </c>
      <c r="Q76">
        <v>3</v>
      </c>
      <c r="R76" t="s">
        <v>397</v>
      </c>
      <c r="S76" s="1">
        <f>electric_vehicles_dataset[[#This Row],[Units_Sold_2024]]*electric_vehicles_dataset[[#This Row],[Price_USD]]</f>
        <v>2624562643.5599999</v>
      </c>
      <c r="T76">
        <v>4</v>
      </c>
      <c r="U76">
        <v>19932</v>
      </c>
      <c r="V76">
        <v>3</v>
      </c>
    </row>
    <row r="77" spans="1:22" x14ac:dyDescent="0.35">
      <c r="A77">
        <v>76</v>
      </c>
      <c r="B77" t="s">
        <v>29</v>
      </c>
      <c r="C77" t="s">
        <v>197</v>
      </c>
      <c r="D77">
        <v>2019</v>
      </c>
      <c r="E77" t="s">
        <v>90</v>
      </c>
      <c r="F77">
        <v>102.3</v>
      </c>
      <c r="G77" t="s">
        <v>361</v>
      </c>
      <c r="H77">
        <f>electric_vehicles_dataset[[#This Row],[Battery_Capacity_kWh]]/electric_vehicles_dataset[[#This Row],[Range_km]]</f>
        <v>0.26921052631578946</v>
      </c>
      <c r="I77">
        <v>380</v>
      </c>
      <c r="J77" t="s">
        <v>38</v>
      </c>
      <c r="K77">
        <v>5</v>
      </c>
      <c r="L77" s="1">
        <v>101687.02</v>
      </c>
      <c r="M77" s="1" t="str" cm="1">
        <f t="array" ref="M7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7" t="s">
        <v>179</v>
      </c>
      <c r="O77" t="s">
        <v>40</v>
      </c>
      <c r="P77" s="2" t="s">
        <v>395</v>
      </c>
      <c r="Q77">
        <v>3</v>
      </c>
      <c r="R77" t="s">
        <v>397</v>
      </c>
      <c r="S77" s="1">
        <f>electric_vehicles_dataset[[#This Row],[Units_Sold_2024]]*electric_vehicles_dataset[[#This Row],[Price_USD]]</f>
        <v>1837077703.3200002</v>
      </c>
      <c r="T77">
        <v>5</v>
      </c>
      <c r="U77">
        <v>18066</v>
      </c>
      <c r="V77">
        <v>5</v>
      </c>
    </row>
    <row r="78" spans="1:22" x14ac:dyDescent="0.35">
      <c r="A78">
        <v>77</v>
      </c>
      <c r="B78" t="s">
        <v>192</v>
      </c>
      <c r="C78" t="s">
        <v>198</v>
      </c>
      <c r="D78">
        <v>2022</v>
      </c>
      <c r="E78" t="s">
        <v>53</v>
      </c>
      <c r="F78">
        <v>49.7</v>
      </c>
      <c r="G78" t="s">
        <v>348</v>
      </c>
      <c r="H78">
        <f>electric_vehicles_dataset[[#This Row],[Battery_Capacity_kWh]]/electric_vehicles_dataset[[#This Row],[Range_km]]</f>
        <v>0.18205128205128207</v>
      </c>
      <c r="I78">
        <v>273</v>
      </c>
      <c r="J78" t="s">
        <v>345</v>
      </c>
      <c r="K78">
        <v>5</v>
      </c>
      <c r="L78" s="1">
        <v>117553.5</v>
      </c>
      <c r="M78" s="1" t="str" cm="1">
        <f t="array" ref="M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8" t="s">
        <v>146</v>
      </c>
      <c r="O78" t="s">
        <v>199</v>
      </c>
      <c r="P78" s="2" t="s">
        <v>394</v>
      </c>
      <c r="Q78">
        <v>2</v>
      </c>
      <c r="R78" t="s">
        <v>391</v>
      </c>
      <c r="S78" s="1">
        <f>electric_vehicles_dataset[[#This Row],[Units_Sold_2024]]*electric_vehicles_dataset[[#This Row],[Price_USD]]</f>
        <v>258500146.5</v>
      </c>
      <c r="T78">
        <v>4</v>
      </c>
      <c r="U78">
        <v>2199</v>
      </c>
      <c r="V78">
        <v>3</v>
      </c>
    </row>
    <row r="79" spans="1:22" x14ac:dyDescent="0.35">
      <c r="A79">
        <v>78</v>
      </c>
      <c r="B79" t="s">
        <v>200</v>
      </c>
      <c r="C79" t="s">
        <v>201</v>
      </c>
      <c r="D79">
        <v>2021</v>
      </c>
      <c r="E79" t="s">
        <v>58</v>
      </c>
      <c r="F79">
        <v>116.8</v>
      </c>
      <c r="G79" t="s">
        <v>361</v>
      </c>
      <c r="H79">
        <f>electric_vehicles_dataset[[#This Row],[Battery_Capacity_kWh]]/electric_vehicles_dataset[[#This Row],[Range_km]]</f>
        <v>0.40275862068965518</v>
      </c>
      <c r="I79">
        <v>290</v>
      </c>
      <c r="J79" t="s">
        <v>18</v>
      </c>
      <c r="K79">
        <v>7</v>
      </c>
      <c r="L79" s="1">
        <v>100375.81</v>
      </c>
      <c r="M79" s="1" t="str" cm="1">
        <f t="array" ref="M7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9" t="s">
        <v>114</v>
      </c>
      <c r="O79" t="s">
        <v>354</v>
      </c>
      <c r="P79" s="2" t="s">
        <v>394</v>
      </c>
      <c r="Q79">
        <v>0</v>
      </c>
      <c r="R79" t="s">
        <v>390</v>
      </c>
      <c r="S79" s="1">
        <f>electric_vehicles_dataset[[#This Row],[Units_Sold_2024]]*electric_vehicles_dataset[[#This Row],[Price_USD]]</f>
        <v>169133239.84999999</v>
      </c>
      <c r="T79">
        <v>4</v>
      </c>
      <c r="U79">
        <v>1685</v>
      </c>
      <c r="V79">
        <v>4</v>
      </c>
    </row>
    <row r="80" spans="1:22" x14ac:dyDescent="0.35">
      <c r="A80">
        <v>79</v>
      </c>
      <c r="B80" t="s">
        <v>157</v>
      </c>
      <c r="C80" t="s">
        <v>158</v>
      </c>
      <c r="D80">
        <v>2020</v>
      </c>
      <c r="E80" t="s">
        <v>58</v>
      </c>
      <c r="F80">
        <v>95.1</v>
      </c>
      <c r="G80" t="s">
        <v>350</v>
      </c>
      <c r="H80">
        <f>electric_vehicles_dataset[[#This Row],[Battery_Capacity_kWh]]/electric_vehicles_dataset[[#This Row],[Range_km]]</f>
        <v>0.45721153846153845</v>
      </c>
      <c r="I80">
        <v>208</v>
      </c>
      <c r="J80" t="s">
        <v>18</v>
      </c>
      <c r="K80">
        <v>8</v>
      </c>
      <c r="L80" s="1">
        <v>56909.38</v>
      </c>
      <c r="M80" s="1" t="str" cm="1">
        <f t="array" ref="M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0" t="s">
        <v>175</v>
      </c>
      <c r="O80" t="s">
        <v>202</v>
      </c>
      <c r="P80" s="2" t="s">
        <v>393</v>
      </c>
      <c r="Q80">
        <v>2</v>
      </c>
      <c r="R80" t="s">
        <v>391</v>
      </c>
      <c r="S80" s="1">
        <f>electric_vehicles_dataset[[#This Row],[Units_Sold_2024]]*electric_vehicles_dataset[[#This Row],[Price_USD]]</f>
        <v>800202792.17999995</v>
      </c>
      <c r="T80">
        <v>3</v>
      </c>
      <c r="U80">
        <v>14061</v>
      </c>
      <c r="V80">
        <v>5</v>
      </c>
    </row>
    <row r="81" spans="1:22" x14ac:dyDescent="0.35">
      <c r="A81">
        <v>80</v>
      </c>
      <c r="B81" t="s">
        <v>193</v>
      </c>
      <c r="C81" t="s">
        <v>203</v>
      </c>
      <c r="D81">
        <v>2024</v>
      </c>
      <c r="E81" t="s">
        <v>73</v>
      </c>
      <c r="F81">
        <v>103.6</v>
      </c>
      <c r="G81" t="s">
        <v>361</v>
      </c>
      <c r="H81">
        <f>electric_vehicles_dataset[[#This Row],[Battery_Capacity_kWh]]/electric_vehicles_dataset[[#This Row],[Range_km]]</f>
        <v>0.91681415929203536</v>
      </c>
      <c r="I81">
        <v>113</v>
      </c>
      <c r="J81" t="s">
        <v>105</v>
      </c>
      <c r="K81">
        <v>1</v>
      </c>
      <c r="L81" s="1">
        <v>62792.45</v>
      </c>
      <c r="M81" s="1" t="str" cm="1">
        <f t="array" ref="M8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1" t="s">
        <v>62</v>
      </c>
      <c r="O81" t="s">
        <v>111</v>
      </c>
      <c r="P81" s="2" t="s">
        <v>389</v>
      </c>
      <c r="Q81">
        <v>2</v>
      </c>
      <c r="R81" t="s">
        <v>391</v>
      </c>
      <c r="S81" s="1">
        <f>electric_vehicles_dataset[[#This Row],[Units_Sold_2024]]*electric_vehicles_dataset[[#This Row],[Price_USD]]</f>
        <v>824590453.39999998</v>
      </c>
      <c r="T81">
        <v>5</v>
      </c>
      <c r="U81">
        <v>13132</v>
      </c>
      <c r="V81">
        <v>3</v>
      </c>
    </row>
    <row r="82" spans="1:22" x14ac:dyDescent="0.35">
      <c r="A82">
        <v>81</v>
      </c>
      <c r="B82" t="s">
        <v>153</v>
      </c>
      <c r="C82" t="s">
        <v>204</v>
      </c>
      <c r="D82">
        <v>2016</v>
      </c>
      <c r="E82" t="s">
        <v>17</v>
      </c>
      <c r="F82">
        <v>89</v>
      </c>
      <c r="G82" t="s">
        <v>350</v>
      </c>
      <c r="H82">
        <f>electric_vehicles_dataset[[#This Row],[Battery_Capacity_kWh]]/electric_vehicles_dataset[[#This Row],[Range_km]]</f>
        <v>0.3047945205479452</v>
      </c>
      <c r="I82">
        <v>292</v>
      </c>
      <c r="J82" t="s">
        <v>358</v>
      </c>
      <c r="K82">
        <v>6</v>
      </c>
      <c r="L82" s="1">
        <v>48889.11</v>
      </c>
      <c r="M82" s="1" t="str" cm="1">
        <f t="array" ref="M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2" t="s">
        <v>127</v>
      </c>
      <c r="O82" t="s">
        <v>89</v>
      </c>
      <c r="P82" s="2" t="s">
        <v>389</v>
      </c>
      <c r="Q82">
        <v>4</v>
      </c>
      <c r="R82" t="s">
        <v>392</v>
      </c>
      <c r="S82" s="1">
        <f>electric_vehicles_dataset[[#This Row],[Units_Sold_2024]]*electric_vehicles_dataset[[#This Row],[Price_USD]]</f>
        <v>252170029.38</v>
      </c>
      <c r="T82">
        <v>3</v>
      </c>
      <c r="U82">
        <v>5158</v>
      </c>
      <c r="V82">
        <v>5</v>
      </c>
    </row>
    <row r="83" spans="1:22" x14ac:dyDescent="0.35">
      <c r="A83">
        <v>82</v>
      </c>
      <c r="B83" t="s">
        <v>71</v>
      </c>
      <c r="C83" t="s">
        <v>72</v>
      </c>
      <c r="D83">
        <v>2016</v>
      </c>
      <c r="E83" t="s">
        <v>133</v>
      </c>
      <c r="F83">
        <v>77.599999999999994</v>
      </c>
      <c r="G83" t="s">
        <v>351</v>
      </c>
      <c r="H83">
        <f>electric_vehicles_dataset[[#This Row],[Battery_Capacity_kWh]]/electric_vehicles_dataset[[#This Row],[Range_km]]</f>
        <v>0.24479495268138798</v>
      </c>
      <c r="I83">
        <v>317</v>
      </c>
      <c r="J83" t="s">
        <v>356</v>
      </c>
      <c r="K83">
        <v>8</v>
      </c>
      <c r="L83" s="1">
        <v>79702.05</v>
      </c>
      <c r="M83" s="1" t="str" cm="1">
        <f t="array" ref="M8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3" t="s">
        <v>205</v>
      </c>
      <c r="O83" t="s">
        <v>206</v>
      </c>
      <c r="P83" s="2" t="s">
        <v>394</v>
      </c>
      <c r="Q83">
        <v>4</v>
      </c>
      <c r="R83" t="s">
        <v>392</v>
      </c>
      <c r="S83" s="1">
        <f>electric_vehicles_dataset[[#This Row],[Units_Sold_2024]]*electric_vehicles_dataset[[#This Row],[Price_USD]]</f>
        <v>1549009341.75</v>
      </c>
      <c r="T83">
        <v>5</v>
      </c>
      <c r="U83">
        <v>19435</v>
      </c>
      <c r="V83">
        <v>4</v>
      </c>
    </row>
    <row r="84" spans="1:22" x14ac:dyDescent="0.35">
      <c r="A84">
        <v>83</v>
      </c>
      <c r="B84" t="s">
        <v>207</v>
      </c>
      <c r="C84" t="s">
        <v>208</v>
      </c>
      <c r="D84">
        <v>2019</v>
      </c>
      <c r="E84" t="s">
        <v>84</v>
      </c>
      <c r="F84">
        <v>48.7</v>
      </c>
      <c r="G84" t="s">
        <v>348</v>
      </c>
      <c r="H84">
        <f>electric_vehicles_dataset[[#This Row],[Battery_Capacity_kWh]]/electric_vehicles_dataset[[#This Row],[Range_km]]</f>
        <v>0.11995073891625617</v>
      </c>
      <c r="I84">
        <v>406</v>
      </c>
      <c r="J84" t="s">
        <v>27</v>
      </c>
      <c r="K84">
        <v>1</v>
      </c>
      <c r="L84" s="1">
        <v>66170.320000000007</v>
      </c>
      <c r="M84" s="1" t="str" cm="1">
        <f t="array" ref="M8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4" t="s">
        <v>205</v>
      </c>
      <c r="O84" t="s">
        <v>150</v>
      </c>
      <c r="P84" s="2" t="s">
        <v>389</v>
      </c>
      <c r="Q84">
        <v>2</v>
      </c>
      <c r="R84" t="s">
        <v>391</v>
      </c>
      <c r="S84" s="1">
        <f>electric_vehicles_dataset[[#This Row],[Units_Sold_2024]]*electric_vehicles_dataset[[#This Row],[Price_USD]]</f>
        <v>933729385.5200001</v>
      </c>
      <c r="T84">
        <v>4</v>
      </c>
      <c r="U84">
        <v>14111</v>
      </c>
      <c r="V84">
        <v>3</v>
      </c>
    </row>
    <row r="85" spans="1:22" x14ac:dyDescent="0.35">
      <c r="A85">
        <v>84</v>
      </c>
      <c r="B85" t="s">
        <v>60</v>
      </c>
      <c r="C85" t="s">
        <v>209</v>
      </c>
      <c r="D85">
        <v>2023</v>
      </c>
      <c r="E85" t="s">
        <v>17</v>
      </c>
      <c r="F85">
        <v>49.9</v>
      </c>
      <c r="G85" t="s">
        <v>348</v>
      </c>
      <c r="H85">
        <f>electric_vehicles_dataset[[#This Row],[Battery_Capacity_kWh]]/electric_vehicles_dataset[[#This Row],[Range_km]]</f>
        <v>0.12927461139896373</v>
      </c>
      <c r="I85">
        <v>386</v>
      </c>
      <c r="J85" t="s">
        <v>149</v>
      </c>
      <c r="K85">
        <v>1</v>
      </c>
      <c r="L85" s="1">
        <v>133411.72</v>
      </c>
      <c r="M85" s="1" t="str" cm="1">
        <f t="array" ref="M8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5" t="s">
        <v>210</v>
      </c>
      <c r="O85" t="s">
        <v>199</v>
      </c>
      <c r="P85" s="2" t="s">
        <v>394</v>
      </c>
      <c r="Q85">
        <v>2</v>
      </c>
      <c r="R85" t="s">
        <v>391</v>
      </c>
      <c r="S85" s="1">
        <f>electric_vehicles_dataset[[#This Row],[Units_Sold_2024]]*electric_vehicles_dataset[[#This Row],[Price_USD]]</f>
        <v>1876569253.52</v>
      </c>
      <c r="T85">
        <v>5</v>
      </c>
      <c r="U85">
        <v>14066</v>
      </c>
      <c r="V85">
        <v>5</v>
      </c>
    </row>
    <row r="86" spans="1:22" x14ac:dyDescent="0.35">
      <c r="A86">
        <v>85</v>
      </c>
      <c r="B86" t="s">
        <v>36</v>
      </c>
      <c r="C86" t="s">
        <v>211</v>
      </c>
      <c r="D86">
        <v>2019</v>
      </c>
      <c r="E86" t="s">
        <v>58</v>
      </c>
      <c r="F86">
        <v>72.7</v>
      </c>
      <c r="G86" t="s">
        <v>351</v>
      </c>
      <c r="H86">
        <f>electric_vehicles_dataset[[#This Row],[Battery_Capacity_kWh]]/electric_vehicles_dataset[[#This Row],[Range_km]]</f>
        <v>0.1223905723905724</v>
      </c>
      <c r="I86">
        <v>594</v>
      </c>
      <c r="J86" t="s">
        <v>38</v>
      </c>
      <c r="K86">
        <v>3</v>
      </c>
      <c r="L86" s="1">
        <v>143713.72</v>
      </c>
      <c r="M86" s="1" t="str" cm="1">
        <f t="array" ref="M8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6" t="s">
        <v>32</v>
      </c>
      <c r="O86" t="s">
        <v>33</v>
      </c>
      <c r="P86" s="2" t="s">
        <v>393</v>
      </c>
      <c r="Q86">
        <v>2</v>
      </c>
      <c r="R86" t="s">
        <v>391</v>
      </c>
      <c r="S86" s="1">
        <f>electric_vehicles_dataset[[#This Row],[Units_Sold_2024]]*electric_vehicles_dataset[[#This Row],[Price_USD]]</f>
        <v>1885667720.1200001</v>
      </c>
      <c r="T86">
        <v>5</v>
      </c>
      <c r="U86">
        <v>13121</v>
      </c>
      <c r="V86">
        <v>5</v>
      </c>
    </row>
    <row r="87" spans="1:22" x14ac:dyDescent="0.35">
      <c r="A87">
        <v>86</v>
      </c>
      <c r="B87" t="s">
        <v>200</v>
      </c>
      <c r="C87" t="s">
        <v>368</v>
      </c>
      <c r="D87">
        <v>2019</v>
      </c>
      <c r="E87" t="s">
        <v>17</v>
      </c>
      <c r="F87">
        <v>64.099999999999994</v>
      </c>
      <c r="G87" t="s">
        <v>351</v>
      </c>
      <c r="H87">
        <f>electric_vehicles_dataset[[#This Row],[Battery_Capacity_kWh]]/electric_vehicles_dataset[[#This Row],[Range_km]]</f>
        <v>0.23740740740740737</v>
      </c>
      <c r="I87">
        <v>270</v>
      </c>
      <c r="J87" t="s">
        <v>85</v>
      </c>
      <c r="K87">
        <v>1</v>
      </c>
      <c r="L87" s="1">
        <v>105986.96</v>
      </c>
      <c r="M87" s="1" t="str" cm="1">
        <f t="array" ref="M8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7" t="s">
        <v>212</v>
      </c>
      <c r="O87" t="s">
        <v>206</v>
      </c>
      <c r="P87" s="2" t="s">
        <v>394</v>
      </c>
      <c r="Q87">
        <v>2</v>
      </c>
      <c r="R87" t="s">
        <v>391</v>
      </c>
      <c r="S87" s="1">
        <f>electric_vehicles_dataset[[#This Row],[Units_Sold_2024]]*electric_vehicles_dataset[[#This Row],[Price_USD]]</f>
        <v>512870899.44000006</v>
      </c>
      <c r="T87">
        <v>5</v>
      </c>
      <c r="U87">
        <v>4839</v>
      </c>
      <c r="V87">
        <v>3</v>
      </c>
    </row>
    <row r="88" spans="1:22" x14ac:dyDescent="0.35">
      <c r="A88">
        <v>87</v>
      </c>
      <c r="B88" t="s">
        <v>184</v>
      </c>
      <c r="C88" t="s">
        <v>213</v>
      </c>
      <c r="D88">
        <v>2019</v>
      </c>
      <c r="E88" t="s">
        <v>31</v>
      </c>
      <c r="F88">
        <v>42.6</v>
      </c>
      <c r="G88" t="s">
        <v>348</v>
      </c>
      <c r="H88">
        <f>electric_vehicles_dataset[[#This Row],[Battery_Capacity_kWh]]/electric_vehicles_dataset[[#This Row],[Range_km]]</f>
        <v>0.23932584269662921</v>
      </c>
      <c r="I88">
        <v>178</v>
      </c>
      <c r="J88" t="s">
        <v>364</v>
      </c>
      <c r="K88">
        <v>3</v>
      </c>
      <c r="L88" s="1">
        <v>122741.77</v>
      </c>
      <c r="M88" s="1" t="str" cm="1">
        <f t="array" ref="M8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8" t="s">
        <v>214</v>
      </c>
      <c r="O88" t="s">
        <v>40</v>
      </c>
      <c r="P88" s="2" t="s">
        <v>395</v>
      </c>
      <c r="Q88">
        <v>4</v>
      </c>
      <c r="R88" t="s">
        <v>392</v>
      </c>
      <c r="S88" s="1">
        <f>electric_vehicles_dataset[[#This Row],[Units_Sold_2024]]*electric_vehicles_dataset[[#This Row],[Price_USD]]</f>
        <v>1299835344.3</v>
      </c>
      <c r="T88">
        <v>5</v>
      </c>
      <c r="U88">
        <v>10590</v>
      </c>
      <c r="V88">
        <v>5</v>
      </c>
    </row>
    <row r="89" spans="1:22" x14ac:dyDescent="0.35">
      <c r="A89">
        <v>88</v>
      </c>
      <c r="B89" t="s">
        <v>56</v>
      </c>
      <c r="C89" t="s">
        <v>57</v>
      </c>
      <c r="D89">
        <v>2022</v>
      </c>
      <c r="E89" t="s">
        <v>58</v>
      </c>
      <c r="F89">
        <v>81</v>
      </c>
      <c r="G89" t="s">
        <v>350</v>
      </c>
      <c r="H89">
        <f>electric_vehicles_dataset[[#This Row],[Battery_Capacity_kWh]]/electric_vehicles_dataset[[#This Row],[Range_km]]</f>
        <v>0.19148936170212766</v>
      </c>
      <c r="I89">
        <v>423</v>
      </c>
      <c r="J89" t="s">
        <v>54</v>
      </c>
      <c r="K89">
        <v>10</v>
      </c>
      <c r="L89" s="1">
        <v>100970.37</v>
      </c>
      <c r="M89" s="1" t="str" cm="1">
        <f t="array" ref="M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9" t="s">
        <v>91</v>
      </c>
      <c r="O89" t="s">
        <v>206</v>
      </c>
      <c r="P89" s="2" t="s">
        <v>394</v>
      </c>
      <c r="Q89">
        <v>4</v>
      </c>
      <c r="R89" t="s">
        <v>392</v>
      </c>
      <c r="S89" s="1">
        <f>electric_vehicles_dataset[[#This Row],[Units_Sold_2024]]*electric_vehicles_dataset[[#This Row],[Price_USD]]</f>
        <v>1219924010.3399999</v>
      </c>
      <c r="T89">
        <v>4</v>
      </c>
      <c r="U89">
        <v>12082</v>
      </c>
      <c r="V89">
        <v>4</v>
      </c>
    </row>
    <row r="90" spans="1:22" x14ac:dyDescent="0.35">
      <c r="A90">
        <v>89</v>
      </c>
      <c r="B90" t="s">
        <v>29</v>
      </c>
      <c r="C90" t="s">
        <v>30</v>
      </c>
      <c r="D90">
        <v>2024</v>
      </c>
      <c r="E90" t="s">
        <v>90</v>
      </c>
      <c r="F90">
        <v>85.9</v>
      </c>
      <c r="G90" t="s">
        <v>350</v>
      </c>
      <c r="H90">
        <f>electric_vehicles_dataset[[#This Row],[Battery_Capacity_kWh]]/electric_vehicles_dataset[[#This Row],[Range_km]]</f>
        <v>0.25565476190476194</v>
      </c>
      <c r="I90">
        <v>336</v>
      </c>
      <c r="J90" t="s">
        <v>27</v>
      </c>
      <c r="K90">
        <v>6</v>
      </c>
      <c r="L90" s="1">
        <v>127177.91</v>
      </c>
      <c r="M90" s="1" t="str" cm="1">
        <f t="array" ref="M9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0" t="s">
        <v>39</v>
      </c>
      <c r="O90" t="s">
        <v>63</v>
      </c>
      <c r="P90" s="2" t="s">
        <v>389</v>
      </c>
      <c r="Q90">
        <v>3</v>
      </c>
      <c r="R90" t="s">
        <v>397</v>
      </c>
      <c r="S90" s="1">
        <f>electric_vehicles_dataset[[#This Row],[Units_Sold_2024]]*electric_vehicles_dataset[[#This Row],[Price_USD]]</f>
        <v>431260292.81</v>
      </c>
      <c r="T90">
        <v>4</v>
      </c>
      <c r="U90">
        <v>3391</v>
      </c>
      <c r="V90">
        <v>4</v>
      </c>
    </row>
    <row r="91" spans="1:22" x14ac:dyDescent="0.35">
      <c r="A91">
        <v>90</v>
      </c>
      <c r="B91" t="s">
        <v>215</v>
      </c>
      <c r="C91" t="s">
        <v>216</v>
      </c>
      <c r="D91">
        <v>2023</v>
      </c>
      <c r="E91" t="s">
        <v>73</v>
      </c>
      <c r="F91">
        <v>42.4</v>
      </c>
      <c r="G91" t="s">
        <v>348</v>
      </c>
      <c r="H91">
        <f>electric_vehicles_dataset[[#This Row],[Battery_Capacity_kWh]]/electric_vehicles_dataset[[#This Row],[Range_km]]</f>
        <v>0.18761061946902655</v>
      </c>
      <c r="I91">
        <v>226</v>
      </c>
      <c r="J91" t="s">
        <v>345</v>
      </c>
      <c r="K91">
        <v>12</v>
      </c>
      <c r="L91" s="1">
        <v>92888.23</v>
      </c>
      <c r="M91" s="1" t="str" cm="1">
        <f t="array" ref="M9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1" t="s">
        <v>217</v>
      </c>
      <c r="O91" t="s">
        <v>23</v>
      </c>
      <c r="P91" s="2" t="s">
        <v>389</v>
      </c>
      <c r="Q91">
        <v>2</v>
      </c>
      <c r="R91" t="s">
        <v>391</v>
      </c>
      <c r="S91" s="1">
        <f>electric_vehicles_dataset[[#This Row],[Units_Sold_2024]]*electric_vehicles_dataset[[#This Row],[Price_USD]]</f>
        <v>1819773313.9299998</v>
      </c>
      <c r="T91">
        <v>5</v>
      </c>
      <c r="U91">
        <v>19591</v>
      </c>
      <c r="V91">
        <v>3</v>
      </c>
    </row>
    <row r="92" spans="1:22" x14ac:dyDescent="0.35">
      <c r="A92">
        <v>91</v>
      </c>
      <c r="B92" t="s">
        <v>170</v>
      </c>
      <c r="C92" t="s">
        <v>218</v>
      </c>
      <c r="D92">
        <v>2016</v>
      </c>
      <c r="E92" t="s">
        <v>104</v>
      </c>
      <c r="F92">
        <v>32.299999999999997</v>
      </c>
      <c r="G92" t="s">
        <v>357</v>
      </c>
      <c r="H92">
        <f>electric_vehicles_dataset[[#This Row],[Battery_Capacity_kWh]]/electric_vehicles_dataset[[#This Row],[Range_km]]</f>
        <v>7.2259507829977629E-2</v>
      </c>
      <c r="I92">
        <v>447</v>
      </c>
      <c r="J92" t="s">
        <v>34</v>
      </c>
      <c r="K92">
        <v>4</v>
      </c>
      <c r="L92" s="1">
        <v>116848.04</v>
      </c>
      <c r="M92" s="1" t="str" cm="1">
        <f t="array" ref="M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2" t="s">
        <v>117</v>
      </c>
      <c r="O92" t="s">
        <v>139</v>
      </c>
      <c r="P92" s="2" t="s">
        <v>389</v>
      </c>
      <c r="Q92">
        <v>2</v>
      </c>
      <c r="R92" t="s">
        <v>391</v>
      </c>
      <c r="S92" s="1">
        <f>electric_vehicles_dataset[[#This Row],[Units_Sold_2024]]*electric_vehicles_dataset[[#This Row],[Price_USD]]</f>
        <v>1187760326.5999999</v>
      </c>
      <c r="T92">
        <v>4</v>
      </c>
      <c r="U92">
        <v>10165</v>
      </c>
      <c r="V92">
        <v>5</v>
      </c>
    </row>
    <row r="93" spans="1:22" x14ac:dyDescent="0.35">
      <c r="A93">
        <v>92</v>
      </c>
      <c r="B93" t="s">
        <v>136</v>
      </c>
      <c r="C93" t="s">
        <v>137</v>
      </c>
      <c r="D93">
        <v>2017</v>
      </c>
      <c r="E93" t="s">
        <v>90</v>
      </c>
      <c r="F93">
        <v>112.1</v>
      </c>
      <c r="G93" t="s">
        <v>361</v>
      </c>
      <c r="H93">
        <f>electric_vehicles_dataset[[#This Row],[Battery_Capacity_kWh]]/electric_vehicles_dataset[[#This Row],[Range_km]]</f>
        <v>0.78391608391608392</v>
      </c>
      <c r="I93">
        <v>143</v>
      </c>
      <c r="J93" t="s">
        <v>54</v>
      </c>
      <c r="K93">
        <v>7</v>
      </c>
      <c r="L93" s="1">
        <v>107219.19</v>
      </c>
      <c r="M93" s="1" t="str" cm="1">
        <f t="array" ref="M9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3" t="s">
        <v>219</v>
      </c>
      <c r="O93" t="s">
        <v>150</v>
      </c>
      <c r="P93" s="2" t="s">
        <v>389</v>
      </c>
      <c r="Q93">
        <v>5</v>
      </c>
      <c r="R93" t="s">
        <v>392</v>
      </c>
      <c r="S93" s="1">
        <f>electric_vehicles_dataset[[#This Row],[Units_Sold_2024]]*electric_vehicles_dataset[[#This Row],[Price_USD]]</f>
        <v>1487559042.0599999</v>
      </c>
      <c r="T93">
        <v>3</v>
      </c>
      <c r="U93">
        <v>13874</v>
      </c>
      <c r="V93">
        <v>5</v>
      </c>
    </row>
    <row r="94" spans="1:22" x14ac:dyDescent="0.35">
      <c r="A94">
        <v>93</v>
      </c>
      <c r="B94" t="s">
        <v>187</v>
      </c>
      <c r="C94" t="s">
        <v>188</v>
      </c>
      <c r="D94">
        <v>2020</v>
      </c>
      <c r="E94" t="s">
        <v>133</v>
      </c>
      <c r="F94">
        <v>43.4</v>
      </c>
      <c r="G94" t="s">
        <v>348</v>
      </c>
      <c r="H94">
        <f>electric_vehicles_dataset[[#This Row],[Battery_Capacity_kWh]]/electric_vehicles_dataset[[#This Row],[Range_km]]</f>
        <v>0.20765550239234448</v>
      </c>
      <c r="I94">
        <v>209</v>
      </c>
      <c r="J94" t="s">
        <v>38</v>
      </c>
      <c r="K94">
        <v>11</v>
      </c>
      <c r="L94" s="1">
        <v>88352.51</v>
      </c>
      <c r="M94" s="1" t="str" cm="1">
        <f t="array" ref="M9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4" t="s">
        <v>102</v>
      </c>
      <c r="O94" t="s">
        <v>150</v>
      </c>
      <c r="P94" s="2" t="s">
        <v>389</v>
      </c>
      <c r="Q94">
        <v>2</v>
      </c>
      <c r="R94" t="s">
        <v>391</v>
      </c>
      <c r="S94" s="1">
        <f>electric_vehicles_dataset[[#This Row],[Units_Sold_2024]]*electric_vehicles_dataset[[#This Row],[Price_USD]]</f>
        <v>1524345855.03</v>
      </c>
      <c r="T94">
        <v>5</v>
      </c>
      <c r="U94">
        <v>17253</v>
      </c>
      <c r="V94">
        <v>3</v>
      </c>
    </row>
    <row r="95" spans="1:22" x14ac:dyDescent="0.35">
      <c r="A95">
        <v>94</v>
      </c>
      <c r="B95" t="s">
        <v>68</v>
      </c>
      <c r="C95" t="s">
        <v>69</v>
      </c>
      <c r="D95">
        <v>2024</v>
      </c>
      <c r="E95" t="s">
        <v>101</v>
      </c>
      <c r="F95">
        <v>97.6</v>
      </c>
      <c r="G95" t="s">
        <v>350</v>
      </c>
      <c r="H95">
        <f>electric_vehicles_dataset[[#This Row],[Battery_Capacity_kWh]]/electric_vehicles_dataset[[#This Row],[Range_km]]</f>
        <v>0.54831460674157295</v>
      </c>
      <c r="I95">
        <v>178</v>
      </c>
      <c r="J95" t="s">
        <v>85</v>
      </c>
      <c r="K95">
        <v>3</v>
      </c>
      <c r="L95" s="1">
        <v>113141.48</v>
      </c>
      <c r="M95" s="1" t="str" cm="1">
        <f t="array" ref="M9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5" t="s">
        <v>217</v>
      </c>
      <c r="O95" t="s">
        <v>23</v>
      </c>
      <c r="P95" s="2" t="s">
        <v>389</v>
      </c>
      <c r="Q95">
        <v>0</v>
      </c>
      <c r="R95" t="s">
        <v>390</v>
      </c>
      <c r="S95" s="1">
        <f>electric_vehicles_dataset[[#This Row],[Units_Sold_2024]]*electric_vehicles_dataset[[#This Row],[Price_USD]]</f>
        <v>1646774241.3999999</v>
      </c>
      <c r="T95">
        <v>3</v>
      </c>
      <c r="U95">
        <v>14555</v>
      </c>
      <c r="V95">
        <v>5</v>
      </c>
    </row>
    <row r="96" spans="1:22" x14ac:dyDescent="0.35">
      <c r="A96">
        <v>95</v>
      </c>
      <c r="B96" t="s">
        <v>176</v>
      </c>
      <c r="C96" t="s">
        <v>365</v>
      </c>
      <c r="D96">
        <v>2018</v>
      </c>
      <c r="E96" t="s">
        <v>47</v>
      </c>
      <c r="F96">
        <v>51.1</v>
      </c>
      <c r="G96" t="s">
        <v>348</v>
      </c>
      <c r="H96">
        <f>electric_vehicles_dataset[[#This Row],[Battery_Capacity_kWh]]/electric_vehicles_dataset[[#This Row],[Range_km]]</f>
        <v>8.6026936026936035E-2</v>
      </c>
      <c r="I96">
        <v>594</v>
      </c>
      <c r="J96" t="s">
        <v>356</v>
      </c>
      <c r="K96">
        <v>11</v>
      </c>
      <c r="L96" s="1">
        <v>53281.94</v>
      </c>
      <c r="M96" s="1" t="str" cm="1">
        <f t="array" ref="M9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6" t="s">
        <v>106</v>
      </c>
      <c r="O96" t="s">
        <v>182</v>
      </c>
      <c r="P96" s="2" t="s">
        <v>394</v>
      </c>
      <c r="Q96">
        <v>3</v>
      </c>
      <c r="R96" t="s">
        <v>397</v>
      </c>
      <c r="S96" s="1">
        <f>electric_vehicles_dataset[[#This Row],[Units_Sold_2024]]*electric_vehicles_dataset[[#This Row],[Price_USD]]</f>
        <v>920871769.01999998</v>
      </c>
      <c r="T96">
        <v>5</v>
      </c>
      <c r="U96">
        <v>17283</v>
      </c>
      <c r="V96">
        <v>4</v>
      </c>
    </row>
    <row r="97" spans="1:22" x14ac:dyDescent="0.35">
      <c r="A97">
        <v>96</v>
      </c>
      <c r="B97" t="s">
        <v>220</v>
      </c>
      <c r="C97" t="s">
        <v>221</v>
      </c>
      <c r="D97">
        <v>2024</v>
      </c>
      <c r="E97" t="s">
        <v>101</v>
      </c>
      <c r="F97">
        <v>133.5</v>
      </c>
      <c r="G97" t="s">
        <v>352</v>
      </c>
      <c r="H97">
        <f>electric_vehicles_dataset[[#This Row],[Battery_Capacity_kWh]]/electric_vehicles_dataset[[#This Row],[Range_km]]</f>
        <v>1.0595238095238095</v>
      </c>
      <c r="I97">
        <v>126</v>
      </c>
      <c r="J97" t="s">
        <v>356</v>
      </c>
      <c r="K97">
        <v>11</v>
      </c>
      <c r="L97" s="1">
        <v>96544.89</v>
      </c>
      <c r="M97" s="1" t="str" cm="1">
        <f t="array" ref="M9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7" t="s">
        <v>175</v>
      </c>
      <c r="O97" t="s">
        <v>121</v>
      </c>
      <c r="P97" s="2" t="s">
        <v>398</v>
      </c>
      <c r="Q97">
        <v>2</v>
      </c>
      <c r="R97" t="s">
        <v>391</v>
      </c>
      <c r="S97" s="1">
        <f>electric_vehicles_dataset[[#This Row],[Units_Sold_2024]]*electric_vehicles_dataset[[#This Row],[Price_USD]]</f>
        <v>1623981594.6900001</v>
      </c>
      <c r="T97">
        <v>4</v>
      </c>
      <c r="U97">
        <v>16821</v>
      </c>
      <c r="V97">
        <v>3</v>
      </c>
    </row>
    <row r="98" spans="1:22" x14ac:dyDescent="0.35">
      <c r="A98">
        <v>97</v>
      </c>
      <c r="B98" t="s">
        <v>222</v>
      </c>
      <c r="C98" t="s">
        <v>223</v>
      </c>
      <c r="D98">
        <v>2018</v>
      </c>
      <c r="E98" t="s">
        <v>26</v>
      </c>
      <c r="F98">
        <v>78.599999999999994</v>
      </c>
      <c r="G98" t="s">
        <v>351</v>
      </c>
      <c r="H98">
        <f>electric_vehicles_dataset[[#This Row],[Battery_Capacity_kWh]]/electric_vehicles_dataset[[#This Row],[Range_km]]</f>
        <v>0.28273381294964028</v>
      </c>
      <c r="I98">
        <v>278</v>
      </c>
      <c r="J98" t="s">
        <v>76</v>
      </c>
      <c r="K98">
        <v>5</v>
      </c>
      <c r="L98" s="1">
        <v>77574.48</v>
      </c>
      <c r="M98" s="1" t="str" cm="1">
        <f t="array" ref="M9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8" t="s">
        <v>165</v>
      </c>
      <c r="O98" t="s">
        <v>78</v>
      </c>
      <c r="P98" s="2" t="s">
        <v>389</v>
      </c>
      <c r="Q98">
        <v>0</v>
      </c>
      <c r="R98" t="s">
        <v>390</v>
      </c>
      <c r="S98" s="1">
        <f>electric_vehicles_dataset[[#This Row],[Units_Sold_2024]]*electric_vehicles_dataset[[#This Row],[Price_USD]]</f>
        <v>251806762.07999998</v>
      </c>
      <c r="T98">
        <v>4</v>
      </c>
      <c r="U98">
        <v>3246</v>
      </c>
      <c r="V98">
        <v>5</v>
      </c>
    </row>
    <row r="99" spans="1:22" x14ac:dyDescent="0.35">
      <c r="A99">
        <v>98</v>
      </c>
      <c r="B99" t="s">
        <v>224</v>
      </c>
      <c r="C99" t="s">
        <v>225</v>
      </c>
      <c r="D99">
        <v>2017</v>
      </c>
      <c r="E99" t="s">
        <v>101</v>
      </c>
      <c r="F99">
        <v>25</v>
      </c>
      <c r="G99" t="s">
        <v>357</v>
      </c>
      <c r="H99">
        <f>electric_vehicles_dataset[[#This Row],[Battery_Capacity_kWh]]/electric_vehicles_dataset[[#This Row],[Range_km]]</f>
        <v>4.3936731107205626E-2</v>
      </c>
      <c r="I99">
        <v>569</v>
      </c>
      <c r="J99" t="s">
        <v>356</v>
      </c>
      <c r="K99">
        <v>9</v>
      </c>
      <c r="L99" s="1">
        <v>46655.12</v>
      </c>
      <c r="M99" s="1" t="str" cm="1">
        <f t="array" ref="M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9" t="s">
        <v>66</v>
      </c>
      <c r="O99" t="s">
        <v>226</v>
      </c>
      <c r="P99" s="2" t="s">
        <v>395</v>
      </c>
      <c r="Q99">
        <v>0</v>
      </c>
      <c r="R99" t="s">
        <v>390</v>
      </c>
      <c r="S99" s="1">
        <f>electric_vehicles_dataset[[#This Row],[Units_Sold_2024]]*electric_vehicles_dataset[[#This Row],[Price_USD]]</f>
        <v>329665077.92000002</v>
      </c>
      <c r="T99">
        <v>4</v>
      </c>
      <c r="U99">
        <v>7066</v>
      </c>
      <c r="V99">
        <v>3</v>
      </c>
    </row>
    <row r="100" spans="1:22" x14ac:dyDescent="0.35">
      <c r="A100">
        <v>99</v>
      </c>
      <c r="B100" t="s">
        <v>21</v>
      </c>
      <c r="C100" t="s">
        <v>363</v>
      </c>
      <c r="D100">
        <v>2016</v>
      </c>
      <c r="E100" t="s">
        <v>183</v>
      </c>
      <c r="F100">
        <v>57.5</v>
      </c>
      <c r="G100" t="s">
        <v>348</v>
      </c>
      <c r="H100">
        <f>electric_vehicles_dataset[[#This Row],[Battery_Capacity_kWh]]/electric_vehicles_dataset[[#This Row],[Range_km]]</f>
        <v>0.2263779527559055</v>
      </c>
      <c r="I100">
        <v>254</v>
      </c>
      <c r="J100" t="s">
        <v>48</v>
      </c>
      <c r="K100">
        <v>1</v>
      </c>
      <c r="L100" s="1">
        <v>80379.070000000007</v>
      </c>
      <c r="M100" s="1" t="str" cm="1">
        <f t="array" ref="M10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0" t="s">
        <v>81</v>
      </c>
      <c r="O100" t="s">
        <v>118</v>
      </c>
      <c r="P100" s="2" t="s">
        <v>389</v>
      </c>
      <c r="Q100">
        <v>0</v>
      </c>
      <c r="R100" t="s">
        <v>390</v>
      </c>
      <c r="S100" s="1">
        <f>electric_vehicles_dataset[[#This Row],[Units_Sold_2024]]*electric_vehicles_dataset[[#This Row],[Price_USD]]</f>
        <v>43243939.660000004</v>
      </c>
      <c r="T100">
        <v>5</v>
      </c>
      <c r="U100">
        <v>538</v>
      </c>
      <c r="V100">
        <v>5</v>
      </c>
    </row>
    <row r="101" spans="1:22" x14ac:dyDescent="0.35">
      <c r="A101">
        <v>100</v>
      </c>
      <c r="B101" t="s">
        <v>140</v>
      </c>
      <c r="C101" t="s">
        <v>227</v>
      </c>
      <c r="D101">
        <v>2017</v>
      </c>
      <c r="E101" t="s">
        <v>133</v>
      </c>
      <c r="F101">
        <v>75.8</v>
      </c>
      <c r="G101" t="s">
        <v>351</v>
      </c>
      <c r="H101">
        <f>electric_vehicles_dataset[[#This Row],[Battery_Capacity_kWh]]/electric_vehicles_dataset[[#This Row],[Range_km]]</f>
        <v>0.18309178743961352</v>
      </c>
      <c r="I101">
        <v>414</v>
      </c>
      <c r="J101" t="s">
        <v>149</v>
      </c>
      <c r="K101">
        <v>3</v>
      </c>
      <c r="L101" s="1">
        <v>79988.11</v>
      </c>
      <c r="M101" s="1" t="str" cm="1">
        <f t="array" ref="M10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1" t="s">
        <v>117</v>
      </c>
      <c r="O101" t="s">
        <v>20</v>
      </c>
      <c r="P101" s="2" t="s">
        <v>389</v>
      </c>
      <c r="Q101">
        <v>2</v>
      </c>
      <c r="R101" t="s">
        <v>391</v>
      </c>
      <c r="S101" s="1">
        <f>electric_vehicles_dataset[[#This Row],[Units_Sold_2024]]*electric_vehicles_dataset[[#This Row],[Price_USD]]</f>
        <v>1330442233.6300001</v>
      </c>
      <c r="T101">
        <v>5</v>
      </c>
      <c r="U101">
        <v>16633</v>
      </c>
      <c r="V101">
        <v>5</v>
      </c>
    </row>
    <row r="102" spans="1:22" x14ac:dyDescent="0.35">
      <c r="A102">
        <v>101</v>
      </c>
      <c r="B102" t="s">
        <v>144</v>
      </c>
      <c r="C102" t="s">
        <v>145</v>
      </c>
      <c r="D102">
        <v>2022</v>
      </c>
      <c r="E102" t="s">
        <v>84</v>
      </c>
      <c r="F102">
        <v>102.6</v>
      </c>
      <c r="G102" t="s">
        <v>361</v>
      </c>
      <c r="H102">
        <f>electric_vehicles_dataset[[#This Row],[Battery_Capacity_kWh]]/electric_vehicles_dataset[[#This Row],[Range_km]]</f>
        <v>0.35257731958762883</v>
      </c>
      <c r="I102">
        <v>291</v>
      </c>
      <c r="J102" t="s">
        <v>105</v>
      </c>
      <c r="K102">
        <v>9</v>
      </c>
      <c r="L102" s="1">
        <v>72851.27</v>
      </c>
      <c r="M102" s="1" t="str" cm="1">
        <f t="array" ref="M1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2" t="s">
        <v>228</v>
      </c>
      <c r="O102" t="s">
        <v>202</v>
      </c>
      <c r="P102" s="2" t="s">
        <v>393</v>
      </c>
      <c r="Q102">
        <v>5</v>
      </c>
      <c r="R102" t="s">
        <v>392</v>
      </c>
      <c r="S102" s="1">
        <f>electric_vehicles_dataset[[#This Row],[Units_Sold_2024]]*electric_vehicles_dataset[[#This Row],[Price_USD]]</f>
        <v>793714586.6500001</v>
      </c>
      <c r="T102">
        <v>5</v>
      </c>
      <c r="U102">
        <v>10895</v>
      </c>
      <c r="V102">
        <v>3</v>
      </c>
    </row>
    <row r="103" spans="1:22" x14ac:dyDescent="0.35">
      <c r="A103">
        <v>102</v>
      </c>
      <c r="B103" t="s">
        <v>108</v>
      </c>
      <c r="C103" t="s">
        <v>369</v>
      </c>
      <c r="D103">
        <v>2023</v>
      </c>
      <c r="E103" t="s">
        <v>104</v>
      </c>
      <c r="F103">
        <v>125.8</v>
      </c>
      <c r="G103" t="s">
        <v>352</v>
      </c>
      <c r="H103">
        <f>electric_vehicles_dataset[[#This Row],[Battery_Capacity_kWh]]/electric_vehicles_dataset[[#This Row],[Range_km]]</f>
        <v>0.66560846560846554</v>
      </c>
      <c r="I103">
        <v>189</v>
      </c>
      <c r="J103" t="s">
        <v>345</v>
      </c>
      <c r="K103">
        <v>12</v>
      </c>
      <c r="L103" s="1">
        <v>87423.74</v>
      </c>
      <c r="M103" s="1" t="str" cm="1">
        <f t="array" ref="M10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3" t="s">
        <v>229</v>
      </c>
      <c r="O103" t="s">
        <v>150</v>
      </c>
      <c r="P103" s="2" t="s">
        <v>389</v>
      </c>
      <c r="Q103">
        <v>5</v>
      </c>
      <c r="R103" t="s">
        <v>392</v>
      </c>
      <c r="S103" s="1">
        <f>electric_vehicles_dataset[[#This Row],[Units_Sold_2024]]*electric_vehicles_dataset[[#This Row],[Price_USD]]</f>
        <v>577433802.70000005</v>
      </c>
      <c r="T103">
        <v>4</v>
      </c>
      <c r="U103">
        <v>6605</v>
      </c>
      <c r="V103">
        <v>3</v>
      </c>
    </row>
    <row r="104" spans="1:22" x14ac:dyDescent="0.35">
      <c r="A104">
        <v>103</v>
      </c>
      <c r="B104" t="s">
        <v>170</v>
      </c>
      <c r="C104" t="s">
        <v>171</v>
      </c>
      <c r="D104">
        <v>2015</v>
      </c>
      <c r="E104" t="s">
        <v>104</v>
      </c>
      <c r="F104">
        <v>141.30000000000001</v>
      </c>
      <c r="G104" t="s">
        <v>386</v>
      </c>
      <c r="H104">
        <f>electric_vehicles_dataset[[#This Row],[Battery_Capacity_kWh]]/electric_vehicles_dataset[[#This Row],[Range_km]]</f>
        <v>0.38925619834710745</v>
      </c>
      <c r="I104">
        <v>363</v>
      </c>
      <c r="J104" t="s">
        <v>34</v>
      </c>
      <c r="K104">
        <v>12</v>
      </c>
      <c r="L104" s="1">
        <v>95163.68</v>
      </c>
      <c r="M104" s="1" t="str" cm="1">
        <f t="array" ref="M10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4" t="s">
        <v>189</v>
      </c>
      <c r="O104" t="s">
        <v>95</v>
      </c>
      <c r="P104" s="2" t="s">
        <v>394</v>
      </c>
      <c r="Q104">
        <v>1</v>
      </c>
      <c r="R104" t="s">
        <v>391</v>
      </c>
      <c r="S104" s="1">
        <f>electric_vehicles_dataset[[#This Row],[Units_Sold_2024]]*electric_vehicles_dataset[[#This Row],[Price_USD]]</f>
        <v>1035000183.6799999</v>
      </c>
      <c r="T104">
        <v>3</v>
      </c>
      <c r="U104">
        <v>10876</v>
      </c>
      <c r="V104">
        <v>4</v>
      </c>
    </row>
    <row r="105" spans="1:22" x14ac:dyDescent="0.35">
      <c r="A105">
        <v>104</v>
      </c>
      <c r="B105" t="s">
        <v>64</v>
      </c>
      <c r="C105" t="s">
        <v>65</v>
      </c>
      <c r="D105">
        <v>2021</v>
      </c>
      <c r="E105" t="s">
        <v>53</v>
      </c>
      <c r="F105">
        <v>72</v>
      </c>
      <c r="G105" t="s">
        <v>351</v>
      </c>
      <c r="H105">
        <f>electric_vehicles_dataset[[#This Row],[Battery_Capacity_kWh]]/electric_vehicles_dataset[[#This Row],[Range_km]]</f>
        <v>0.22153846153846155</v>
      </c>
      <c r="I105">
        <v>325</v>
      </c>
      <c r="J105" t="s">
        <v>34</v>
      </c>
      <c r="K105">
        <v>4</v>
      </c>
      <c r="L105" s="1">
        <v>52418.07</v>
      </c>
      <c r="M105" s="1" t="str" cm="1">
        <f t="array" ref="M1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5" t="s">
        <v>35</v>
      </c>
      <c r="O105" t="s">
        <v>230</v>
      </c>
      <c r="P105" s="2" t="s">
        <v>389</v>
      </c>
      <c r="Q105">
        <v>4</v>
      </c>
      <c r="R105" t="s">
        <v>392</v>
      </c>
      <c r="S105" s="1">
        <f>electric_vehicles_dataset[[#This Row],[Units_Sold_2024]]*electric_vehicles_dataset[[#This Row],[Price_USD]]</f>
        <v>729135353.70000005</v>
      </c>
      <c r="T105">
        <v>4</v>
      </c>
      <c r="U105">
        <v>13910</v>
      </c>
      <c r="V105">
        <v>3</v>
      </c>
    </row>
    <row r="106" spans="1:22" x14ac:dyDescent="0.35">
      <c r="A106">
        <v>105</v>
      </c>
      <c r="B106" t="s">
        <v>222</v>
      </c>
      <c r="C106" t="s">
        <v>231</v>
      </c>
      <c r="D106">
        <v>2023</v>
      </c>
      <c r="E106" t="s">
        <v>133</v>
      </c>
      <c r="F106">
        <v>61.8</v>
      </c>
      <c r="G106" t="s">
        <v>351</v>
      </c>
      <c r="H106">
        <f>electric_vehicles_dataset[[#This Row],[Battery_Capacity_kWh]]/electric_vehicles_dataset[[#This Row],[Range_km]]</f>
        <v>0.44142857142857139</v>
      </c>
      <c r="I106">
        <v>140</v>
      </c>
      <c r="J106" t="s">
        <v>38</v>
      </c>
      <c r="K106">
        <v>8</v>
      </c>
      <c r="L106" s="1">
        <v>66779.5</v>
      </c>
      <c r="M106" s="1" t="str" cm="1">
        <f t="array" ref="M10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6" t="s">
        <v>160</v>
      </c>
      <c r="O106" t="s">
        <v>199</v>
      </c>
      <c r="P106" s="2" t="s">
        <v>394</v>
      </c>
      <c r="Q106">
        <v>3</v>
      </c>
      <c r="R106" t="s">
        <v>397</v>
      </c>
      <c r="S106" s="1">
        <f>electric_vehicles_dataset[[#This Row],[Units_Sold_2024]]*electric_vehicles_dataset[[#This Row],[Price_USD]]</f>
        <v>771436784</v>
      </c>
      <c r="T106">
        <v>4</v>
      </c>
      <c r="U106">
        <v>11552</v>
      </c>
      <c r="V106">
        <v>5</v>
      </c>
    </row>
    <row r="107" spans="1:22" x14ac:dyDescent="0.35">
      <c r="A107">
        <v>106</v>
      </c>
      <c r="B107" t="s">
        <v>222</v>
      </c>
      <c r="C107" t="s">
        <v>232</v>
      </c>
      <c r="D107">
        <v>2025</v>
      </c>
      <c r="E107" t="s">
        <v>183</v>
      </c>
      <c r="F107">
        <v>143.19999999999999</v>
      </c>
      <c r="G107" t="s">
        <v>386</v>
      </c>
      <c r="H107">
        <f>electric_vehicles_dataset[[#This Row],[Battery_Capacity_kWh]]/electric_vehicles_dataset[[#This Row],[Range_km]]</f>
        <v>1.0376811594202897</v>
      </c>
      <c r="I107">
        <v>138</v>
      </c>
      <c r="J107" t="s">
        <v>34</v>
      </c>
      <c r="K107">
        <v>5</v>
      </c>
      <c r="L107" s="1">
        <v>126131.52</v>
      </c>
      <c r="M107" s="1" t="str" cm="1">
        <f t="array" ref="M10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7" t="s">
        <v>106</v>
      </c>
      <c r="O107" t="s">
        <v>23</v>
      </c>
      <c r="P107" s="2" t="s">
        <v>389</v>
      </c>
      <c r="Q107">
        <v>1</v>
      </c>
      <c r="R107" t="s">
        <v>391</v>
      </c>
      <c r="S107" s="1">
        <f>electric_vehicles_dataset[[#This Row],[Units_Sold_2024]]*electric_vehicles_dataset[[#This Row],[Price_USD]]</f>
        <v>143789932.80000001</v>
      </c>
      <c r="T107">
        <v>4</v>
      </c>
      <c r="U107">
        <v>1140</v>
      </c>
      <c r="V107">
        <v>3</v>
      </c>
    </row>
    <row r="108" spans="1:22" x14ac:dyDescent="0.35">
      <c r="A108">
        <v>107</v>
      </c>
      <c r="B108" t="s">
        <v>29</v>
      </c>
      <c r="C108" t="s">
        <v>197</v>
      </c>
      <c r="D108">
        <v>2025</v>
      </c>
      <c r="E108" t="s">
        <v>104</v>
      </c>
      <c r="F108">
        <v>67.099999999999994</v>
      </c>
      <c r="G108" t="s">
        <v>351</v>
      </c>
      <c r="H108">
        <f>electric_vehicles_dataset[[#This Row],[Battery_Capacity_kWh]]/electric_vehicles_dataset[[#This Row],[Range_km]]</f>
        <v>0.1145051194539249</v>
      </c>
      <c r="I108">
        <v>586</v>
      </c>
      <c r="J108" t="s">
        <v>27</v>
      </c>
      <c r="K108">
        <v>8</v>
      </c>
      <c r="L108" s="1">
        <v>111487.45</v>
      </c>
      <c r="M108" s="1" t="str" cm="1">
        <f t="array" ref="M1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8" t="s">
        <v>165</v>
      </c>
      <c r="O108" t="s">
        <v>33</v>
      </c>
      <c r="P108" s="2" t="s">
        <v>393</v>
      </c>
      <c r="Q108">
        <v>0</v>
      </c>
      <c r="R108" t="s">
        <v>390</v>
      </c>
      <c r="S108" s="1">
        <f>electric_vehicles_dataset[[#This Row],[Units_Sold_2024]]*electric_vehicles_dataset[[#This Row],[Price_USD]]</f>
        <v>1148432222.45</v>
      </c>
      <c r="T108">
        <v>4</v>
      </c>
      <c r="U108">
        <v>10301</v>
      </c>
      <c r="V108">
        <v>5</v>
      </c>
    </row>
    <row r="109" spans="1:22" x14ac:dyDescent="0.35">
      <c r="A109">
        <v>108</v>
      </c>
      <c r="B109" t="s">
        <v>122</v>
      </c>
      <c r="C109" t="s">
        <v>186</v>
      </c>
      <c r="D109">
        <v>2016</v>
      </c>
      <c r="E109" t="s">
        <v>84</v>
      </c>
      <c r="F109">
        <v>115.6</v>
      </c>
      <c r="G109" t="s">
        <v>361</v>
      </c>
      <c r="H109">
        <f>electric_vehicles_dataset[[#This Row],[Battery_Capacity_kWh]]/electric_vehicles_dataset[[#This Row],[Range_km]]</f>
        <v>0.32563380281690141</v>
      </c>
      <c r="I109">
        <v>355</v>
      </c>
      <c r="J109" t="s">
        <v>34</v>
      </c>
      <c r="K109">
        <v>11</v>
      </c>
      <c r="L109" s="1">
        <v>44131.32</v>
      </c>
      <c r="M109" s="1" t="str" cm="1">
        <f t="array" ref="M10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9" t="s">
        <v>168</v>
      </c>
      <c r="O109" t="s">
        <v>161</v>
      </c>
      <c r="P109" s="2" t="s">
        <v>389</v>
      </c>
      <c r="Q109">
        <v>1</v>
      </c>
      <c r="R109" t="s">
        <v>391</v>
      </c>
      <c r="S109" s="1">
        <f>electric_vehicles_dataset[[#This Row],[Units_Sold_2024]]*electric_vehicles_dataset[[#This Row],[Price_USD]]</f>
        <v>289457327.88</v>
      </c>
      <c r="T109">
        <v>4</v>
      </c>
      <c r="U109">
        <v>6559</v>
      </c>
      <c r="V109">
        <v>3</v>
      </c>
    </row>
    <row r="110" spans="1:22" x14ac:dyDescent="0.35">
      <c r="A110">
        <v>109</v>
      </c>
      <c r="B110" t="s">
        <v>60</v>
      </c>
      <c r="C110" t="s">
        <v>233</v>
      </c>
      <c r="D110">
        <v>2016</v>
      </c>
      <c r="E110" t="s">
        <v>130</v>
      </c>
      <c r="F110">
        <v>42.4</v>
      </c>
      <c r="G110" t="s">
        <v>348</v>
      </c>
      <c r="H110">
        <f>electric_vehicles_dataset[[#This Row],[Battery_Capacity_kWh]]/electric_vehicles_dataset[[#This Row],[Range_km]]</f>
        <v>9.1182795698924735E-2</v>
      </c>
      <c r="I110">
        <v>465</v>
      </c>
      <c r="J110" t="s">
        <v>345</v>
      </c>
      <c r="K110">
        <v>12</v>
      </c>
      <c r="L110" s="1">
        <v>127261.59</v>
      </c>
      <c r="M110" s="1" t="str" cm="1">
        <f t="array" ref="M11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0" t="s">
        <v>77</v>
      </c>
      <c r="O110" t="s">
        <v>89</v>
      </c>
      <c r="P110" s="2" t="s">
        <v>389</v>
      </c>
      <c r="Q110">
        <v>5</v>
      </c>
      <c r="R110" t="s">
        <v>392</v>
      </c>
      <c r="S110" s="1">
        <f>electric_vehicles_dataset[[#This Row],[Units_Sold_2024]]*electric_vehicles_dataset[[#This Row],[Price_USD]]</f>
        <v>656797065.99000001</v>
      </c>
      <c r="T110">
        <v>4</v>
      </c>
      <c r="U110">
        <v>5161</v>
      </c>
      <c r="V110">
        <v>5</v>
      </c>
    </row>
    <row r="111" spans="1:22" x14ac:dyDescent="0.35">
      <c r="A111">
        <v>110</v>
      </c>
      <c r="B111" t="s">
        <v>215</v>
      </c>
      <c r="C111" t="s">
        <v>216</v>
      </c>
      <c r="D111">
        <v>2020</v>
      </c>
      <c r="E111" t="s">
        <v>47</v>
      </c>
      <c r="F111">
        <v>49.2</v>
      </c>
      <c r="G111" t="s">
        <v>348</v>
      </c>
      <c r="H111">
        <f>electric_vehicles_dataset[[#This Row],[Battery_Capacity_kWh]]/electric_vehicles_dataset[[#This Row],[Range_km]]</f>
        <v>0.24356435643564359</v>
      </c>
      <c r="I111">
        <v>202</v>
      </c>
      <c r="J111" t="s">
        <v>18</v>
      </c>
      <c r="K111">
        <v>3</v>
      </c>
      <c r="L111" s="1">
        <v>89282.63</v>
      </c>
      <c r="M111" s="1" t="str" cm="1">
        <f t="array" ref="M1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1" t="s">
        <v>165</v>
      </c>
      <c r="O111" t="s">
        <v>354</v>
      </c>
      <c r="P111" s="2" t="s">
        <v>394</v>
      </c>
      <c r="Q111">
        <v>3</v>
      </c>
      <c r="R111" t="s">
        <v>397</v>
      </c>
      <c r="S111" s="1">
        <f>electric_vehicles_dataset[[#This Row],[Units_Sold_2024]]*electric_vehicles_dataset[[#This Row],[Price_USD]]</f>
        <v>252223429.75</v>
      </c>
      <c r="T111">
        <v>5</v>
      </c>
      <c r="U111">
        <v>2825</v>
      </c>
      <c r="V111">
        <v>3</v>
      </c>
    </row>
    <row r="112" spans="1:22" x14ac:dyDescent="0.35">
      <c r="A112">
        <v>111</v>
      </c>
      <c r="B112" t="s">
        <v>234</v>
      </c>
      <c r="C112" t="s">
        <v>235</v>
      </c>
      <c r="D112">
        <v>2022</v>
      </c>
      <c r="E112" t="s">
        <v>47</v>
      </c>
      <c r="F112">
        <v>73.400000000000006</v>
      </c>
      <c r="G112" t="s">
        <v>351</v>
      </c>
      <c r="H112">
        <f>electric_vehicles_dataset[[#This Row],[Battery_Capacity_kWh]]/electric_vehicles_dataset[[#This Row],[Range_km]]</f>
        <v>0.23754045307443367</v>
      </c>
      <c r="I112">
        <v>309</v>
      </c>
      <c r="J112" t="s">
        <v>364</v>
      </c>
      <c r="K112">
        <v>2</v>
      </c>
      <c r="L112" s="1">
        <v>68043.320000000007</v>
      </c>
      <c r="M112" s="1" t="str" cm="1">
        <f t="array" ref="M11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2" t="s">
        <v>228</v>
      </c>
      <c r="O112" t="s">
        <v>236</v>
      </c>
      <c r="P112" s="2" t="s">
        <v>394</v>
      </c>
      <c r="Q112">
        <v>4</v>
      </c>
      <c r="R112" t="s">
        <v>392</v>
      </c>
      <c r="S112" s="1">
        <f>electric_vehicles_dataset[[#This Row],[Units_Sold_2024]]*electric_vehicles_dataset[[#This Row],[Price_USD]]</f>
        <v>1310514343.2</v>
      </c>
      <c r="T112">
        <v>5</v>
      </c>
      <c r="U112">
        <v>19260</v>
      </c>
      <c r="V112">
        <v>3</v>
      </c>
    </row>
    <row r="113" spans="1:22" x14ac:dyDescent="0.35">
      <c r="A113">
        <v>112</v>
      </c>
      <c r="B113" t="s">
        <v>193</v>
      </c>
      <c r="C113" t="s">
        <v>194</v>
      </c>
      <c r="D113">
        <v>2021</v>
      </c>
      <c r="E113" t="s">
        <v>47</v>
      </c>
      <c r="F113">
        <v>138.4</v>
      </c>
      <c r="G113" t="s">
        <v>352</v>
      </c>
      <c r="H113">
        <f>electric_vehicles_dataset[[#This Row],[Battery_Capacity_kWh]]/electric_vehicles_dataset[[#This Row],[Range_km]]</f>
        <v>1.08125</v>
      </c>
      <c r="I113">
        <v>128</v>
      </c>
      <c r="J113" t="s">
        <v>48</v>
      </c>
      <c r="K113">
        <v>7</v>
      </c>
      <c r="L113" s="1">
        <v>66494.95</v>
      </c>
      <c r="M113" s="1" t="str" cm="1">
        <f t="array" ref="M1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3" t="s">
        <v>177</v>
      </c>
      <c r="O113" t="s">
        <v>89</v>
      </c>
      <c r="P113" s="2" t="s">
        <v>389</v>
      </c>
      <c r="Q113">
        <v>1</v>
      </c>
      <c r="R113" t="s">
        <v>391</v>
      </c>
      <c r="S113" s="1">
        <f>electric_vehicles_dataset[[#This Row],[Units_Sold_2024]]*electric_vehicles_dataset[[#This Row],[Price_USD]]</f>
        <v>171822950.79999998</v>
      </c>
      <c r="T113">
        <v>4</v>
      </c>
      <c r="U113">
        <v>2584</v>
      </c>
      <c r="V113">
        <v>4</v>
      </c>
    </row>
    <row r="114" spans="1:22" x14ac:dyDescent="0.35">
      <c r="A114">
        <v>113</v>
      </c>
      <c r="B114" t="s">
        <v>112</v>
      </c>
      <c r="C114" t="s">
        <v>237</v>
      </c>
      <c r="D114">
        <v>2023</v>
      </c>
      <c r="E114" t="s">
        <v>133</v>
      </c>
      <c r="F114">
        <v>36.299999999999997</v>
      </c>
      <c r="G114" t="s">
        <v>357</v>
      </c>
      <c r="H114">
        <f>electric_vehicles_dataset[[#This Row],[Battery_Capacity_kWh]]/electric_vehicles_dataset[[#This Row],[Range_km]]</f>
        <v>0.14235294117647057</v>
      </c>
      <c r="I114">
        <v>255</v>
      </c>
      <c r="J114" t="s">
        <v>364</v>
      </c>
      <c r="K114">
        <v>6</v>
      </c>
      <c r="L114" s="1">
        <v>50236.31</v>
      </c>
      <c r="M114" s="1" t="str" cm="1">
        <f t="array" ref="M11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4" t="s">
        <v>98</v>
      </c>
      <c r="O114" t="s">
        <v>44</v>
      </c>
      <c r="P114" s="2" t="s">
        <v>389</v>
      </c>
      <c r="Q114">
        <v>4</v>
      </c>
      <c r="R114" t="s">
        <v>392</v>
      </c>
      <c r="S114" s="1">
        <f>electric_vehicles_dataset[[#This Row],[Units_Sold_2024]]*electric_vehicles_dataset[[#This Row],[Price_USD]]</f>
        <v>67768782.189999998</v>
      </c>
      <c r="T114">
        <v>5</v>
      </c>
      <c r="U114">
        <v>1349</v>
      </c>
      <c r="V114">
        <v>3</v>
      </c>
    </row>
    <row r="115" spans="1:22" x14ac:dyDescent="0.35">
      <c r="A115">
        <v>114</v>
      </c>
      <c r="B115" t="s">
        <v>200</v>
      </c>
      <c r="C115" t="s">
        <v>201</v>
      </c>
      <c r="D115">
        <v>2025</v>
      </c>
      <c r="E115" t="s">
        <v>183</v>
      </c>
      <c r="F115">
        <v>95</v>
      </c>
      <c r="G115" t="s">
        <v>350</v>
      </c>
      <c r="H115">
        <f>electric_vehicles_dataset[[#This Row],[Battery_Capacity_kWh]]/electric_vehicles_dataset[[#This Row],[Range_km]]</f>
        <v>0.21939953810623555</v>
      </c>
      <c r="I115">
        <v>433</v>
      </c>
      <c r="J115" t="s">
        <v>359</v>
      </c>
      <c r="K115">
        <v>9</v>
      </c>
      <c r="L115" s="1">
        <v>79990.41</v>
      </c>
      <c r="M115" s="1" t="str" cm="1">
        <f t="array" ref="M11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5" t="s">
        <v>238</v>
      </c>
      <c r="O115" t="s">
        <v>135</v>
      </c>
      <c r="P115" s="2" t="s">
        <v>389</v>
      </c>
      <c r="Q115">
        <v>5</v>
      </c>
      <c r="R115" t="s">
        <v>392</v>
      </c>
      <c r="S115" s="1">
        <f>electric_vehicles_dataset[[#This Row],[Units_Sold_2024]]*electric_vehicles_dataset[[#This Row],[Price_USD]]</f>
        <v>1265848238.25</v>
      </c>
      <c r="T115">
        <v>4</v>
      </c>
      <c r="U115">
        <v>15825</v>
      </c>
      <c r="V115">
        <v>3</v>
      </c>
    </row>
    <row r="116" spans="1:22" x14ac:dyDescent="0.35">
      <c r="A116">
        <v>115</v>
      </c>
      <c r="B116" t="s">
        <v>74</v>
      </c>
      <c r="C116" t="s">
        <v>75</v>
      </c>
      <c r="D116">
        <v>2019</v>
      </c>
      <c r="E116" t="s">
        <v>130</v>
      </c>
      <c r="F116">
        <v>29.5</v>
      </c>
      <c r="G116" t="s">
        <v>357</v>
      </c>
      <c r="H116">
        <f>electric_vehicles_dataset[[#This Row],[Battery_Capacity_kWh]]/electric_vehicles_dataset[[#This Row],[Range_km]]</f>
        <v>0.22692307692307692</v>
      </c>
      <c r="I116">
        <v>130</v>
      </c>
      <c r="J116" t="s">
        <v>85</v>
      </c>
      <c r="K116">
        <v>6</v>
      </c>
      <c r="L116" s="1">
        <v>88110.14</v>
      </c>
      <c r="M116" s="1" t="str" cm="1">
        <f t="array" ref="M11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6" t="s">
        <v>205</v>
      </c>
      <c r="O116" t="s">
        <v>50</v>
      </c>
      <c r="P116" s="2" t="s">
        <v>396</v>
      </c>
      <c r="Q116">
        <v>2</v>
      </c>
      <c r="R116" t="s">
        <v>391</v>
      </c>
      <c r="S116" s="1">
        <f>electric_vehicles_dataset[[#This Row],[Units_Sold_2024]]*electric_vehicles_dataset[[#This Row],[Price_USD]]</f>
        <v>1151158979.0999999</v>
      </c>
      <c r="T116">
        <v>4</v>
      </c>
      <c r="U116">
        <v>13065</v>
      </c>
      <c r="V116">
        <v>3</v>
      </c>
    </row>
    <row r="117" spans="1:22" x14ac:dyDescent="0.35">
      <c r="A117">
        <v>116</v>
      </c>
      <c r="B117" t="s">
        <v>51</v>
      </c>
      <c r="C117" t="s">
        <v>239</v>
      </c>
      <c r="D117">
        <v>2023</v>
      </c>
      <c r="E117" t="s">
        <v>47</v>
      </c>
      <c r="F117">
        <v>33.799999999999997</v>
      </c>
      <c r="G117" t="s">
        <v>357</v>
      </c>
      <c r="H117">
        <f>electric_vehicles_dataset[[#This Row],[Battery_Capacity_kWh]]/electric_vehicles_dataset[[#This Row],[Range_km]]</f>
        <v>0.15156950672645739</v>
      </c>
      <c r="I117">
        <v>223</v>
      </c>
      <c r="J117" t="s">
        <v>345</v>
      </c>
      <c r="K117">
        <v>2</v>
      </c>
      <c r="L117" s="1">
        <v>83951.52</v>
      </c>
      <c r="M117" s="1" t="str" cm="1">
        <f t="array" ref="M1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7" t="s">
        <v>240</v>
      </c>
      <c r="O117" t="s">
        <v>93</v>
      </c>
      <c r="P117" s="2" t="s">
        <v>389</v>
      </c>
      <c r="Q117">
        <v>2</v>
      </c>
      <c r="R117" t="s">
        <v>391</v>
      </c>
      <c r="S117" s="1">
        <f>electric_vehicles_dataset[[#This Row],[Units_Sold_2024]]*electric_vehicles_dataset[[#This Row],[Price_USD]]</f>
        <v>682945615.20000005</v>
      </c>
      <c r="T117">
        <v>4</v>
      </c>
      <c r="U117">
        <v>8135</v>
      </c>
      <c r="V117">
        <v>3</v>
      </c>
    </row>
    <row r="118" spans="1:22" x14ac:dyDescent="0.35">
      <c r="A118">
        <v>117</v>
      </c>
      <c r="B118" t="s">
        <v>241</v>
      </c>
      <c r="C118" t="s">
        <v>242</v>
      </c>
      <c r="D118">
        <v>2024</v>
      </c>
      <c r="E118" t="s">
        <v>17</v>
      </c>
      <c r="F118">
        <v>60.7</v>
      </c>
      <c r="G118" t="s">
        <v>351</v>
      </c>
      <c r="H118">
        <f>electric_vehicles_dataset[[#This Row],[Battery_Capacity_kWh]]/electric_vehicles_dataset[[#This Row],[Range_km]]</f>
        <v>0.12387755102040816</v>
      </c>
      <c r="I118">
        <v>490</v>
      </c>
      <c r="J118" t="s">
        <v>85</v>
      </c>
      <c r="K118">
        <v>6</v>
      </c>
      <c r="L118" s="1">
        <v>91766.98</v>
      </c>
      <c r="M118" s="1" t="str" cm="1">
        <f t="array" ref="M11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8" t="s">
        <v>214</v>
      </c>
      <c r="O118" t="s">
        <v>111</v>
      </c>
      <c r="P118" s="2" t="s">
        <v>389</v>
      </c>
      <c r="Q118">
        <v>0</v>
      </c>
      <c r="R118" t="s">
        <v>390</v>
      </c>
      <c r="S118" s="1">
        <f>electric_vehicles_dataset[[#This Row],[Units_Sold_2024]]*electric_vehicles_dataset[[#This Row],[Price_USD]]</f>
        <v>646865442.01999998</v>
      </c>
      <c r="T118">
        <v>3</v>
      </c>
      <c r="U118">
        <v>7049</v>
      </c>
      <c r="V118">
        <v>5</v>
      </c>
    </row>
    <row r="119" spans="1:22" x14ac:dyDescent="0.35">
      <c r="A119">
        <v>118</v>
      </c>
      <c r="B119" t="s">
        <v>243</v>
      </c>
      <c r="C119" t="s">
        <v>244</v>
      </c>
      <c r="D119">
        <v>2015</v>
      </c>
      <c r="E119" t="s">
        <v>133</v>
      </c>
      <c r="F119">
        <v>84.3</v>
      </c>
      <c r="G119" t="s">
        <v>350</v>
      </c>
      <c r="H119">
        <f>electric_vehicles_dataset[[#This Row],[Battery_Capacity_kWh]]/electric_vehicles_dataset[[#This Row],[Range_km]]</f>
        <v>0.152994555353902</v>
      </c>
      <c r="I119">
        <v>551</v>
      </c>
      <c r="J119" t="s">
        <v>356</v>
      </c>
      <c r="K119">
        <v>4</v>
      </c>
      <c r="L119" s="1">
        <v>30981.29</v>
      </c>
      <c r="M119" s="1" t="str" cm="1">
        <f t="array" ref="M1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9" t="s">
        <v>175</v>
      </c>
      <c r="O119" t="s">
        <v>199</v>
      </c>
      <c r="P119" s="2" t="s">
        <v>394</v>
      </c>
      <c r="Q119">
        <v>0</v>
      </c>
      <c r="R119" t="s">
        <v>390</v>
      </c>
      <c r="S119" s="1">
        <f>electric_vehicles_dataset[[#This Row],[Units_Sold_2024]]*electric_vehicles_dataset[[#This Row],[Price_USD]]</f>
        <v>371496648.38999999</v>
      </c>
      <c r="T119">
        <v>4</v>
      </c>
      <c r="U119">
        <v>11991</v>
      </c>
      <c r="V119">
        <v>3</v>
      </c>
    </row>
    <row r="120" spans="1:22" x14ac:dyDescent="0.35">
      <c r="A120">
        <v>119</v>
      </c>
      <c r="B120" t="s">
        <v>36</v>
      </c>
      <c r="C120" t="s">
        <v>245</v>
      </c>
      <c r="D120">
        <v>2024</v>
      </c>
      <c r="E120" t="s">
        <v>47</v>
      </c>
      <c r="F120">
        <v>45.3</v>
      </c>
      <c r="G120" t="s">
        <v>348</v>
      </c>
      <c r="H120">
        <f>electric_vehicles_dataset[[#This Row],[Battery_Capacity_kWh]]/electric_vehicles_dataset[[#This Row],[Range_km]]</f>
        <v>0.11827676240208876</v>
      </c>
      <c r="I120">
        <v>383</v>
      </c>
      <c r="J120" t="s">
        <v>54</v>
      </c>
      <c r="K120">
        <v>1</v>
      </c>
      <c r="L120" s="1">
        <v>90510.66</v>
      </c>
      <c r="M120" s="1" t="str" cm="1">
        <f t="array" ref="M12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0" t="s">
        <v>62</v>
      </c>
      <c r="O120" t="s">
        <v>354</v>
      </c>
      <c r="P120" s="2" t="s">
        <v>394</v>
      </c>
      <c r="Q120">
        <v>4</v>
      </c>
      <c r="R120" t="s">
        <v>392</v>
      </c>
      <c r="S120" s="1">
        <f>electric_vehicles_dataset[[#This Row],[Units_Sold_2024]]*electric_vehicles_dataset[[#This Row],[Price_USD]]</f>
        <v>1168221088.6200001</v>
      </c>
      <c r="T120">
        <v>3</v>
      </c>
      <c r="U120">
        <v>12907</v>
      </c>
      <c r="V120">
        <v>4</v>
      </c>
    </row>
    <row r="121" spans="1:22" x14ac:dyDescent="0.35">
      <c r="A121">
        <v>120</v>
      </c>
      <c r="B121" t="s">
        <v>170</v>
      </c>
      <c r="C121" t="s">
        <v>218</v>
      </c>
      <c r="D121">
        <v>2023</v>
      </c>
      <c r="E121" t="s">
        <v>104</v>
      </c>
      <c r="F121">
        <v>118.1</v>
      </c>
      <c r="G121" t="s">
        <v>361</v>
      </c>
      <c r="H121">
        <f>electric_vehicles_dataset[[#This Row],[Battery_Capacity_kWh]]/electric_vehicles_dataset[[#This Row],[Range_km]]</f>
        <v>0.58756218905472635</v>
      </c>
      <c r="I121">
        <v>201</v>
      </c>
      <c r="J121" t="s">
        <v>34</v>
      </c>
      <c r="K121">
        <v>6</v>
      </c>
      <c r="L121" s="1">
        <v>35436.400000000001</v>
      </c>
      <c r="M121" s="1" t="str" cm="1">
        <f t="array" ref="M12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1" t="s">
        <v>131</v>
      </c>
      <c r="O121" t="s">
        <v>50</v>
      </c>
      <c r="P121" s="2" t="s">
        <v>396</v>
      </c>
      <c r="Q121">
        <v>4</v>
      </c>
      <c r="R121" t="s">
        <v>392</v>
      </c>
      <c r="S121" s="1">
        <f>electric_vehicles_dataset[[#This Row],[Units_Sold_2024]]*electric_vehicles_dataset[[#This Row],[Price_USD]]</f>
        <v>162298712</v>
      </c>
      <c r="T121">
        <v>5</v>
      </c>
      <c r="U121">
        <v>4580</v>
      </c>
      <c r="V121">
        <v>4</v>
      </c>
    </row>
    <row r="122" spans="1:22" x14ac:dyDescent="0.35">
      <c r="A122">
        <v>121</v>
      </c>
      <c r="B122" t="s">
        <v>155</v>
      </c>
      <c r="C122" t="s">
        <v>190</v>
      </c>
      <c r="D122">
        <v>2017</v>
      </c>
      <c r="E122" t="s">
        <v>42</v>
      </c>
      <c r="F122">
        <v>148.80000000000001</v>
      </c>
      <c r="G122" t="s">
        <v>386</v>
      </c>
      <c r="H122">
        <f>electric_vehicles_dataset[[#This Row],[Battery_Capacity_kWh]]/electric_vehicles_dataset[[#This Row],[Range_km]]</f>
        <v>0.31129707112970711</v>
      </c>
      <c r="I122">
        <v>478</v>
      </c>
      <c r="J122" t="s">
        <v>54</v>
      </c>
      <c r="K122">
        <v>7</v>
      </c>
      <c r="L122" s="1">
        <v>90877.8</v>
      </c>
      <c r="M122" s="1" t="str" cm="1">
        <f t="array" ref="M12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2" t="s">
        <v>246</v>
      </c>
      <c r="O122" t="s">
        <v>107</v>
      </c>
      <c r="P122" s="2" t="s">
        <v>394</v>
      </c>
      <c r="Q122">
        <v>4</v>
      </c>
      <c r="R122" t="s">
        <v>392</v>
      </c>
      <c r="S122" s="1">
        <f>electric_vehicles_dataset[[#This Row],[Units_Sold_2024]]*electric_vehicles_dataset[[#This Row],[Price_USD]]</f>
        <v>986387641.20000005</v>
      </c>
      <c r="T122">
        <v>4</v>
      </c>
      <c r="U122">
        <v>10854</v>
      </c>
      <c r="V122">
        <v>5</v>
      </c>
    </row>
    <row r="123" spans="1:22" x14ac:dyDescent="0.35">
      <c r="A123">
        <v>122</v>
      </c>
      <c r="B123" t="s">
        <v>64</v>
      </c>
      <c r="C123" t="s">
        <v>65</v>
      </c>
      <c r="D123">
        <v>2024</v>
      </c>
      <c r="E123" t="s">
        <v>133</v>
      </c>
      <c r="F123">
        <v>123.6</v>
      </c>
      <c r="G123" t="s">
        <v>352</v>
      </c>
      <c r="H123">
        <f>electric_vehicles_dataset[[#This Row],[Battery_Capacity_kWh]]/electric_vehicles_dataset[[#This Row],[Range_km]]</f>
        <v>0.26242038216560509</v>
      </c>
      <c r="I123">
        <v>471</v>
      </c>
      <c r="J123" t="s">
        <v>76</v>
      </c>
      <c r="K123">
        <v>7</v>
      </c>
      <c r="L123" s="1">
        <v>61863.65</v>
      </c>
      <c r="M123" s="1" t="str" cm="1">
        <f t="array" ref="M12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3" t="s">
        <v>39</v>
      </c>
      <c r="O123" t="s">
        <v>167</v>
      </c>
      <c r="P123" s="2" t="s">
        <v>394</v>
      </c>
      <c r="Q123">
        <v>5</v>
      </c>
      <c r="R123" t="s">
        <v>392</v>
      </c>
      <c r="S123" s="1">
        <f>electric_vehicles_dataset[[#This Row],[Units_Sold_2024]]*electric_vehicles_dataset[[#This Row],[Price_USD]]</f>
        <v>770697351.70000005</v>
      </c>
      <c r="T123">
        <v>5</v>
      </c>
      <c r="U123">
        <v>12458</v>
      </c>
      <c r="V123">
        <v>3</v>
      </c>
    </row>
    <row r="124" spans="1:22" x14ac:dyDescent="0.35">
      <c r="A124">
        <v>123</v>
      </c>
      <c r="B124" t="s">
        <v>241</v>
      </c>
      <c r="C124" t="s">
        <v>247</v>
      </c>
      <c r="D124">
        <v>2018</v>
      </c>
      <c r="E124" t="s">
        <v>84</v>
      </c>
      <c r="F124">
        <v>94.4</v>
      </c>
      <c r="G124" t="s">
        <v>350</v>
      </c>
      <c r="H124">
        <f>electric_vehicles_dataset[[#This Row],[Battery_Capacity_kWh]]/electric_vehicles_dataset[[#This Row],[Range_km]]</f>
        <v>0.20611353711790395</v>
      </c>
      <c r="I124">
        <v>458</v>
      </c>
      <c r="J124" t="s">
        <v>48</v>
      </c>
      <c r="K124">
        <v>3</v>
      </c>
      <c r="L124" s="1">
        <v>82924.63</v>
      </c>
      <c r="M124" s="1" t="str" cm="1">
        <f t="array" ref="M12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4" t="s">
        <v>70</v>
      </c>
      <c r="O124" t="s">
        <v>44</v>
      </c>
      <c r="P124" s="2" t="s">
        <v>389</v>
      </c>
      <c r="Q124">
        <v>1</v>
      </c>
      <c r="R124" t="s">
        <v>391</v>
      </c>
      <c r="S124" s="1">
        <f>electric_vehicles_dataset[[#This Row],[Units_Sold_2024]]*electric_vehicles_dataset[[#This Row],[Price_USD]]</f>
        <v>169166245.20000002</v>
      </c>
      <c r="T124">
        <v>4</v>
      </c>
      <c r="U124">
        <v>2040</v>
      </c>
      <c r="V124">
        <v>5</v>
      </c>
    </row>
    <row r="125" spans="1:22" x14ac:dyDescent="0.35">
      <c r="A125">
        <v>124</v>
      </c>
      <c r="B125" t="s">
        <v>60</v>
      </c>
      <c r="C125" t="s">
        <v>248</v>
      </c>
      <c r="D125">
        <v>2018</v>
      </c>
      <c r="E125" t="s">
        <v>47</v>
      </c>
      <c r="F125">
        <v>62.3</v>
      </c>
      <c r="G125" t="s">
        <v>351</v>
      </c>
      <c r="H125">
        <f>electric_vehicles_dataset[[#This Row],[Battery_Capacity_kWh]]/electric_vehicles_dataset[[#This Row],[Range_km]]</f>
        <v>0.14191343963553529</v>
      </c>
      <c r="I125">
        <v>439</v>
      </c>
      <c r="J125" t="s">
        <v>356</v>
      </c>
      <c r="K125">
        <v>7</v>
      </c>
      <c r="L125" s="1">
        <v>67650.31</v>
      </c>
      <c r="M125" s="1" t="str" cm="1">
        <f t="array" ref="M12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5" t="s">
        <v>229</v>
      </c>
      <c r="O125" t="s">
        <v>40</v>
      </c>
      <c r="P125" s="2" t="s">
        <v>395</v>
      </c>
      <c r="Q125">
        <v>2</v>
      </c>
      <c r="R125" t="s">
        <v>391</v>
      </c>
      <c r="S125" s="1">
        <f>electric_vehicles_dataset[[#This Row],[Units_Sold_2024]]*electric_vehicles_dataset[[#This Row],[Price_USD]]</f>
        <v>585986985.22000003</v>
      </c>
      <c r="T125">
        <v>5</v>
      </c>
      <c r="U125">
        <v>8662</v>
      </c>
      <c r="V125">
        <v>5</v>
      </c>
    </row>
    <row r="126" spans="1:22" x14ac:dyDescent="0.35">
      <c r="A126">
        <v>125</v>
      </c>
      <c r="B126" t="s">
        <v>173</v>
      </c>
      <c r="C126" t="s">
        <v>249</v>
      </c>
      <c r="D126">
        <v>2018</v>
      </c>
      <c r="E126" t="s">
        <v>133</v>
      </c>
      <c r="F126">
        <v>92.6</v>
      </c>
      <c r="G126" t="s">
        <v>350</v>
      </c>
      <c r="H126">
        <f>electric_vehicles_dataset[[#This Row],[Battery_Capacity_kWh]]/electric_vehicles_dataset[[#This Row],[Range_km]]</f>
        <v>0.43069767441860463</v>
      </c>
      <c r="I126">
        <v>215</v>
      </c>
      <c r="J126" t="s">
        <v>54</v>
      </c>
      <c r="K126">
        <v>9</v>
      </c>
      <c r="L126" s="1">
        <v>114588.11</v>
      </c>
      <c r="M126" s="1" t="str" cm="1">
        <f t="array" ref="M12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6" t="s">
        <v>35</v>
      </c>
      <c r="O126" t="s">
        <v>230</v>
      </c>
      <c r="P126" s="2" t="s">
        <v>389</v>
      </c>
      <c r="Q126">
        <v>2</v>
      </c>
      <c r="R126" t="s">
        <v>391</v>
      </c>
      <c r="S126" s="1">
        <f>electric_vehicles_dataset[[#This Row],[Units_Sold_2024]]*electric_vehicles_dataset[[#This Row],[Price_USD]]</f>
        <v>1026709465.6</v>
      </c>
      <c r="T126">
        <v>5</v>
      </c>
      <c r="U126">
        <v>8960</v>
      </c>
      <c r="V126">
        <v>4</v>
      </c>
    </row>
    <row r="127" spans="1:22" x14ac:dyDescent="0.35">
      <c r="A127">
        <v>126</v>
      </c>
      <c r="B127" t="s">
        <v>64</v>
      </c>
      <c r="C127" t="s">
        <v>65</v>
      </c>
      <c r="D127">
        <v>2021</v>
      </c>
      <c r="E127" t="s">
        <v>26</v>
      </c>
      <c r="F127">
        <v>64.900000000000006</v>
      </c>
      <c r="G127" t="s">
        <v>351</v>
      </c>
      <c r="H127">
        <f>electric_vehicles_dataset[[#This Row],[Battery_Capacity_kWh]]/electric_vehicles_dataset[[#This Row],[Range_km]]</f>
        <v>0.13111111111111112</v>
      </c>
      <c r="I127">
        <v>495</v>
      </c>
      <c r="J127" t="s">
        <v>18</v>
      </c>
      <c r="K127">
        <v>4</v>
      </c>
      <c r="L127" s="1">
        <v>64515.64</v>
      </c>
      <c r="M127" s="1" t="str" cm="1">
        <f t="array" ref="M12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7" t="s">
        <v>66</v>
      </c>
      <c r="O127" t="s">
        <v>20</v>
      </c>
      <c r="P127" s="2" t="s">
        <v>389</v>
      </c>
      <c r="Q127">
        <v>3</v>
      </c>
      <c r="R127" t="s">
        <v>397</v>
      </c>
      <c r="S127" s="1">
        <f>electric_vehicles_dataset[[#This Row],[Units_Sold_2024]]*electric_vehicles_dataset[[#This Row],[Price_USD]]</f>
        <v>427158052.44</v>
      </c>
      <c r="T127">
        <v>3</v>
      </c>
      <c r="U127">
        <v>6621</v>
      </c>
      <c r="V127">
        <v>5</v>
      </c>
    </row>
    <row r="128" spans="1:22" x14ac:dyDescent="0.35">
      <c r="A128">
        <v>127</v>
      </c>
      <c r="B128" t="s">
        <v>122</v>
      </c>
      <c r="C128" t="s">
        <v>250</v>
      </c>
      <c r="D128">
        <v>2019</v>
      </c>
      <c r="E128" t="s">
        <v>101</v>
      </c>
      <c r="F128">
        <v>34.200000000000003</v>
      </c>
      <c r="G128" t="s">
        <v>357</v>
      </c>
      <c r="H128">
        <f>electric_vehicles_dataset[[#This Row],[Battery_Capacity_kWh]]/electric_vehicles_dataset[[#This Row],[Range_km]]</f>
        <v>7.1398747390396672E-2</v>
      </c>
      <c r="I128">
        <v>479</v>
      </c>
      <c r="J128" t="s">
        <v>353</v>
      </c>
      <c r="K128">
        <v>3</v>
      </c>
      <c r="L128" s="1">
        <v>110380.08</v>
      </c>
      <c r="M128" s="1" t="str" cm="1">
        <f t="array" ref="M1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8" t="s">
        <v>212</v>
      </c>
      <c r="O128" t="s">
        <v>159</v>
      </c>
      <c r="P128" s="2" t="s">
        <v>389</v>
      </c>
      <c r="Q128">
        <v>0</v>
      </c>
      <c r="R128" t="s">
        <v>390</v>
      </c>
      <c r="S128" s="1">
        <f>electric_vehicles_dataset[[#This Row],[Units_Sold_2024]]*electric_vehicles_dataset[[#This Row],[Price_USD]]</f>
        <v>363591983.51999998</v>
      </c>
      <c r="T128">
        <v>4</v>
      </c>
      <c r="U128">
        <v>3294</v>
      </c>
      <c r="V128">
        <v>5</v>
      </c>
    </row>
    <row r="129" spans="1:22" x14ac:dyDescent="0.35">
      <c r="A129">
        <v>128</v>
      </c>
      <c r="B129" t="s">
        <v>193</v>
      </c>
      <c r="C129" t="s">
        <v>194</v>
      </c>
      <c r="D129">
        <v>2015</v>
      </c>
      <c r="E129" t="s">
        <v>47</v>
      </c>
      <c r="F129">
        <v>147.1</v>
      </c>
      <c r="G129" t="s">
        <v>386</v>
      </c>
      <c r="H129">
        <f>electric_vehicles_dataset[[#This Row],[Battery_Capacity_kWh]]/electric_vehicles_dataset[[#This Row],[Range_km]]</f>
        <v>0.81722222222222218</v>
      </c>
      <c r="I129">
        <v>180</v>
      </c>
      <c r="J129" t="s">
        <v>358</v>
      </c>
      <c r="K129">
        <v>8</v>
      </c>
      <c r="L129" s="1">
        <v>135677.69</v>
      </c>
      <c r="M129" s="1" t="str" cm="1">
        <f t="array" ref="M12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9" t="s">
        <v>152</v>
      </c>
      <c r="O129" t="s">
        <v>226</v>
      </c>
      <c r="P129" s="2" t="s">
        <v>395</v>
      </c>
      <c r="Q129">
        <v>2</v>
      </c>
      <c r="R129" t="s">
        <v>391</v>
      </c>
      <c r="S129" s="1">
        <f>electric_vehicles_dataset[[#This Row],[Units_Sold_2024]]*electric_vehicles_dataset[[#This Row],[Price_USD]]</f>
        <v>2552504381.9700003</v>
      </c>
      <c r="T129">
        <v>3</v>
      </c>
      <c r="U129">
        <v>18813</v>
      </c>
      <c r="V129">
        <v>3</v>
      </c>
    </row>
    <row r="130" spans="1:22" x14ac:dyDescent="0.35">
      <c r="A130">
        <v>129</v>
      </c>
      <c r="B130" t="s">
        <v>82</v>
      </c>
      <c r="C130" t="s">
        <v>83</v>
      </c>
      <c r="D130">
        <v>2017</v>
      </c>
      <c r="E130" t="s">
        <v>42</v>
      </c>
      <c r="F130">
        <v>134.69999999999999</v>
      </c>
      <c r="G130" t="s">
        <v>352</v>
      </c>
      <c r="H130">
        <f>electric_vehicles_dataset[[#This Row],[Battery_Capacity_kWh]]/electric_vehicles_dataset[[#This Row],[Range_km]]</f>
        <v>0.70894736842105255</v>
      </c>
      <c r="I130">
        <v>190</v>
      </c>
      <c r="J130" t="s">
        <v>27</v>
      </c>
      <c r="K130">
        <v>12</v>
      </c>
      <c r="L130" s="1">
        <v>77639.350000000006</v>
      </c>
      <c r="M130" s="1" t="str" cm="1">
        <f t="array" ref="M13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0" t="s">
        <v>214</v>
      </c>
      <c r="O130" t="s">
        <v>86</v>
      </c>
      <c r="P130" s="2" t="s">
        <v>389</v>
      </c>
      <c r="Q130">
        <v>2</v>
      </c>
      <c r="R130" t="s">
        <v>391</v>
      </c>
      <c r="S130" s="1">
        <f>electric_vehicles_dataset[[#This Row],[Units_Sold_2024]]*electric_vehicles_dataset[[#This Row],[Price_USD]]</f>
        <v>1444868303.5</v>
      </c>
      <c r="T130">
        <v>4</v>
      </c>
      <c r="U130">
        <v>18610</v>
      </c>
      <c r="V130">
        <v>5</v>
      </c>
    </row>
    <row r="131" spans="1:22" x14ac:dyDescent="0.35">
      <c r="A131">
        <v>130</v>
      </c>
      <c r="B131" t="s">
        <v>184</v>
      </c>
      <c r="C131" t="s">
        <v>251</v>
      </c>
      <c r="D131">
        <v>2019</v>
      </c>
      <c r="E131" t="s">
        <v>130</v>
      </c>
      <c r="F131">
        <v>148.6</v>
      </c>
      <c r="G131" t="s">
        <v>386</v>
      </c>
      <c r="H131">
        <f>electric_vehicles_dataset[[#This Row],[Battery_Capacity_kWh]]/electric_vehicles_dataset[[#This Row],[Range_km]]</f>
        <v>0.39312169312169309</v>
      </c>
      <c r="I131">
        <v>378</v>
      </c>
      <c r="J131" t="s">
        <v>356</v>
      </c>
      <c r="K131">
        <v>11</v>
      </c>
      <c r="L131" s="1">
        <v>46103.99</v>
      </c>
      <c r="M131" s="1" t="str" cm="1">
        <f t="array" ref="M13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1" t="s">
        <v>246</v>
      </c>
      <c r="O131" t="s">
        <v>40</v>
      </c>
      <c r="P131" s="2" t="s">
        <v>395</v>
      </c>
      <c r="Q131">
        <v>0</v>
      </c>
      <c r="R131" t="s">
        <v>390</v>
      </c>
      <c r="S131" s="1">
        <f>electric_vehicles_dataset[[#This Row],[Units_Sold_2024]]*electric_vehicles_dataset[[#This Row],[Price_USD]]</f>
        <v>388656635.69999999</v>
      </c>
      <c r="T131">
        <v>5</v>
      </c>
      <c r="U131">
        <v>8430</v>
      </c>
      <c r="V131">
        <v>5</v>
      </c>
    </row>
    <row r="132" spans="1:22" x14ac:dyDescent="0.35">
      <c r="A132">
        <v>131</v>
      </c>
      <c r="B132" t="s">
        <v>120</v>
      </c>
      <c r="C132" t="s">
        <v>252</v>
      </c>
      <c r="D132">
        <v>2020</v>
      </c>
      <c r="E132" t="s">
        <v>183</v>
      </c>
      <c r="F132">
        <v>58.4</v>
      </c>
      <c r="G132" t="s">
        <v>348</v>
      </c>
      <c r="H132">
        <f>electric_vehicles_dataset[[#This Row],[Battery_Capacity_kWh]]/electric_vehicles_dataset[[#This Row],[Range_km]]</f>
        <v>0.13123595505617977</v>
      </c>
      <c r="I132">
        <v>445</v>
      </c>
      <c r="J132" t="s">
        <v>359</v>
      </c>
      <c r="K132">
        <v>3</v>
      </c>
      <c r="L132" s="1">
        <v>132737.57999999999</v>
      </c>
      <c r="M132" s="1" t="str" cm="1">
        <f t="array" ref="M13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2" t="s">
        <v>253</v>
      </c>
      <c r="O132" t="s">
        <v>199</v>
      </c>
      <c r="P132" s="2" t="s">
        <v>394</v>
      </c>
      <c r="Q132">
        <v>0</v>
      </c>
      <c r="R132" t="s">
        <v>390</v>
      </c>
      <c r="S132" s="1">
        <f>electric_vehicles_dataset[[#This Row],[Units_Sold_2024]]*electric_vehicles_dataset[[#This Row],[Price_USD]]</f>
        <v>611522031.05999994</v>
      </c>
      <c r="T132">
        <v>4</v>
      </c>
      <c r="U132">
        <v>4607</v>
      </c>
      <c r="V132">
        <v>4</v>
      </c>
    </row>
    <row r="133" spans="1:22" x14ac:dyDescent="0.35">
      <c r="A133">
        <v>132</v>
      </c>
      <c r="B133" t="s">
        <v>56</v>
      </c>
      <c r="C133" t="s">
        <v>57</v>
      </c>
      <c r="D133">
        <v>2015</v>
      </c>
      <c r="E133" t="s">
        <v>133</v>
      </c>
      <c r="F133">
        <v>69.900000000000006</v>
      </c>
      <c r="G133" t="s">
        <v>351</v>
      </c>
      <c r="H133">
        <f>electric_vehicles_dataset[[#This Row],[Battery_Capacity_kWh]]/electric_vehicles_dataset[[#This Row],[Range_km]]</f>
        <v>0.213109756097561</v>
      </c>
      <c r="I133">
        <v>328</v>
      </c>
      <c r="J133" t="s">
        <v>105</v>
      </c>
      <c r="K133">
        <v>12</v>
      </c>
      <c r="L133" s="1">
        <v>66233.5</v>
      </c>
      <c r="M133" s="1" t="str" cm="1">
        <f t="array" ref="M13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3" t="s">
        <v>254</v>
      </c>
      <c r="O133" t="s">
        <v>182</v>
      </c>
      <c r="P133" s="2" t="s">
        <v>394</v>
      </c>
      <c r="Q133">
        <v>0</v>
      </c>
      <c r="R133" t="s">
        <v>390</v>
      </c>
      <c r="S133" s="1">
        <f>electric_vehicles_dataset[[#This Row],[Units_Sold_2024]]*electric_vehicles_dataset[[#This Row],[Price_USD]]</f>
        <v>256522345.5</v>
      </c>
      <c r="T133">
        <v>3</v>
      </c>
      <c r="U133">
        <v>3873</v>
      </c>
      <c r="V133">
        <v>4</v>
      </c>
    </row>
    <row r="134" spans="1:22" x14ac:dyDescent="0.35">
      <c r="A134">
        <v>133</v>
      </c>
      <c r="B134" t="s">
        <v>234</v>
      </c>
      <c r="C134" t="s">
        <v>235</v>
      </c>
      <c r="D134">
        <v>2021</v>
      </c>
      <c r="E134" t="s">
        <v>73</v>
      </c>
      <c r="F134">
        <v>85.3</v>
      </c>
      <c r="G134" t="s">
        <v>350</v>
      </c>
      <c r="H134">
        <f>electric_vehicles_dataset[[#This Row],[Battery_Capacity_kWh]]/electric_vehicles_dataset[[#This Row],[Range_km]]</f>
        <v>0.15286738351254481</v>
      </c>
      <c r="I134">
        <v>558</v>
      </c>
      <c r="J134" t="s">
        <v>54</v>
      </c>
      <c r="K134">
        <v>8</v>
      </c>
      <c r="L134" s="1">
        <v>106645.36</v>
      </c>
      <c r="M134" s="1" t="str" cm="1">
        <f t="array" ref="M1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4" t="s">
        <v>179</v>
      </c>
      <c r="O134" t="s">
        <v>33</v>
      </c>
      <c r="P134" s="2" t="s">
        <v>393</v>
      </c>
      <c r="Q134">
        <v>1</v>
      </c>
      <c r="R134" t="s">
        <v>391</v>
      </c>
      <c r="S134" s="1">
        <f>electric_vehicles_dataset[[#This Row],[Units_Sold_2024]]*electric_vehicles_dataset[[#This Row],[Price_USD]]</f>
        <v>2116697105.28</v>
      </c>
      <c r="T134">
        <v>4</v>
      </c>
      <c r="U134">
        <v>19848</v>
      </c>
      <c r="V134">
        <v>4</v>
      </c>
    </row>
    <row r="135" spans="1:22" x14ac:dyDescent="0.35">
      <c r="A135">
        <v>134</v>
      </c>
      <c r="B135" t="s">
        <v>125</v>
      </c>
      <c r="C135" t="s">
        <v>126</v>
      </c>
      <c r="D135">
        <v>2023</v>
      </c>
      <c r="E135" t="s">
        <v>183</v>
      </c>
      <c r="F135">
        <v>106.3</v>
      </c>
      <c r="G135" t="s">
        <v>361</v>
      </c>
      <c r="H135">
        <f>electric_vehicles_dataset[[#This Row],[Battery_Capacity_kWh]]/electric_vehicles_dataset[[#This Row],[Range_km]]</f>
        <v>0.50379146919431284</v>
      </c>
      <c r="I135">
        <v>211</v>
      </c>
      <c r="J135" t="s">
        <v>353</v>
      </c>
      <c r="K135">
        <v>8</v>
      </c>
      <c r="L135" s="1">
        <v>101497.74</v>
      </c>
      <c r="M135" s="1" t="str" cm="1">
        <f t="array" ref="M13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5" t="s">
        <v>81</v>
      </c>
      <c r="O135" t="s">
        <v>20</v>
      </c>
      <c r="P135" s="2" t="s">
        <v>389</v>
      </c>
      <c r="Q135">
        <v>4</v>
      </c>
      <c r="R135" t="s">
        <v>392</v>
      </c>
      <c r="S135" s="1">
        <f>electric_vehicles_dataset[[#This Row],[Units_Sold_2024]]*electric_vehicles_dataset[[#This Row],[Price_USD]]</f>
        <v>1876287221.6400001</v>
      </c>
      <c r="T135">
        <v>4</v>
      </c>
      <c r="U135">
        <v>18486</v>
      </c>
      <c r="V135">
        <v>3</v>
      </c>
    </row>
    <row r="136" spans="1:22" x14ac:dyDescent="0.35">
      <c r="A136">
        <v>135</v>
      </c>
      <c r="B136" t="s">
        <v>71</v>
      </c>
      <c r="C136" t="s">
        <v>255</v>
      </c>
      <c r="D136">
        <v>2023</v>
      </c>
      <c r="E136" t="s">
        <v>31</v>
      </c>
      <c r="F136">
        <v>94.5</v>
      </c>
      <c r="G136" t="s">
        <v>350</v>
      </c>
      <c r="H136">
        <f>electric_vehicles_dataset[[#This Row],[Battery_Capacity_kWh]]/electric_vehicles_dataset[[#This Row],[Range_km]]</f>
        <v>0.53693181818181823</v>
      </c>
      <c r="I136">
        <v>176</v>
      </c>
      <c r="J136" t="s">
        <v>85</v>
      </c>
      <c r="K136">
        <v>4</v>
      </c>
      <c r="L136" s="1">
        <v>92440.98</v>
      </c>
      <c r="M136" s="1" t="str" cm="1">
        <f t="array" ref="M13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6" t="s">
        <v>43</v>
      </c>
      <c r="O136" t="s">
        <v>124</v>
      </c>
      <c r="P136" s="2" t="s">
        <v>389</v>
      </c>
      <c r="Q136">
        <v>3</v>
      </c>
      <c r="R136" t="s">
        <v>397</v>
      </c>
      <c r="S136" s="1">
        <f>electric_vehicles_dataset[[#This Row],[Units_Sold_2024]]*electric_vehicles_dataset[[#This Row],[Price_USD]]</f>
        <v>1373488080.8399999</v>
      </c>
      <c r="T136">
        <v>3</v>
      </c>
      <c r="U136">
        <v>14858</v>
      </c>
      <c r="V136">
        <v>3</v>
      </c>
    </row>
    <row r="137" spans="1:22" x14ac:dyDescent="0.35">
      <c r="A137">
        <v>136</v>
      </c>
      <c r="B137" t="s">
        <v>140</v>
      </c>
      <c r="C137" t="s">
        <v>256</v>
      </c>
      <c r="D137">
        <v>2022</v>
      </c>
      <c r="E137" t="s">
        <v>90</v>
      </c>
      <c r="F137">
        <v>27.5</v>
      </c>
      <c r="G137" t="s">
        <v>357</v>
      </c>
      <c r="H137">
        <f>electric_vehicles_dataset[[#This Row],[Battery_Capacity_kWh]]/electric_vehicles_dataset[[#This Row],[Range_km]]</f>
        <v>8.1845238095238096E-2</v>
      </c>
      <c r="I137">
        <v>336</v>
      </c>
      <c r="J137" t="s">
        <v>54</v>
      </c>
      <c r="K137">
        <v>9</v>
      </c>
      <c r="L137" s="1">
        <v>77513.850000000006</v>
      </c>
      <c r="M137" s="1" t="str" cm="1">
        <f t="array" ref="M13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7" t="s">
        <v>257</v>
      </c>
      <c r="O137" t="s">
        <v>115</v>
      </c>
      <c r="P137" s="2" t="s">
        <v>396</v>
      </c>
      <c r="Q137">
        <v>4</v>
      </c>
      <c r="R137" t="s">
        <v>392</v>
      </c>
      <c r="S137" s="1">
        <f>electric_vehicles_dataset[[#This Row],[Units_Sold_2024]]*electric_vehicles_dataset[[#This Row],[Price_USD]]</f>
        <v>161926432.65000001</v>
      </c>
      <c r="T137">
        <v>5</v>
      </c>
      <c r="U137">
        <v>2089</v>
      </c>
      <c r="V137">
        <v>5</v>
      </c>
    </row>
    <row r="138" spans="1:22" x14ac:dyDescent="0.35">
      <c r="A138">
        <v>137</v>
      </c>
      <c r="B138" t="s">
        <v>71</v>
      </c>
      <c r="C138" t="s">
        <v>258</v>
      </c>
      <c r="D138">
        <v>2022</v>
      </c>
      <c r="E138" t="s">
        <v>84</v>
      </c>
      <c r="F138">
        <v>57.3</v>
      </c>
      <c r="G138" t="s">
        <v>348</v>
      </c>
      <c r="H138">
        <f>electric_vehicles_dataset[[#This Row],[Battery_Capacity_kWh]]/electric_vehicles_dataset[[#This Row],[Range_km]]</f>
        <v>0.29843749999999997</v>
      </c>
      <c r="I138">
        <v>192</v>
      </c>
      <c r="J138" t="s">
        <v>18</v>
      </c>
      <c r="K138">
        <v>9</v>
      </c>
      <c r="L138" s="1">
        <v>147399.99</v>
      </c>
      <c r="M138" s="1" t="str" cm="1">
        <f t="array" ref="M13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8" t="s">
        <v>39</v>
      </c>
      <c r="O138" t="s">
        <v>169</v>
      </c>
      <c r="P138" s="2" t="s">
        <v>394</v>
      </c>
      <c r="Q138">
        <v>3</v>
      </c>
      <c r="R138" t="s">
        <v>397</v>
      </c>
      <c r="S138" s="1">
        <f>electric_vehicles_dataset[[#This Row],[Units_Sold_2024]]*electric_vehicles_dataset[[#This Row],[Price_USD]]</f>
        <v>1814346476.9099998</v>
      </c>
      <c r="T138">
        <v>4</v>
      </c>
      <c r="U138">
        <v>12309</v>
      </c>
      <c r="V138">
        <v>3</v>
      </c>
    </row>
    <row r="139" spans="1:22" x14ac:dyDescent="0.35">
      <c r="A139">
        <v>138</v>
      </c>
      <c r="B139" t="s">
        <v>94</v>
      </c>
      <c r="C139" t="s">
        <v>360</v>
      </c>
      <c r="D139">
        <v>2023</v>
      </c>
      <c r="E139" t="s">
        <v>101</v>
      </c>
      <c r="F139">
        <v>105</v>
      </c>
      <c r="G139" t="s">
        <v>361</v>
      </c>
      <c r="H139">
        <f>electric_vehicles_dataset[[#This Row],[Battery_Capacity_kWh]]/electric_vehicles_dataset[[#This Row],[Range_km]]</f>
        <v>0.37769784172661869</v>
      </c>
      <c r="I139">
        <v>278</v>
      </c>
      <c r="J139" t="s">
        <v>48</v>
      </c>
      <c r="K139">
        <v>3</v>
      </c>
      <c r="L139" s="1">
        <v>94471.02</v>
      </c>
      <c r="M139" s="1" t="str" cm="1">
        <f t="array" ref="M13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9" t="s">
        <v>212</v>
      </c>
      <c r="O139" t="s">
        <v>150</v>
      </c>
      <c r="P139" s="2" t="s">
        <v>389</v>
      </c>
      <c r="Q139">
        <v>1</v>
      </c>
      <c r="R139" t="s">
        <v>391</v>
      </c>
      <c r="S139" s="1">
        <f>electric_vehicles_dataset[[#This Row],[Units_Sold_2024]]*electric_vehicles_dataset[[#This Row],[Price_USD]]</f>
        <v>1433219844.4200001</v>
      </c>
      <c r="T139">
        <v>4</v>
      </c>
      <c r="U139">
        <v>15171</v>
      </c>
      <c r="V139">
        <v>5</v>
      </c>
    </row>
    <row r="140" spans="1:22" x14ac:dyDescent="0.35">
      <c r="A140">
        <v>139</v>
      </c>
      <c r="B140" t="s">
        <v>259</v>
      </c>
      <c r="C140" t="s">
        <v>260</v>
      </c>
      <c r="D140">
        <v>2023</v>
      </c>
      <c r="E140" t="s">
        <v>42</v>
      </c>
      <c r="F140">
        <v>127</v>
      </c>
      <c r="G140" t="s">
        <v>352</v>
      </c>
      <c r="H140">
        <f>electric_vehicles_dataset[[#This Row],[Battery_Capacity_kWh]]/electric_vehicles_dataset[[#This Row],[Range_km]]</f>
        <v>0.56194690265486724</v>
      </c>
      <c r="I140">
        <v>226</v>
      </c>
      <c r="J140" t="s">
        <v>345</v>
      </c>
      <c r="K140">
        <v>5</v>
      </c>
      <c r="L140" s="1">
        <v>63077.97</v>
      </c>
      <c r="M140" s="1" t="str" cm="1">
        <f t="array" ref="M14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0" t="s">
        <v>254</v>
      </c>
      <c r="O140" t="s">
        <v>147</v>
      </c>
      <c r="P140" s="2" t="s">
        <v>396</v>
      </c>
      <c r="Q140">
        <v>1</v>
      </c>
      <c r="R140" t="s">
        <v>391</v>
      </c>
      <c r="S140" s="1">
        <f>electric_vehicles_dataset[[#This Row],[Units_Sold_2024]]*electric_vehicles_dataset[[#This Row],[Price_USD]]</f>
        <v>497432871.42000002</v>
      </c>
      <c r="T140">
        <v>3</v>
      </c>
      <c r="U140">
        <v>7886</v>
      </c>
      <c r="V140">
        <v>3</v>
      </c>
    </row>
    <row r="141" spans="1:22" x14ac:dyDescent="0.35">
      <c r="A141">
        <v>140</v>
      </c>
      <c r="B141" t="s">
        <v>29</v>
      </c>
      <c r="C141" t="s">
        <v>30</v>
      </c>
      <c r="D141">
        <v>2024</v>
      </c>
      <c r="E141" t="s">
        <v>84</v>
      </c>
      <c r="F141">
        <v>78</v>
      </c>
      <c r="G141" t="s">
        <v>351</v>
      </c>
      <c r="H141">
        <f>electric_vehicles_dataset[[#This Row],[Battery_Capacity_kWh]]/electric_vehicles_dataset[[#This Row],[Range_km]]</f>
        <v>0.17567567567567569</v>
      </c>
      <c r="I141">
        <v>444</v>
      </c>
      <c r="J141" t="s">
        <v>27</v>
      </c>
      <c r="K141">
        <v>3</v>
      </c>
      <c r="L141" s="1">
        <v>35308.410000000003</v>
      </c>
      <c r="M141" s="1" t="str" cm="1">
        <f t="array" ref="M14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1" t="s">
        <v>172</v>
      </c>
      <c r="O141" t="s">
        <v>159</v>
      </c>
      <c r="P141" s="2" t="s">
        <v>389</v>
      </c>
      <c r="Q141">
        <v>0</v>
      </c>
      <c r="R141" t="s">
        <v>390</v>
      </c>
      <c r="S141" s="1">
        <f>electric_vehicles_dataset[[#This Row],[Units_Sold_2024]]*electric_vehicles_dataset[[#This Row],[Price_USD]]</f>
        <v>666516855.57000005</v>
      </c>
      <c r="T141">
        <v>3</v>
      </c>
      <c r="U141">
        <v>18877</v>
      </c>
      <c r="V141">
        <v>4</v>
      </c>
    </row>
    <row r="142" spans="1:22" x14ac:dyDescent="0.35">
      <c r="A142">
        <v>141</v>
      </c>
      <c r="B142" t="s">
        <v>261</v>
      </c>
      <c r="C142" t="s">
        <v>370</v>
      </c>
      <c r="D142">
        <v>2025</v>
      </c>
      <c r="E142" t="s">
        <v>26</v>
      </c>
      <c r="F142">
        <v>61.7</v>
      </c>
      <c r="G142" t="s">
        <v>351</v>
      </c>
      <c r="H142">
        <f>electric_vehicles_dataset[[#This Row],[Battery_Capacity_kWh]]/electric_vehicles_dataset[[#This Row],[Range_km]]</f>
        <v>0.24291338582677166</v>
      </c>
      <c r="I142">
        <v>254</v>
      </c>
      <c r="J142" t="s">
        <v>18</v>
      </c>
      <c r="K142">
        <v>12</v>
      </c>
      <c r="L142" s="1">
        <v>92550.13</v>
      </c>
      <c r="M142" s="1" t="str" cm="1">
        <f t="array" ref="M14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2" t="s">
        <v>70</v>
      </c>
      <c r="O142" t="s">
        <v>111</v>
      </c>
      <c r="P142" s="2" t="s">
        <v>389</v>
      </c>
      <c r="Q142">
        <v>4</v>
      </c>
      <c r="R142" t="s">
        <v>392</v>
      </c>
      <c r="S142" s="1">
        <f>electric_vehicles_dataset[[#This Row],[Units_Sold_2024]]*electric_vehicles_dataset[[#This Row],[Price_USD]]</f>
        <v>1295516719.74</v>
      </c>
      <c r="T142">
        <v>3</v>
      </c>
      <c r="U142">
        <v>13998</v>
      </c>
      <c r="V142">
        <v>5</v>
      </c>
    </row>
    <row r="143" spans="1:22" x14ac:dyDescent="0.35">
      <c r="A143">
        <v>142</v>
      </c>
      <c r="B143" t="s">
        <v>262</v>
      </c>
      <c r="C143" t="s">
        <v>263</v>
      </c>
      <c r="D143">
        <v>2020</v>
      </c>
      <c r="E143" t="s">
        <v>73</v>
      </c>
      <c r="F143">
        <v>107.3</v>
      </c>
      <c r="G143" t="s">
        <v>361</v>
      </c>
      <c r="H143">
        <f>electric_vehicles_dataset[[#This Row],[Battery_Capacity_kWh]]/electric_vehicles_dataset[[#This Row],[Range_km]]</f>
        <v>0.21374501992031872</v>
      </c>
      <c r="I143">
        <v>502</v>
      </c>
      <c r="J143" t="s">
        <v>38</v>
      </c>
      <c r="K143">
        <v>9</v>
      </c>
      <c r="L143" s="1">
        <v>78991.100000000006</v>
      </c>
      <c r="M143" s="1" t="str" cm="1">
        <f t="array" ref="M14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3" t="s">
        <v>127</v>
      </c>
      <c r="O143" t="s">
        <v>110</v>
      </c>
      <c r="P143" s="2" t="s">
        <v>394</v>
      </c>
      <c r="Q143">
        <v>4</v>
      </c>
      <c r="R143" t="s">
        <v>392</v>
      </c>
      <c r="S143" s="1">
        <f>electric_vehicles_dataset[[#This Row],[Units_Sold_2024]]*electric_vehicles_dataset[[#This Row],[Price_USD]]</f>
        <v>373627903</v>
      </c>
      <c r="T143">
        <v>4</v>
      </c>
      <c r="U143">
        <v>4730</v>
      </c>
      <c r="V143">
        <v>4</v>
      </c>
    </row>
    <row r="144" spans="1:22" x14ac:dyDescent="0.35">
      <c r="A144">
        <v>143</v>
      </c>
      <c r="B144" t="s">
        <v>71</v>
      </c>
      <c r="C144" t="s">
        <v>255</v>
      </c>
      <c r="D144">
        <v>2021</v>
      </c>
      <c r="E144" t="s">
        <v>42</v>
      </c>
      <c r="F144">
        <v>92.4</v>
      </c>
      <c r="G144" t="s">
        <v>350</v>
      </c>
      <c r="H144">
        <f>electric_vehicles_dataset[[#This Row],[Battery_Capacity_kWh]]/electric_vehicles_dataset[[#This Row],[Range_km]]</f>
        <v>0.55000000000000004</v>
      </c>
      <c r="I144">
        <v>168</v>
      </c>
      <c r="J144" t="s">
        <v>34</v>
      </c>
      <c r="K144">
        <v>3</v>
      </c>
      <c r="L144" s="1">
        <v>54400.41</v>
      </c>
      <c r="M144" s="1" t="str" cm="1">
        <f t="array" ref="M14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4" t="s">
        <v>39</v>
      </c>
      <c r="O144" t="s">
        <v>20</v>
      </c>
      <c r="P144" s="2" t="s">
        <v>389</v>
      </c>
      <c r="Q144">
        <v>2</v>
      </c>
      <c r="R144" t="s">
        <v>391</v>
      </c>
      <c r="S144" s="1">
        <f>electric_vehicles_dataset[[#This Row],[Units_Sold_2024]]*electric_vehicles_dataset[[#This Row],[Price_USD]]</f>
        <v>91827892.080000013</v>
      </c>
      <c r="T144">
        <v>3</v>
      </c>
      <c r="U144">
        <v>1688</v>
      </c>
      <c r="V144">
        <v>4</v>
      </c>
    </row>
    <row r="145" spans="1:22" x14ac:dyDescent="0.35">
      <c r="A145">
        <v>144</v>
      </c>
      <c r="B145" t="s">
        <v>24</v>
      </c>
      <c r="C145" t="s">
        <v>264</v>
      </c>
      <c r="D145">
        <v>2016</v>
      </c>
      <c r="E145" t="s">
        <v>31</v>
      </c>
      <c r="F145">
        <v>124.6</v>
      </c>
      <c r="G145" t="s">
        <v>352</v>
      </c>
      <c r="H145">
        <f>electric_vehicles_dataset[[#This Row],[Battery_Capacity_kWh]]/electric_vehicles_dataset[[#This Row],[Range_km]]</f>
        <v>0.3115</v>
      </c>
      <c r="I145">
        <v>400</v>
      </c>
      <c r="J145" t="s">
        <v>359</v>
      </c>
      <c r="K145">
        <v>6</v>
      </c>
      <c r="L145" s="1">
        <v>134336.85999999999</v>
      </c>
      <c r="M145" s="1" t="str" cm="1">
        <f t="array" ref="M1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5" t="s">
        <v>219</v>
      </c>
      <c r="O145" t="s">
        <v>111</v>
      </c>
      <c r="P145" s="2" t="s">
        <v>389</v>
      </c>
      <c r="Q145">
        <v>0</v>
      </c>
      <c r="R145" t="s">
        <v>390</v>
      </c>
      <c r="S145" s="1">
        <f>electric_vehicles_dataset[[#This Row],[Units_Sold_2024]]*electric_vehicles_dataset[[#This Row],[Price_USD]]</f>
        <v>516390889.83999997</v>
      </c>
      <c r="T145">
        <v>5</v>
      </c>
      <c r="U145">
        <v>3844</v>
      </c>
      <c r="V145">
        <v>5</v>
      </c>
    </row>
    <row r="146" spans="1:22" x14ac:dyDescent="0.35">
      <c r="A146">
        <v>145</v>
      </c>
      <c r="B146" t="s">
        <v>51</v>
      </c>
      <c r="C146" t="s">
        <v>239</v>
      </c>
      <c r="D146">
        <v>2018</v>
      </c>
      <c r="E146" t="s">
        <v>17</v>
      </c>
      <c r="F146">
        <v>98.6</v>
      </c>
      <c r="G146" t="s">
        <v>350</v>
      </c>
      <c r="H146">
        <f>electric_vehicles_dataset[[#This Row],[Battery_Capacity_kWh]]/electric_vehicles_dataset[[#This Row],[Range_km]]</f>
        <v>0.48333333333333328</v>
      </c>
      <c r="I146">
        <v>204</v>
      </c>
      <c r="J146" t="s">
        <v>34</v>
      </c>
      <c r="K146">
        <v>11</v>
      </c>
      <c r="L146" s="1">
        <v>96249.52</v>
      </c>
      <c r="M146" s="1" t="str" cm="1">
        <f t="array" ref="M14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6" t="s">
        <v>168</v>
      </c>
      <c r="O146" t="s">
        <v>265</v>
      </c>
      <c r="P146" s="2" t="s">
        <v>389</v>
      </c>
      <c r="Q146">
        <v>4</v>
      </c>
      <c r="R146" t="s">
        <v>392</v>
      </c>
      <c r="S146" s="1">
        <f>electric_vehicles_dataset[[#This Row],[Units_Sold_2024]]*electric_vehicles_dataset[[#This Row],[Price_USD]]</f>
        <v>1617280684.5600002</v>
      </c>
      <c r="T146">
        <v>4</v>
      </c>
      <c r="U146">
        <v>16803</v>
      </c>
      <c r="V146">
        <v>4</v>
      </c>
    </row>
    <row r="147" spans="1:22" x14ac:dyDescent="0.35">
      <c r="A147">
        <v>146</v>
      </c>
      <c r="B147" t="s">
        <v>45</v>
      </c>
      <c r="C147" t="s">
        <v>132</v>
      </c>
      <c r="D147">
        <v>2022</v>
      </c>
      <c r="E147" t="s">
        <v>183</v>
      </c>
      <c r="F147">
        <v>129.19999999999999</v>
      </c>
      <c r="G147" t="s">
        <v>352</v>
      </c>
      <c r="H147">
        <f>electric_vehicles_dataset[[#This Row],[Battery_Capacity_kWh]]/electric_vehicles_dataset[[#This Row],[Range_km]]</f>
        <v>0.22746478873239434</v>
      </c>
      <c r="I147">
        <v>568</v>
      </c>
      <c r="J147" t="s">
        <v>359</v>
      </c>
      <c r="K147">
        <v>5</v>
      </c>
      <c r="L147" s="1">
        <v>79671.62</v>
      </c>
      <c r="M147" s="1" t="str" cm="1">
        <f t="array" ref="M1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7" t="s">
        <v>59</v>
      </c>
      <c r="O147" t="s">
        <v>159</v>
      </c>
      <c r="P147" s="2" t="s">
        <v>389</v>
      </c>
      <c r="Q147">
        <v>0</v>
      </c>
      <c r="R147" t="s">
        <v>390</v>
      </c>
      <c r="S147" s="1">
        <f>electric_vehicles_dataset[[#This Row],[Units_Sold_2024]]*electric_vehicles_dataset[[#This Row],[Price_USD]]</f>
        <v>1090146776.46</v>
      </c>
      <c r="T147">
        <v>5</v>
      </c>
      <c r="U147">
        <v>13683</v>
      </c>
      <c r="V147">
        <v>4</v>
      </c>
    </row>
    <row r="148" spans="1:22" x14ac:dyDescent="0.35">
      <c r="A148">
        <v>147</v>
      </c>
      <c r="B148" t="s">
        <v>153</v>
      </c>
      <c r="C148" t="s">
        <v>178</v>
      </c>
      <c r="D148">
        <v>2020</v>
      </c>
      <c r="E148" t="s">
        <v>31</v>
      </c>
      <c r="F148">
        <v>69.400000000000006</v>
      </c>
      <c r="G148" t="s">
        <v>351</v>
      </c>
      <c r="H148">
        <f>electric_vehicles_dataset[[#This Row],[Battery_Capacity_kWh]]/electric_vehicles_dataset[[#This Row],[Range_km]]</f>
        <v>0.13193916349809887</v>
      </c>
      <c r="I148">
        <v>526</v>
      </c>
      <c r="J148" t="s">
        <v>353</v>
      </c>
      <c r="K148">
        <v>6</v>
      </c>
      <c r="L148" s="1">
        <v>108552.96000000001</v>
      </c>
      <c r="M148" s="1" t="str" cm="1">
        <f t="array" ref="M14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8" t="s">
        <v>106</v>
      </c>
      <c r="O148" t="s">
        <v>50</v>
      </c>
      <c r="P148" s="2" t="s">
        <v>396</v>
      </c>
      <c r="Q148">
        <v>3</v>
      </c>
      <c r="R148" t="s">
        <v>397</v>
      </c>
      <c r="S148" s="1">
        <f>electric_vehicles_dataset[[#This Row],[Units_Sold_2024]]*electric_vehicles_dataset[[#This Row],[Price_USD]]</f>
        <v>1639149696</v>
      </c>
      <c r="T148">
        <v>4</v>
      </c>
      <c r="U148">
        <v>15100</v>
      </c>
      <c r="V148">
        <v>3</v>
      </c>
    </row>
    <row r="149" spans="1:22" x14ac:dyDescent="0.35">
      <c r="A149">
        <v>148</v>
      </c>
      <c r="B149" t="s">
        <v>259</v>
      </c>
      <c r="C149" t="s">
        <v>266</v>
      </c>
      <c r="D149">
        <v>2017</v>
      </c>
      <c r="E149" t="s">
        <v>101</v>
      </c>
      <c r="F149">
        <v>113.6</v>
      </c>
      <c r="G149" t="s">
        <v>361</v>
      </c>
      <c r="H149">
        <f>electric_vehicles_dataset[[#This Row],[Battery_Capacity_kWh]]/electric_vehicles_dataset[[#This Row],[Range_km]]</f>
        <v>0.32457142857142857</v>
      </c>
      <c r="I149">
        <v>350</v>
      </c>
      <c r="J149" t="s">
        <v>85</v>
      </c>
      <c r="K149">
        <v>11</v>
      </c>
      <c r="L149" s="1">
        <v>95056.42</v>
      </c>
      <c r="M149" s="1" t="str" cm="1">
        <f t="array" ref="M14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9" t="s">
        <v>39</v>
      </c>
      <c r="O149" t="s">
        <v>67</v>
      </c>
      <c r="P149" s="2" t="s">
        <v>394</v>
      </c>
      <c r="Q149">
        <v>0</v>
      </c>
      <c r="R149" t="s">
        <v>390</v>
      </c>
      <c r="S149" s="1">
        <f>electric_vehicles_dataset[[#This Row],[Units_Sold_2024]]*electric_vehicles_dataset[[#This Row],[Price_USD]]</f>
        <v>1284497403.46</v>
      </c>
      <c r="T149">
        <v>3</v>
      </c>
      <c r="U149">
        <v>13513</v>
      </c>
      <c r="V149">
        <v>3</v>
      </c>
    </row>
    <row r="150" spans="1:22" x14ac:dyDescent="0.35">
      <c r="A150">
        <v>149</v>
      </c>
      <c r="B150" t="s">
        <v>16</v>
      </c>
      <c r="C150" t="s">
        <v>347</v>
      </c>
      <c r="D150">
        <v>2016</v>
      </c>
      <c r="E150" t="s">
        <v>17</v>
      </c>
      <c r="F150">
        <v>39.6</v>
      </c>
      <c r="G150" t="s">
        <v>357</v>
      </c>
      <c r="H150">
        <f>electric_vehicles_dataset[[#This Row],[Battery_Capacity_kWh]]/electric_vehicles_dataset[[#This Row],[Range_km]]</f>
        <v>0.18767772511848341</v>
      </c>
      <c r="I150">
        <v>211</v>
      </c>
      <c r="J150" t="s">
        <v>345</v>
      </c>
      <c r="K150">
        <v>5</v>
      </c>
      <c r="L150" s="1">
        <v>104140.23</v>
      </c>
      <c r="M150" s="1" t="str" cm="1">
        <f t="array" ref="M1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0" t="s">
        <v>117</v>
      </c>
      <c r="O150" t="s">
        <v>118</v>
      </c>
      <c r="P150" s="2" t="s">
        <v>389</v>
      </c>
      <c r="Q150">
        <v>5</v>
      </c>
      <c r="R150" t="s">
        <v>392</v>
      </c>
      <c r="S150" s="1">
        <f>electric_vehicles_dataset[[#This Row],[Units_Sold_2024]]*electric_vehicles_dataset[[#This Row],[Price_USD]]</f>
        <v>1882438797.48</v>
      </c>
      <c r="T150">
        <v>4</v>
      </c>
      <c r="U150">
        <v>18076</v>
      </c>
      <c r="V150">
        <v>4</v>
      </c>
    </row>
    <row r="151" spans="1:22" x14ac:dyDescent="0.35">
      <c r="A151">
        <v>150</v>
      </c>
      <c r="B151" t="s">
        <v>79</v>
      </c>
      <c r="C151" t="s">
        <v>267</v>
      </c>
      <c r="D151">
        <v>2023</v>
      </c>
      <c r="E151" t="s">
        <v>17</v>
      </c>
      <c r="F151">
        <v>55.7</v>
      </c>
      <c r="G151" t="s">
        <v>348</v>
      </c>
      <c r="H151">
        <f>electric_vehicles_dataset[[#This Row],[Battery_Capacity_kWh]]/electric_vehicles_dataset[[#This Row],[Range_km]]</f>
        <v>9.2833333333333337E-2</v>
      </c>
      <c r="I151">
        <v>600</v>
      </c>
      <c r="J151" t="s">
        <v>54</v>
      </c>
      <c r="K151">
        <v>1</v>
      </c>
      <c r="L151" s="1">
        <v>127578.87</v>
      </c>
      <c r="M151" s="1" t="str" cm="1">
        <f t="array" ref="M15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1" t="s">
        <v>106</v>
      </c>
      <c r="O151" t="s">
        <v>199</v>
      </c>
      <c r="P151" s="2" t="s">
        <v>394</v>
      </c>
      <c r="Q151">
        <v>1</v>
      </c>
      <c r="R151" t="s">
        <v>391</v>
      </c>
      <c r="S151" s="1">
        <f>electric_vehicles_dataset[[#This Row],[Units_Sold_2024]]*electric_vehicles_dataset[[#This Row],[Price_USD]]</f>
        <v>622457306.73000002</v>
      </c>
      <c r="T151">
        <v>4</v>
      </c>
      <c r="U151">
        <v>4879</v>
      </c>
      <c r="V151">
        <v>3</v>
      </c>
    </row>
    <row r="152" spans="1:22" x14ac:dyDescent="0.35">
      <c r="A152">
        <v>151</v>
      </c>
      <c r="B152" t="s">
        <v>112</v>
      </c>
      <c r="C152" t="s">
        <v>237</v>
      </c>
      <c r="D152">
        <v>2023</v>
      </c>
      <c r="E152" t="s">
        <v>133</v>
      </c>
      <c r="F152">
        <v>126</v>
      </c>
      <c r="G152" t="s">
        <v>352</v>
      </c>
      <c r="H152">
        <f>electric_vehicles_dataset[[#This Row],[Battery_Capacity_kWh]]/electric_vehicles_dataset[[#This Row],[Range_km]]</f>
        <v>0.53389830508474578</v>
      </c>
      <c r="I152">
        <v>236</v>
      </c>
      <c r="J152" t="s">
        <v>34</v>
      </c>
      <c r="K152">
        <v>1</v>
      </c>
      <c r="L152" s="1">
        <v>145115.74</v>
      </c>
      <c r="M152" s="1" t="str" cm="1">
        <f t="array" ref="M15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2" t="s">
        <v>32</v>
      </c>
      <c r="O152" t="s">
        <v>182</v>
      </c>
      <c r="P152" s="2" t="s">
        <v>394</v>
      </c>
      <c r="Q152">
        <v>5</v>
      </c>
      <c r="R152" t="s">
        <v>392</v>
      </c>
      <c r="S152" s="1">
        <f>electric_vehicles_dataset[[#This Row],[Units_Sold_2024]]*electric_vehicles_dataset[[#This Row],[Price_USD]]</f>
        <v>150630138.12</v>
      </c>
      <c r="T152">
        <v>3</v>
      </c>
      <c r="U152">
        <v>1038</v>
      </c>
      <c r="V152">
        <v>3</v>
      </c>
    </row>
    <row r="153" spans="1:22" x14ac:dyDescent="0.35">
      <c r="A153">
        <v>152</v>
      </c>
      <c r="B153" t="s">
        <v>36</v>
      </c>
      <c r="C153" t="s">
        <v>211</v>
      </c>
      <c r="D153">
        <v>2021</v>
      </c>
      <c r="E153" t="s">
        <v>47</v>
      </c>
      <c r="F153">
        <v>81.900000000000006</v>
      </c>
      <c r="G153" t="s">
        <v>350</v>
      </c>
      <c r="H153">
        <f>electric_vehicles_dataset[[#This Row],[Battery_Capacity_kWh]]/electric_vehicles_dataset[[#This Row],[Range_km]]</f>
        <v>0.19225352112676058</v>
      </c>
      <c r="I153">
        <v>426</v>
      </c>
      <c r="J153" t="s">
        <v>76</v>
      </c>
      <c r="K153">
        <v>9</v>
      </c>
      <c r="L153" s="1">
        <v>39922.33</v>
      </c>
      <c r="M153" s="1" t="str" cm="1">
        <f t="array" ref="M15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3" t="s">
        <v>77</v>
      </c>
      <c r="O153" t="s">
        <v>199</v>
      </c>
      <c r="P153" s="2" t="s">
        <v>394</v>
      </c>
      <c r="Q153">
        <v>2</v>
      </c>
      <c r="R153" t="s">
        <v>391</v>
      </c>
      <c r="S153" s="1">
        <f>electric_vehicles_dataset[[#This Row],[Units_Sold_2024]]*electric_vehicles_dataset[[#This Row],[Price_USD]]</f>
        <v>690895842.98000002</v>
      </c>
      <c r="T153">
        <v>3</v>
      </c>
      <c r="U153">
        <v>17306</v>
      </c>
      <c r="V153">
        <v>3</v>
      </c>
    </row>
    <row r="154" spans="1:22" x14ac:dyDescent="0.35">
      <c r="A154">
        <v>153</v>
      </c>
      <c r="B154" t="s">
        <v>128</v>
      </c>
      <c r="C154" t="s">
        <v>268</v>
      </c>
      <c r="D154">
        <v>2024</v>
      </c>
      <c r="E154" t="s">
        <v>130</v>
      </c>
      <c r="F154">
        <v>55.2</v>
      </c>
      <c r="G154" t="s">
        <v>348</v>
      </c>
      <c r="H154">
        <f>electric_vehicles_dataset[[#This Row],[Battery_Capacity_kWh]]/electric_vehicles_dataset[[#This Row],[Range_km]]</f>
        <v>9.6335078534031421E-2</v>
      </c>
      <c r="I154">
        <v>573</v>
      </c>
      <c r="J154" t="s">
        <v>364</v>
      </c>
      <c r="K154">
        <v>8</v>
      </c>
      <c r="L154" s="1">
        <v>63644.76</v>
      </c>
      <c r="M154" s="1" t="str" cm="1">
        <f t="array" ref="M1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4" t="s">
        <v>19</v>
      </c>
      <c r="O154" t="s">
        <v>182</v>
      </c>
      <c r="P154" s="2" t="s">
        <v>394</v>
      </c>
      <c r="Q154">
        <v>1</v>
      </c>
      <c r="R154" t="s">
        <v>391</v>
      </c>
      <c r="S154" s="1">
        <f>electric_vehicles_dataset[[#This Row],[Units_Sold_2024]]*electric_vehicles_dataset[[#This Row],[Price_USD]]</f>
        <v>1224206958.6000001</v>
      </c>
      <c r="T154">
        <v>3</v>
      </c>
      <c r="U154">
        <v>19235</v>
      </c>
      <c r="V154">
        <v>3</v>
      </c>
    </row>
    <row r="155" spans="1:22" x14ac:dyDescent="0.35">
      <c r="A155">
        <v>154</v>
      </c>
      <c r="B155" t="s">
        <v>51</v>
      </c>
      <c r="C155" t="s">
        <v>162</v>
      </c>
      <c r="D155">
        <v>2021</v>
      </c>
      <c r="E155" t="s">
        <v>53</v>
      </c>
      <c r="F155">
        <v>30</v>
      </c>
      <c r="G155" t="s">
        <v>357</v>
      </c>
      <c r="H155">
        <f>electric_vehicles_dataset[[#This Row],[Battery_Capacity_kWh]]/electric_vehicles_dataset[[#This Row],[Range_km]]</f>
        <v>0.16393442622950818</v>
      </c>
      <c r="I155">
        <v>183</v>
      </c>
      <c r="J155" t="s">
        <v>353</v>
      </c>
      <c r="K155">
        <v>7</v>
      </c>
      <c r="L155" s="1">
        <v>131933.09</v>
      </c>
      <c r="M155" s="1" t="str" cm="1">
        <f t="array" ref="M15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5" t="s">
        <v>106</v>
      </c>
      <c r="O155" t="s">
        <v>107</v>
      </c>
      <c r="P155" s="2" t="s">
        <v>394</v>
      </c>
      <c r="Q155">
        <v>5</v>
      </c>
      <c r="R155" t="s">
        <v>392</v>
      </c>
      <c r="S155" s="1">
        <f>electric_vehicles_dataset[[#This Row],[Units_Sold_2024]]*electric_vehicles_dataset[[#This Row],[Price_USD]]</f>
        <v>338936108.20999998</v>
      </c>
      <c r="T155">
        <v>5</v>
      </c>
      <c r="U155">
        <v>2569</v>
      </c>
      <c r="V155">
        <v>5</v>
      </c>
    </row>
    <row r="156" spans="1:22" x14ac:dyDescent="0.35">
      <c r="A156">
        <v>155</v>
      </c>
      <c r="B156" t="s">
        <v>269</v>
      </c>
      <c r="C156" t="s">
        <v>270</v>
      </c>
      <c r="D156">
        <v>2015</v>
      </c>
      <c r="E156" t="s">
        <v>58</v>
      </c>
      <c r="F156">
        <v>76.8</v>
      </c>
      <c r="G156" t="s">
        <v>351</v>
      </c>
      <c r="H156">
        <f>electric_vehicles_dataset[[#This Row],[Battery_Capacity_kWh]]/electric_vehicles_dataset[[#This Row],[Range_km]]</f>
        <v>0.14517958412098297</v>
      </c>
      <c r="I156">
        <v>529</v>
      </c>
      <c r="J156" t="s">
        <v>364</v>
      </c>
      <c r="K156">
        <v>4</v>
      </c>
      <c r="L156" s="1">
        <v>122280.68</v>
      </c>
      <c r="M156" s="1" t="str" cm="1">
        <f t="array" ref="M15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6" t="s">
        <v>160</v>
      </c>
      <c r="O156" t="s">
        <v>164</v>
      </c>
      <c r="P156" s="2" t="s">
        <v>394</v>
      </c>
      <c r="Q156">
        <v>2</v>
      </c>
      <c r="R156" t="s">
        <v>391</v>
      </c>
      <c r="S156" s="1">
        <f>electric_vehicles_dataset[[#This Row],[Units_Sold_2024]]*electric_vehicles_dataset[[#This Row],[Price_USD]]</f>
        <v>1965784211.6799998</v>
      </c>
      <c r="T156">
        <v>4</v>
      </c>
      <c r="U156">
        <v>16076</v>
      </c>
      <c r="V156">
        <v>3</v>
      </c>
    </row>
    <row r="157" spans="1:22" x14ac:dyDescent="0.35">
      <c r="A157">
        <v>156</v>
      </c>
      <c r="B157" t="s">
        <v>243</v>
      </c>
      <c r="C157" t="s">
        <v>371</v>
      </c>
      <c r="D157">
        <v>2021</v>
      </c>
      <c r="E157" t="s">
        <v>101</v>
      </c>
      <c r="F157">
        <v>108.4</v>
      </c>
      <c r="G157" t="s">
        <v>361</v>
      </c>
      <c r="H157">
        <f>electric_vehicles_dataset[[#This Row],[Battery_Capacity_kWh]]/electric_vehicles_dataset[[#This Row],[Range_km]]</f>
        <v>0.24748858447488586</v>
      </c>
      <c r="I157">
        <v>438</v>
      </c>
      <c r="J157" t="s">
        <v>34</v>
      </c>
      <c r="K157">
        <v>2</v>
      </c>
      <c r="L157" s="1">
        <v>104233.91</v>
      </c>
      <c r="M157" s="1" t="str" cm="1">
        <f t="array" ref="M15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7" t="s">
        <v>271</v>
      </c>
      <c r="O157" t="s">
        <v>78</v>
      </c>
      <c r="P157" s="2" t="s">
        <v>389</v>
      </c>
      <c r="Q157">
        <v>0</v>
      </c>
      <c r="R157" t="s">
        <v>390</v>
      </c>
      <c r="S157" s="1">
        <f>electric_vehicles_dataset[[#This Row],[Units_Sold_2024]]*electric_vehicles_dataset[[#This Row],[Price_USD]]</f>
        <v>526902415.05000001</v>
      </c>
      <c r="T157">
        <v>5</v>
      </c>
      <c r="U157">
        <v>5055</v>
      </c>
      <c r="V157">
        <v>5</v>
      </c>
    </row>
    <row r="158" spans="1:22" x14ac:dyDescent="0.35">
      <c r="A158">
        <v>157</v>
      </c>
      <c r="B158" t="s">
        <v>24</v>
      </c>
      <c r="C158" t="s">
        <v>272</v>
      </c>
      <c r="D158">
        <v>2020</v>
      </c>
      <c r="E158" t="s">
        <v>58</v>
      </c>
      <c r="F158">
        <v>31.9</v>
      </c>
      <c r="G158" t="s">
        <v>357</v>
      </c>
      <c r="H158">
        <f>electric_vehicles_dataset[[#This Row],[Battery_Capacity_kWh]]/electric_vehicles_dataset[[#This Row],[Range_km]]</f>
        <v>5.4810996563573883E-2</v>
      </c>
      <c r="I158">
        <v>582</v>
      </c>
      <c r="J158" t="s">
        <v>54</v>
      </c>
      <c r="K158">
        <v>6</v>
      </c>
      <c r="L158" s="1">
        <v>121361.58</v>
      </c>
      <c r="M158" s="1" t="str" cm="1">
        <f t="array" ref="M15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8" t="s">
        <v>175</v>
      </c>
      <c r="O158" t="s">
        <v>150</v>
      </c>
      <c r="P158" s="2" t="s">
        <v>389</v>
      </c>
      <c r="Q158">
        <v>0</v>
      </c>
      <c r="R158" t="s">
        <v>390</v>
      </c>
      <c r="S158" s="1">
        <f>electric_vehicles_dataset[[#This Row],[Units_Sold_2024]]*electric_vehicles_dataset[[#This Row],[Price_USD]]</f>
        <v>1622604324.5999999</v>
      </c>
      <c r="T158">
        <v>5</v>
      </c>
      <c r="U158">
        <v>13370</v>
      </c>
      <c r="V158">
        <v>3</v>
      </c>
    </row>
    <row r="159" spans="1:22" x14ac:dyDescent="0.35">
      <c r="A159">
        <v>158</v>
      </c>
      <c r="B159" t="s">
        <v>144</v>
      </c>
      <c r="C159" t="s">
        <v>273</v>
      </c>
      <c r="D159">
        <v>2020</v>
      </c>
      <c r="E159" t="s">
        <v>47</v>
      </c>
      <c r="F159">
        <v>32.1</v>
      </c>
      <c r="G159" t="s">
        <v>357</v>
      </c>
      <c r="H159">
        <f>electric_vehicles_dataset[[#This Row],[Battery_Capacity_kWh]]/electric_vehicles_dataset[[#This Row],[Range_km]]</f>
        <v>7.9064039408866998E-2</v>
      </c>
      <c r="I159">
        <v>406</v>
      </c>
      <c r="J159" t="s">
        <v>38</v>
      </c>
      <c r="K159">
        <v>10</v>
      </c>
      <c r="L159" s="1">
        <v>31480.87</v>
      </c>
      <c r="M159" s="1" t="str" cm="1">
        <f t="array" ref="M15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9" t="s">
        <v>70</v>
      </c>
      <c r="O159" t="s">
        <v>110</v>
      </c>
      <c r="P159" s="2" t="s">
        <v>394</v>
      </c>
      <c r="Q159">
        <v>5</v>
      </c>
      <c r="R159" t="s">
        <v>392</v>
      </c>
      <c r="S159" s="1">
        <f>electric_vehicles_dataset[[#This Row],[Units_Sold_2024]]*electric_vehicles_dataset[[#This Row],[Price_USD]]</f>
        <v>589982984.66999996</v>
      </c>
      <c r="T159">
        <v>3</v>
      </c>
      <c r="U159">
        <v>18741</v>
      </c>
      <c r="V159">
        <v>5</v>
      </c>
    </row>
    <row r="160" spans="1:22" x14ac:dyDescent="0.35">
      <c r="A160">
        <v>159</v>
      </c>
      <c r="B160" t="s">
        <v>220</v>
      </c>
      <c r="C160" t="s">
        <v>274</v>
      </c>
      <c r="D160">
        <v>2017</v>
      </c>
      <c r="E160" t="s">
        <v>101</v>
      </c>
      <c r="F160">
        <v>55</v>
      </c>
      <c r="G160" t="s">
        <v>348</v>
      </c>
      <c r="H160">
        <f>electric_vehicles_dataset[[#This Row],[Battery_Capacity_kWh]]/electric_vehicles_dataset[[#This Row],[Range_km]]</f>
        <v>0.2320675105485232</v>
      </c>
      <c r="I160">
        <v>237</v>
      </c>
      <c r="J160" t="s">
        <v>356</v>
      </c>
      <c r="K160">
        <v>2</v>
      </c>
      <c r="L160" s="1">
        <v>50064.89</v>
      </c>
      <c r="M160" s="1" t="str" cm="1">
        <f t="array" ref="M16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0" t="s">
        <v>49</v>
      </c>
      <c r="O160" t="s">
        <v>169</v>
      </c>
      <c r="P160" s="2" t="s">
        <v>394</v>
      </c>
      <c r="Q160">
        <v>0</v>
      </c>
      <c r="R160" t="s">
        <v>390</v>
      </c>
      <c r="S160" s="1">
        <f>electric_vehicles_dataset[[#This Row],[Units_Sold_2024]]*electric_vehicles_dataset[[#This Row],[Price_USD]]</f>
        <v>813354202.93999994</v>
      </c>
      <c r="T160">
        <v>5</v>
      </c>
      <c r="U160">
        <v>16246</v>
      </c>
      <c r="V160">
        <v>5</v>
      </c>
    </row>
    <row r="161" spans="1:22" x14ac:dyDescent="0.35">
      <c r="A161">
        <v>160</v>
      </c>
      <c r="B161" t="s">
        <v>155</v>
      </c>
      <c r="C161" t="s">
        <v>156</v>
      </c>
      <c r="D161">
        <v>2022</v>
      </c>
      <c r="E161" t="s">
        <v>58</v>
      </c>
      <c r="F161">
        <v>37.6</v>
      </c>
      <c r="G161" t="s">
        <v>357</v>
      </c>
      <c r="H161">
        <f>electric_vehicles_dataset[[#This Row],[Battery_Capacity_kWh]]/electric_vehicles_dataset[[#This Row],[Range_km]]</f>
        <v>0.36504854368932038</v>
      </c>
      <c r="I161">
        <v>103</v>
      </c>
      <c r="J161" t="s">
        <v>34</v>
      </c>
      <c r="K161">
        <v>4</v>
      </c>
      <c r="L161" s="1">
        <v>104423.06</v>
      </c>
      <c r="M161" s="1" t="str" cm="1">
        <f t="array" ref="M16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1" t="s">
        <v>271</v>
      </c>
      <c r="O161" t="s">
        <v>50</v>
      </c>
      <c r="P161" s="2" t="s">
        <v>396</v>
      </c>
      <c r="Q161">
        <v>3</v>
      </c>
      <c r="R161" t="s">
        <v>397</v>
      </c>
      <c r="S161" s="1">
        <f>electric_vehicles_dataset[[#This Row],[Units_Sold_2024]]*electric_vehicles_dataset[[#This Row],[Price_USD]]</f>
        <v>465726847.59999996</v>
      </c>
      <c r="T161">
        <v>5</v>
      </c>
      <c r="U161">
        <v>4460</v>
      </c>
      <c r="V161">
        <v>4</v>
      </c>
    </row>
    <row r="162" spans="1:22" x14ac:dyDescent="0.35">
      <c r="A162">
        <v>161</v>
      </c>
      <c r="B162" t="s">
        <v>56</v>
      </c>
      <c r="C162" t="s">
        <v>57</v>
      </c>
      <c r="D162">
        <v>2022</v>
      </c>
      <c r="E162" t="s">
        <v>104</v>
      </c>
      <c r="F162">
        <v>43.1</v>
      </c>
      <c r="G162" t="s">
        <v>348</v>
      </c>
      <c r="H162">
        <f>electric_vehicles_dataset[[#This Row],[Battery_Capacity_kWh]]/electric_vehicles_dataset[[#This Row],[Range_km]]</f>
        <v>0.14224422442244225</v>
      </c>
      <c r="I162">
        <v>303</v>
      </c>
      <c r="J162" t="s">
        <v>38</v>
      </c>
      <c r="K162">
        <v>4</v>
      </c>
      <c r="L162" s="1">
        <v>113394.93</v>
      </c>
      <c r="M162" s="1" t="str" cm="1">
        <f t="array" ref="M16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2" t="s">
        <v>214</v>
      </c>
      <c r="O162" t="s">
        <v>182</v>
      </c>
      <c r="P162" s="2" t="s">
        <v>394</v>
      </c>
      <c r="Q162">
        <v>2</v>
      </c>
      <c r="R162" t="s">
        <v>391</v>
      </c>
      <c r="S162" s="1">
        <f>electric_vehicles_dataset[[#This Row],[Units_Sold_2024]]*electric_vehicles_dataset[[#This Row],[Price_USD]]</f>
        <v>1356203362.8</v>
      </c>
      <c r="T162">
        <v>4</v>
      </c>
      <c r="U162">
        <v>11960</v>
      </c>
      <c r="V162">
        <v>3</v>
      </c>
    </row>
    <row r="163" spans="1:22" x14ac:dyDescent="0.35">
      <c r="A163">
        <v>162</v>
      </c>
      <c r="B163" t="s">
        <v>261</v>
      </c>
      <c r="C163" t="s">
        <v>372</v>
      </c>
      <c r="D163">
        <v>2024</v>
      </c>
      <c r="E163" t="s">
        <v>47</v>
      </c>
      <c r="F163">
        <v>43.4</v>
      </c>
      <c r="G163" t="s">
        <v>348</v>
      </c>
      <c r="H163">
        <f>electric_vehicles_dataset[[#This Row],[Battery_Capacity_kWh]]/electric_vehicles_dataset[[#This Row],[Range_km]]</f>
        <v>8.8032454361054766E-2</v>
      </c>
      <c r="I163">
        <v>493</v>
      </c>
      <c r="J163" t="s">
        <v>76</v>
      </c>
      <c r="K163">
        <v>12</v>
      </c>
      <c r="L163" s="1">
        <v>85394.67</v>
      </c>
      <c r="M163" s="1" t="str" cm="1">
        <f t="array" ref="M16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3" t="s">
        <v>66</v>
      </c>
      <c r="O163" t="s">
        <v>124</v>
      </c>
      <c r="P163" s="2" t="s">
        <v>389</v>
      </c>
      <c r="Q163">
        <v>2</v>
      </c>
      <c r="R163" t="s">
        <v>391</v>
      </c>
      <c r="S163" s="1">
        <f>electric_vehicles_dataset[[#This Row],[Units_Sold_2024]]*electric_vehicles_dataset[[#This Row],[Price_USD]]</f>
        <v>1144800946.02</v>
      </c>
      <c r="T163">
        <v>4</v>
      </c>
      <c r="U163">
        <v>13406</v>
      </c>
      <c r="V163">
        <v>5</v>
      </c>
    </row>
    <row r="164" spans="1:22" x14ac:dyDescent="0.35">
      <c r="A164">
        <v>163</v>
      </c>
      <c r="B164" t="s">
        <v>262</v>
      </c>
      <c r="C164" t="s">
        <v>263</v>
      </c>
      <c r="D164">
        <v>2025</v>
      </c>
      <c r="E164" t="s">
        <v>133</v>
      </c>
      <c r="F164">
        <v>51.5</v>
      </c>
      <c r="G164" t="s">
        <v>348</v>
      </c>
      <c r="H164">
        <f>electric_vehicles_dataset[[#This Row],[Battery_Capacity_kWh]]/electric_vehicles_dataset[[#This Row],[Range_km]]</f>
        <v>0.11784897025171624</v>
      </c>
      <c r="I164">
        <v>437</v>
      </c>
      <c r="J164" t="s">
        <v>18</v>
      </c>
      <c r="K164">
        <v>9</v>
      </c>
      <c r="L164" s="1">
        <v>124689.21</v>
      </c>
      <c r="M164" s="1" t="str" cm="1">
        <f t="array" ref="M1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4" t="s">
        <v>228</v>
      </c>
      <c r="O164" t="s">
        <v>236</v>
      </c>
      <c r="P164" s="2" t="s">
        <v>394</v>
      </c>
      <c r="Q164">
        <v>3</v>
      </c>
      <c r="R164" t="s">
        <v>397</v>
      </c>
      <c r="S164" s="1">
        <f>electric_vehicles_dataset[[#This Row],[Units_Sold_2024]]*electric_vehicles_dataset[[#This Row],[Price_USD]]</f>
        <v>1708990312.26</v>
      </c>
      <c r="T164">
        <v>5</v>
      </c>
      <c r="U164">
        <v>13706</v>
      </c>
      <c r="V164">
        <v>5</v>
      </c>
    </row>
    <row r="165" spans="1:22" x14ac:dyDescent="0.35">
      <c r="A165">
        <v>164</v>
      </c>
      <c r="B165" t="s">
        <v>108</v>
      </c>
      <c r="C165" t="s">
        <v>369</v>
      </c>
      <c r="D165">
        <v>2023</v>
      </c>
      <c r="E165" t="s">
        <v>90</v>
      </c>
      <c r="F165">
        <v>103</v>
      </c>
      <c r="G165" t="s">
        <v>361</v>
      </c>
      <c r="H165">
        <f>electric_vehicles_dataset[[#This Row],[Battery_Capacity_kWh]]/electric_vehicles_dataset[[#This Row],[Range_km]]</f>
        <v>0.72027972027972031</v>
      </c>
      <c r="I165">
        <v>143</v>
      </c>
      <c r="J165" t="s">
        <v>48</v>
      </c>
      <c r="K165">
        <v>9</v>
      </c>
      <c r="L165" s="1">
        <v>108912.2</v>
      </c>
      <c r="M165" s="1" t="str" cm="1">
        <f t="array" ref="M16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5" t="s">
        <v>91</v>
      </c>
      <c r="O165" t="s">
        <v>23</v>
      </c>
      <c r="P165" s="2" t="s">
        <v>389</v>
      </c>
      <c r="Q165">
        <v>0</v>
      </c>
      <c r="R165" t="s">
        <v>390</v>
      </c>
      <c r="S165" s="1">
        <f>electric_vehicles_dataset[[#This Row],[Units_Sold_2024]]*electric_vehicles_dataset[[#This Row],[Price_USD]]</f>
        <v>1426096346.8</v>
      </c>
      <c r="T165">
        <v>5</v>
      </c>
      <c r="U165">
        <v>13094</v>
      </c>
      <c r="V165">
        <v>4</v>
      </c>
    </row>
    <row r="166" spans="1:22" x14ac:dyDescent="0.35">
      <c r="A166">
        <v>165</v>
      </c>
      <c r="B166" t="s">
        <v>170</v>
      </c>
      <c r="C166" t="s">
        <v>275</v>
      </c>
      <c r="D166">
        <v>2016</v>
      </c>
      <c r="E166" t="s">
        <v>84</v>
      </c>
      <c r="F166">
        <v>32.799999999999997</v>
      </c>
      <c r="G166" t="s">
        <v>357</v>
      </c>
      <c r="H166">
        <f>electric_vehicles_dataset[[#This Row],[Battery_Capacity_kWh]]/electric_vehicles_dataset[[#This Row],[Range_km]]</f>
        <v>0.15399061032863848</v>
      </c>
      <c r="I166">
        <v>213</v>
      </c>
      <c r="J166" t="s">
        <v>353</v>
      </c>
      <c r="K166">
        <v>6</v>
      </c>
      <c r="L166" s="1">
        <v>76936.100000000006</v>
      </c>
      <c r="M166" s="1" t="str" cm="1">
        <f t="array" ref="M16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6" t="s">
        <v>168</v>
      </c>
      <c r="O166" t="s">
        <v>167</v>
      </c>
      <c r="P166" s="2" t="s">
        <v>394</v>
      </c>
      <c r="Q166">
        <v>1</v>
      </c>
      <c r="R166" t="s">
        <v>391</v>
      </c>
      <c r="S166" s="1">
        <f>electric_vehicles_dataset[[#This Row],[Units_Sold_2024]]*electric_vehicles_dataset[[#This Row],[Price_USD]]</f>
        <v>263506142.50000003</v>
      </c>
      <c r="T166">
        <v>4</v>
      </c>
      <c r="U166">
        <v>3425</v>
      </c>
      <c r="V166">
        <v>4</v>
      </c>
    </row>
    <row r="167" spans="1:22" x14ac:dyDescent="0.35">
      <c r="A167">
        <v>166</v>
      </c>
      <c r="B167" t="s">
        <v>125</v>
      </c>
      <c r="C167" t="s">
        <v>276</v>
      </c>
      <c r="D167">
        <v>2016</v>
      </c>
      <c r="E167" t="s">
        <v>26</v>
      </c>
      <c r="F167">
        <v>142.30000000000001</v>
      </c>
      <c r="G167" t="s">
        <v>386</v>
      </c>
      <c r="H167">
        <f>electric_vehicles_dataset[[#This Row],[Battery_Capacity_kWh]]/electric_vehicles_dataset[[#This Row],[Range_km]]</f>
        <v>0.82732558139534895</v>
      </c>
      <c r="I167">
        <v>172</v>
      </c>
      <c r="J167" t="s">
        <v>149</v>
      </c>
      <c r="K167">
        <v>4</v>
      </c>
      <c r="L167" s="1">
        <v>84639.92</v>
      </c>
      <c r="M167" s="1" t="str" cm="1">
        <f t="array" ref="M16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7" t="s">
        <v>205</v>
      </c>
      <c r="O167" t="s">
        <v>121</v>
      </c>
      <c r="P167" s="2" t="s">
        <v>398</v>
      </c>
      <c r="Q167">
        <v>3</v>
      </c>
      <c r="R167" t="s">
        <v>397</v>
      </c>
      <c r="S167" s="1">
        <f>electric_vehicles_dataset[[#This Row],[Units_Sold_2024]]*electric_vehicles_dataset[[#This Row],[Price_USD]]</f>
        <v>884487164</v>
      </c>
      <c r="T167">
        <v>4</v>
      </c>
      <c r="U167">
        <v>10450</v>
      </c>
      <c r="V167">
        <v>3</v>
      </c>
    </row>
    <row r="168" spans="1:22" x14ac:dyDescent="0.35">
      <c r="A168">
        <v>167</v>
      </c>
      <c r="B168" t="s">
        <v>234</v>
      </c>
      <c r="C168" t="s">
        <v>235</v>
      </c>
      <c r="D168">
        <v>2016</v>
      </c>
      <c r="E168" t="s">
        <v>84</v>
      </c>
      <c r="F168">
        <v>130.4</v>
      </c>
      <c r="G168" t="s">
        <v>352</v>
      </c>
      <c r="H168">
        <f>electric_vehicles_dataset[[#This Row],[Battery_Capacity_kWh]]/electric_vehicles_dataset[[#This Row],[Range_km]]</f>
        <v>0.30255220417633411</v>
      </c>
      <c r="I168">
        <v>431</v>
      </c>
      <c r="J168" t="s">
        <v>48</v>
      </c>
      <c r="K168">
        <v>8</v>
      </c>
      <c r="L168" s="1">
        <v>49722.49</v>
      </c>
      <c r="M168" s="1" t="str" cm="1">
        <f t="array" ref="M16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8" t="s">
        <v>277</v>
      </c>
      <c r="O168" t="s">
        <v>78</v>
      </c>
      <c r="P168" s="2" t="s">
        <v>389</v>
      </c>
      <c r="Q168">
        <v>4</v>
      </c>
      <c r="R168" t="s">
        <v>392</v>
      </c>
      <c r="S168" s="1">
        <f>electric_vehicles_dataset[[#This Row],[Units_Sold_2024]]*electric_vehicles_dataset[[#This Row],[Price_USD]]</f>
        <v>377741756.52999997</v>
      </c>
      <c r="T168">
        <v>4</v>
      </c>
      <c r="U168">
        <v>7597</v>
      </c>
      <c r="V168">
        <v>4</v>
      </c>
    </row>
    <row r="169" spans="1:22" x14ac:dyDescent="0.35">
      <c r="A169">
        <v>168</v>
      </c>
      <c r="B169" t="s">
        <v>16</v>
      </c>
      <c r="C169" t="s">
        <v>347</v>
      </c>
      <c r="D169">
        <v>2017</v>
      </c>
      <c r="E169" t="s">
        <v>73</v>
      </c>
      <c r="F169">
        <v>105.5</v>
      </c>
      <c r="G169" t="s">
        <v>361</v>
      </c>
      <c r="H169">
        <f>electric_vehicles_dataset[[#This Row],[Battery_Capacity_kWh]]/electric_vehicles_dataset[[#This Row],[Range_km]]</f>
        <v>0.34933774834437087</v>
      </c>
      <c r="I169">
        <v>302</v>
      </c>
      <c r="J169" t="s">
        <v>76</v>
      </c>
      <c r="K169">
        <v>9</v>
      </c>
      <c r="L169" s="1">
        <v>135971.68</v>
      </c>
      <c r="M169" s="1" t="str" cm="1">
        <f t="array" ref="M16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9" t="s">
        <v>172</v>
      </c>
      <c r="O169" t="s">
        <v>167</v>
      </c>
      <c r="P169" s="2" t="s">
        <v>394</v>
      </c>
      <c r="Q169">
        <v>0</v>
      </c>
      <c r="R169" t="s">
        <v>390</v>
      </c>
      <c r="S169" s="1">
        <f>electric_vehicles_dataset[[#This Row],[Units_Sold_2024]]*electric_vehicles_dataset[[#This Row],[Price_USD]]</f>
        <v>278741944</v>
      </c>
      <c r="T169">
        <v>5</v>
      </c>
      <c r="U169">
        <v>2050</v>
      </c>
      <c r="V169">
        <v>5</v>
      </c>
    </row>
    <row r="170" spans="1:22" x14ac:dyDescent="0.35">
      <c r="A170">
        <v>169</v>
      </c>
      <c r="B170" t="s">
        <v>184</v>
      </c>
      <c r="C170" t="s">
        <v>213</v>
      </c>
      <c r="D170">
        <v>2020</v>
      </c>
      <c r="E170" t="s">
        <v>104</v>
      </c>
      <c r="F170">
        <v>45.6</v>
      </c>
      <c r="G170" t="s">
        <v>348</v>
      </c>
      <c r="H170">
        <f>electric_vehicles_dataset[[#This Row],[Battery_Capacity_kWh]]/electric_vehicles_dataset[[#This Row],[Range_km]]</f>
        <v>0.28860759493670884</v>
      </c>
      <c r="I170">
        <v>158</v>
      </c>
      <c r="J170" t="s">
        <v>105</v>
      </c>
      <c r="K170">
        <v>8</v>
      </c>
      <c r="L170" s="1">
        <v>88738.08</v>
      </c>
      <c r="M170" s="1" t="str" cm="1">
        <f t="array" ref="M1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0" t="s">
        <v>238</v>
      </c>
      <c r="O170" t="s">
        <v>89</v>
      </c>
      <c r="P170" s="2" t="s">
        <v>389</v>
      </c>
      <c r="Q170">
        <v>4</v>
      </c>
      <c r="R170" t="s">
        <v>392</v>
      </c>
      <c r="S170" s="1">
        <f>electric_vehicles_dataset[[#This Row],[Units_Sold_2024]]*electric_vehicles_dataset[[#This Row],[Price_USD]]</f>
        <v>1331337414.24</v>
      </c>
      <c r="T170">
        <v>4</v>
      </c>
      <c r="U170">
        <v>15003</v>
      </c>
      <c r="V170">
        <v>5</v>
      </c>
    </row>
    <row r="171" spans="1:22" x14ac:dyDescent="0.35">
      <c r="A171">
        <v>170</v>
      </c>
      <c r="B171" t="s">
        <v>120</v>
      </c>
      <c r="C171" t="s">
        <v>195</v>
      </c>
      <c r="D171">
        <v>2024</v>
      </c>
      <c r="E171" t="s">
        <v>90</v>
      </c>
      <c r="F171">
        <v>31</v>
      </c>
      <c r="G171" t="s">
        <v>357</v>
      </c>
      <c r="H171">
        <f>electric_vehicles_dataset[[#This Row],[Battery_Capacity_kWh]]/electric_vehicles_dataset[[#This Row],[Range_km]]</f>
        <v>0.18452380952380953</v>
      </c>
      <c r="I171">
        <v>168</v>
      </c>
      <c r="J171" t="s">
        <v>38</v>
      </c>
      <c r="K171">
        <v>2</v>
      </c>
      <c r="L171" s="1">
        <v>66645.600000000006</v>
      </c>
      <c r="M171" s="1" t="str" cm="1">
        <f t="array" ref="M17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1" t="s">
        <v>229</v>
      </c>
      <c r="O171" t="s">
        <v>33</v>
      </c>
      <c r="P171" s="2" t="s">
        <v>393</v>
      </c>
      <c r="Q171">
        <v>4</v>
      </c>
      <c r="R171" t="s">
        <v>392</v>
      </c>
      <c r="S171" s="1">
        <f>electric_vehicles_dataset[[#This Row],[Units_Sold_2024]]*electric_vehicles_dataset[[#This Row],[Price_USD]]</f>
        <v>837935128.80000007</v>
      </c>
      <c r="T171">
        <v>5</v>
      </c>
      <c r="U171">
        <v>12573</v>
      </c>
      <c r="V171">
        <v>4</v>
      </c>
    </row>
    <row r="172" spans="1:22" x14ac:dyDescent="0.35">
      <c r="A172">
        <v>171</v>
      </c>
      <c r="B172" t="s">
        <v>120</v>
      </c>
      <c r="C172" t="s">
        <v>362</v>
      </c>
      <c r="D172">
        <v>2025</v>
      </c>
      <c r="E172" t="s">
        <v>47</v>
      </c>
      <c r="F172">
        <v>110.1</v>
      </c>
      <c r="G172" t="s">
        <v>361</v>
      </c>
      <c r="H172">
        <f>electric_vehicles_dataset[[#This Row],[Battery_Capacity_kWh]]/electric_vehicles_dataset[[#This Row],[Range_km]]</f>
        <v>0.25604651162790698</v>
      </c>
      <c r="I172">
        <v>430</v>
      </c>
      <c r="J172" t="s">
        <v>85</v>
      </c>
      <c r="K172">
        <v>7</v>
      </c>
      <c r="L172" s="1">
        <v>88757.04</v>
      </c>
      <c r="M172" s="1" t="str" cm="1">
        <f t="array" ref="M17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2" t="s">
        <v>131</v>
      </c>
      <c r="O172" t="s">
        <v>86</v>
      </c>
      <c r="P172" s="2" t="s">
        <v>389</v>
      </c>
      <c r="Q172">
        <v>3</v>
      </c>
      <c r="R172" t="s">
        <v>397</v>
      </c>
      <c r="S172" s="1">
        <f>electric_vehicles_dataset[[#This Row],[Units_Sold_2024]]*electric_vehicles_dataset[[#This Row],[Price_USD]]</f>
        <v>1409373038.1599998</v>
      </c>
      <c r="T172">
        <v>3</v>
      </c>
      <c r="U172">
        <v>15879</v>
      </c>
      <c r="V172">
        <v>3</v>
      </c>
    </row>
    <row r="173" spans="1:22" x14ac:dyDescent="0.35">
      <c r="A173">
        <v>172</v>
      </c>
      <c r="B173" t="s">
        <v>112</v>
      </c>
      <c r="C173" t="s">
        <v>113</v>
      </c>
      <c r="D173">
        <v>2023</v>
      </c>
      <c r="E173" t="s">
        <v>47</v>
      </c>
      <c r="F173">
        <v>104.9</v>
      </c>
      <c r="G173" t="s">
        <v>361</v>
      </c>
      <c r="H173">
        <f>electric_vehicles_dataset[[#This Row],[Battery_Capacity_kWh]]/electric_vehicles_dataset[[#This Row],[Range_km]]</f>
        <v>0.33948220064724921</v>
      </c>
      <c r="I173">
        <v>309</v>
      </c>
      <c r="J173" t="s">
        <v>356</v>
      </c>
      <c r="K173">
        <v>5</v>
      </c>
      <c r="L173" s="1">
        <v>130787.02</v>
      </c>
      <c r="M173" s="1" t="str" cm="1">
        <f t="array" ref="M17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3" t="s">
        <v>214</v>
      </c>
      <c r="O173" t="s">
        <v>23</v>
      </c>
      <c r="P173" s="2" t="s">
        <v>389</v>
      </c>
      <c r="Q173">
        <v>3</v>
      </c>
      <c r="R173" t="s">
        <v>397</v>
      </c>
      <c r="S173" s="1">
        <f>electric_vehicles_dataset[[#This Row],[Units_Sold_2024]]*electric_vehicles_dataset[[#This Row],[Price_USD]]</f>
        <v>140072898.42000002</v>
      </c>
      <c r="T173">
        <v>4</v>
      </c>
      <c r="U173">
        <v>1071</v>
      </c>
      <c r="V173">
        <v>4</v>
      </c>
    </row>
    <row r="174" spans="1:22" x14ac:dyDescent="0.35">
      <c r="A174">
        <v>173</v>
      </c>
      <c r="B174" t="s">
        <v>128</v>
      </c>
      <c r="C174" t="s">
        <v>129</v>
      </c>
      <c r="D174">
        <v>2017</v>
      </c>
      <c r="E174" t="s">
        <v>183</v>
      </c>
      <c r="F174">
        <v>79.5</v>
      </c>
      <c r="G174" t="s">
        <v>351</v>
      </c>
      <c r="H174">
        <f>electric_vehicles_dataset[[#This Row],[Battery_Capacity_kWh]]/electric_vehicles_dataset[[#This Row],[Range_km]]</f>
        <v>0.16562499999999999</v>
      </c>
      <c r="I174">
        <v>480</v>
      </c>
      <c r="J174" t="s">
        <v>356</v>
      </c>
      <c r="K174">
        <v>7</v>
      </c>
      <c r="L174" s="1">
        <v>43585.32</v>
      </c>
      <c r="M174" s="1" t="str" cm="1">
        <f t="array" ref="M1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4" t="s">
        <v>43</v>
      </c>
      <c r="O174" t="s">
        <v>134</v>
      </c>
      <c r="P174" s="2" t="s">
        <v>389</v>
      </c>
      <c r="Q174">
        <v>2</v>
      </c>
      <c r="R174" t="s">
        <v>391</v>
      </c>
      <c r="S174" s="1">
        <f>electric_vehicles_dataset[[#This Row],[Units_Sold_2024]]*electric_vehicles_dataset[[#This Row],[Price_USD]]</f>
        <v>630330897.84000003</v>
      </c>
      <c r="T174">
        <v>5</v>
      </c>
      <c r="U174">
        <v>14462</v>
      </c>
      <c r="V174">
        <v>5</v>
      </c>
    </row>
    <row r="175" spans="1:22" x14ac:dyDescent="0.35">
      <c r="A175">
        <v>174</v>
      </c>
      <c r="B175" t="s">
        <v>192</v>
      </c>
      <c r="C175" t="s">
        <v>198</v>
      </c>
      <c r="D175">
        <v>2016</v>
      </c>
      <c r="E175" t="s">
        <v>17</v>
      </c>
      <c r="F175">
        <v>127.9</v>
      </c>
      <c r="G175" t="s">
        <v>352</v>
      </c>
      <c r="H175">
        <f>electric_vehicles_dataset[[#This Row],[Battery_Capacity_kWh]]/electric_vehicles_dataset[[#This Row],[Range_km]]</f>
        <v>0.26425619834710745</v>
      </c>
      <c r="I175">
        <v>484</v>
      </c>
      <c r="J175" t="s">
        <v>353</v>
      </c>
      <c r="K175">
        <v>4</v>
      </c>
      <c r="L175" s="1">
        <v>149917.51999999999</v>
      </c>
      <c r="M175" s="1" t="str" cm="1">
        <f t="array" ref="M1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5" t="s">
        <v>172</v>
      </c>
      <c r="O175" t="s">
        <v>161</v>
      </c>
      <c r="P175" s="2" t="s">
        <v>389</v>
      </c>
      <c r="Q175">
        <v>0</v>
      </c>
      <c r="R175" t="s">
        <v>390</v>
      </c>
      <c r="S175" s="1">
        <f>electric_vehicles_dataset[[#This Row],[Units_Sold_2024]]*electric_vehicles_dataset[[#This Row],[Price_USD]]</f>
        <v>1030982785.04</v>
      </c>
      <c r="T175">
        <v>3</v>
      </c>
      <c r="U175">
        <v>6877</v>
      </c>
      <c r="V175">
        <v>5</v>
      </c>
    </row>
    <row r="176" spans="1:22" x14ac:dyDescent="0.35">
      <c r="A176">
        <v>175</v>
      </c>
      <c r="B176" t="s">
        <v>41</v>
      </c>
      <c r="C176" t="s">
        <v>148</v>
      </c>
      <c r="D176">
        <v>2024</v>
      </c>
      <c r="E176" t="s">
        <v>73</v>
      </c>
      <c r="F176">
        <v>75.7</v>
      </c>
      <c r="G176" t="s">
        <v>351</v>
      </c>
      <c r="H176">
        <f>electric_vehicles_dataset[[#This Row],[Battery_Capacity_kWh]]/electric_vehicles_dataset[[#This Row],[Range_km]]</f>
        <v>0.18240963855421688</v>
      </c>
      <c r="I176">
        <v>415</v>
      </c>
      <c r="J176" t="s">
        <v>18</v>
      </c>
      <c r="K176">
        <v>10</v>
      </c>
      <c r="L176" s="1">
        <v>127623.58</v>
      </c>
      <c r="M176" s="1" t="str" cm="1">
        <f t="array" ref="M17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6" t="s">
        <v>271</v>
      </c>
      <c r="O176" t="s">
        <v>67</v>
      </c>
      <c r="P176" s="2" t="s">
        <v>394</v>
      </c>
      <c r="Q176">
        <v>4</v>
      </c>
      <c r="R176" t="s">
        <v>392</v>
      </c>
      <c r="S176" s="1">
        <f>electric_vehicles_dataset[[#This Row],[Units_Sold_2024]]*electric_vehicles_dataset[[#This Row],[Price_USD]]</f>
        <v>1223782508.6200001</v>
      </c>
      <c r="T176">
        <v>4</v>
      </c>
      <c r="U176">
        <v>9589</v>
      </c>
      <c r="V176">
        <v>4</v>
      </c>
    </row>
    <row r="177" spans="1:22" x14ac:dyDescent="0.35">
      <c r="A177">
        <v>176</v>
      </c>
      <c r="B177" t="s">
        <v>261</v>
      </c>
      <c r="C177" t="s">
        <v>278</v>
      </c>
      <c r="D177">
        <v>2023</v>
      </c>
      <c r="E177" t="s">
        <v>53</v>
      </c>
      <c r="F177">
        <v>108.3</v>
      </c>
      <c r="G177" t="s">
        <v>361</v>
      </c>
      <c r="H177">
        <f>electric_vehicles_dataset[[#This Row],[Battery_Capacity_kWh]]/electric_vehicles_dataset[[#This Row],[Range_km]]</f>
        <v>0.73175675675675678</v>
      </c>
      <c r="I177">
        <v>148</v>
      </c>
      <c r="J177" t="s">
        <v>18</v>
      </c>
      <c r="K177">
        <v>12</v>
      </c>
      <c r="L177" s="1">
        <v>124282.93</v>
      </c>
      <c r="M177" s="1" t="str" cm="1">
        <f t="array" ref="M17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7" t="s">
        <v>279</v>
      </c>
      <c r="O177" t="s">
        <v>134</v>
      </c>
      <c r="P177" s="2" t="s">
        <v>389</v>
      </c>
      <c r="Q177">
        <v>1</v>
      </c>
      <c r="R177" t="s">
        <v>391</v>
      </c>
      <c r="S177" s="1">
        <f>electric_vehicles_dataset[[#This Row],[Units_Sold_2024]]*electric_vehicles_dataset[[#This Row],[Price_USD]]</f>
        <v>1311682043.22</v>
      </c>
      <c r="T177">
        <v>3</v>
      </c>
      <c r="U177">
        <v>10554</v>
      </c>
      <c r="V177">
        <v>3</v>
      </c>
    </row>
    <row r="178" spans="1:22" x14ac:dyDescent="0.35">
      <c r="A178">
        <v>177</v>
      </c>
      <c r="B178" t="s">
        <v>51</v>
      </c>
      <c r="C178" t="s">
        <v>162</v>
      </c>
      <c r="D178">
        <v>2021</v>
      </c>
      <c r="E178" t="s">
        <v>130</v>
      </c>
      <c r="F178">
        <v>38.5</v>
      </c>
      <c r="G178" t="s">
        <v>357</v>
      </c>
      <c r="H178">
        <f>electric_vehicles_dataset[[#This Row],[Battery_Capacity_kWh]]/electric_vehicles_dataset[[#This Row],[Range_km]]</f>
        <v>9.101654846335698E-2</v>
      </c>
      <c r="I178">
        <v>423</v>
      </c>
      <c r="J178" t="s">
        <v>105</v>
      </c>
      <c r="K178">
        <v>8</v>
      </c>
      <c r="L178" s="1">
        <v>75020.679999999993</v>
      </c>
      <c r="M178" s="1" t="str" cm="1">
        <f t="array" ref="M17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8" t="s">
        <v>228</v>
      </c>
      <c r="O178" t="s">
        <v>20</v>
      </c>
      <c r="P178" s="2" t="s">
        <v>389</v>
      </c>
      <c r="Q178">
        <v>5</v>
      </c>
      <c r="R178" t="s">
        <v>392</v>
      </c>
      <c r="S178" s="1">
        <f>electric_vehicles_dataset[[#This Row],[Units_Sold_2024]]*electric_vehicles_dataset[[#This Row],[Price_USD]]</f>
        <v>1117733111.3199999</v>
      </c>
      <c r="T178">
        <v>4</v>
      </c>
      <c r="U178">
        <v>14899</v>
      </c>
      <c r="V178">
        <v>4</v>
      </c>
    </row>
    <row r="179" spans="1:22" x14ac:dyDescent="0.35">
      <c r="A179">
        <v>178</v>
      </c>
      <c r="B179" t="s">
        <v>56</v>
      </c>
      <c r="C179" t="s">
        <v>57</v>
      </c>
      <c r="D179">
        <v>2016</v>
      </c>
      <c r="E179" t="s">
        <v>17</v>
      </c>
      <c r="F179">
        <v>146.4</v>
      </c>
      <c r="G179" t="s">
        <v>386</v>
      </c>
      <c r="H179">
        <f>electric_vehicles_dataset[[#This Row],[Battery_Capacity_kWh]]/electric_vehicles_dataset[[#This Row],[Range_km]]</f>
        <v>0.34447058823529414</v>
      </c>
      <c r="I179">
        <v>425</v>
      </c>
      <c r="J179" t="s">
        <v>149</v>
      </c>
      <c r="K179">
        <v>10</v>
      </c>
      <c r="L179" s="1">
        <v>125481.35</v>
      </c>
      <c r="M179" s="1" t="str" cm="1">
        <f t="array" ref="M17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9" t="s">
        <v>253</v>
      </c>
      <c r="O179" t="s">
        <v>124</v>
      </c>
      <c r="P179" s="2" t="s">
        <v>389</v>
      </c>
      <c r="Q179">
        <v>1</v>
      </c>
      <c r="R179" t="s">
        <v>391</v>
      </c>
      <c r="S179" s="1">
        <f>electric_vehicles_dataset[[#This Row],[Units_Sold_2024]]*electric_vehicles_dataset[[#This Row],[Price_USD]]</f>
        <v>1388702100.45</v>
      </c>
      <c r="T179">
        <v>4</v>
      </c>
      <c r="U179">
        <v>11067</v>
      </c>
      <c r="V179">
        <v>5</v>
      </c>
    </row>
    <row r="180" spans="1:22" x14ac:dyDescent="0.35">
      <c r="A180">
        <v>179</v>
      </c>
      <c r="B180" t="s">
        <v>261</v>
      </c>
      <c r="C180" t="s">
        <v>372</v>
      </c>
      <c r="D180">
        <v>2024</v>
      </c>
      <c r="E180" t="s">
        <v>26</v>
      </c>
      <c r="F180">
        <v>83.1</v>
      </c>
      <c r="G180" t="s">
        <v>350</v>
      </c>
      <c r="H180">
        <f>electric_vehicles_dataset[[#This Row],[Battery_Capacity_kWh]]/electric_vehicles_dataset[[#This Row],[Range_km]]</f>
        <v>0.30218181818181816</v>
      </c>
      <c r="I180">
        <v>275</v>
      </c>
      <c r="J180" t="s">
        <v>27</v>
      </c>
      <c r="K180">
        <v>1</v>
      </c>
      <c r="L180" s="1">
        <v>105141.54</v>
      </c>
      <c r="M180" s="1" t="str" cm="1">
        <f t="array" ref="M18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0" t="s">
        <v>142</v>
      </c>
      <c r="O180" t="s">
        <v>40</v>
      </c>
      <c r="P180" s="2" t="s">
        <v>395</v>
      </c>
      <c r="Q180">
        <v>1</v>
      </c>
      <c r="R180" t="s">
        <v>391</v>
      </c>
      <c r="S180" s="1">
        <f>electric_vehicles_dataset[[#This Row],[Units_Sold_2024]]*electric_vehicles_dataset[[#This Row],[Price_USD]]</f>
        <v>2313113.88</v>
      </c>
      <c r="T180">
        <v>4</v>
      </c>
      <c r="U180">
        <v>22</v>
      </c>
      <c r="V180">
        <v>4</v>
      </c>
    </row>
    <row r="181" spans="1:22" x14ac:dyDescent="0.35">
      <c r="A181">
        <v>180</v>
      </c>
      <c r="B181" t="s">
        <v>112</v>
      </c>
      <c r="C181" t="s">
        <v>237</v>
      </c>
      <c r="D181">
        <v>2017</v>
      </c>
      <c r="E181" t="s">
        <v>53</v>
      </c>
      <c r="F181">
        <v>104.5</v>
      </c>
      <c r="G181" t="s">
        <v>361</v>
      </c>
      <c r="H181">
        <f>electric_vehicles_dataset[[#This Row],[Battery_Capacity_kWh]]/electric_vehicles_dataset[[#This Row],[Range_km]]</f>
        <v>0.57734806629834257</v>
      </c>
      <c r="I181">
        <v>181</v>
      </c>
      <c r="J181" t="s">
        <v>105</v>
      </c>
      <c r="K181">
        <v>2</v>
      </c>
      <c r="L181" s="1">
        <v>73252.25</v>
      </c>
      <c r="M181" s="1" t="str" cm="1">
        <f t="array" ref="M1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1" t="s">
        <v>143</v>
      </c>
      <c r="O181" t="s">
        <v>33</v>
      </c>
      <c r="P181" s="2" t="s">
        <v>393</v>
      </c>
      <c r="Q181">
        <v>5</v>
      </c>
      <c r="R181" t="s">
        <v>392</v>
      </c>
      <c r="S181" s="1">
        <f>electric_vehicles_dataset[[#This Row],[Units_Sold_2024]]*electric_vehicles_dataset[[#This Row],[Price_USD]]</f>
        <v>561991262</v>
      </c>
      <c r="T181">
        <v>4</v>
      </c>
      <c r="U181">
        <v>7672</v>
      </c>
      <c r="V181">
        <v>4</v>
      </c>
    </row>
    <row r="182" spans="1:22" x14ac:dyDescent="0.35">
      <c r="A182">
        <v>181</v>
      </c>
      <c r="B182" t="s">
        <v>224</v>
      </c>
      <c r="C182" t="s">
        <v>280</v>
      </c>
      <c r="D182">
        <v>2016</v>
      </c>
      <c r="E182" t="s">
        <v>84</v>
      </c>
      <c r="F182">
        <v>47.7</v>
      </c>
      <c r="G182" t="s">
        <v>348</v>
      </c>
      <c r="H182">
        <f>electric_vehicles_dataset[[#This Row],[Battery_Capacity_kWh]]/electric_vehicles_dataset[[#This Row],[Range_km]]</f>
        <v>0.34316546762589928</v>
      </c>
      <c r="I182">
        <v>139</v>
      </c>
      <c r="J182" t="s">
        <v>18</v>
      </c>
      <c r="K182">
        <v>7</v>
      </c>
      <c r="L182" s="1">
        <v>92333.31</v>
      </c>
      <c r="M182" s="1" t="str" cm="1">
        <f t="array" ref="M18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2" t="s">
        <v>172</v>
      </c>
      <c r="O182" t="s">
        <v>115</v>
      </c>
      <c r="P182" s="2" t="s">
        <v>396</v>
      </c>
      <c r="Q182">
        <v>5</v>
      </c>
      <c r="R182" t="s">
        <v>392</v>
      </c>
      <c r="S182" s="1">
        <f>electric_vehicles_dataset[[#This Row],[Units_Sold_2024]]*electric_vehicles_dataset[[#This Row],[Price_USD]]</f>
        <v>399895565.61000001</v>
      </c>
      <c r="T182">
        <v>4</v>
      </c>
      <c r="U182">
        <v>4331</v>
      </c>
      <c r="V182">
        <v>4</v>
      </c>
    </row>
    <row r="183" spans="1:22" x14ac:dyDescent="0.35">
      <c r="A183">
        <v>182</v>
      </c>
      <c r="B183" t="s">
        <v>29</v>
      </c>
      <c r="C183" t="s">
        <v>197</v>
      </c>
      <c r="D183">
        <v>2021</v>
      </c>
      <c r="E183" t="s">
        <v>58</v>
      </c>
      <c r="F183">
        <v>115</v>
      </c>
      <c r="G183" t="s">
        <v>361</v>
      </c>
      <c r="H183">
        <f>electric_vehicles_dataset[[#This Row],[Battery_Capacity_kWh]]/electric_vehicles_dataset[[#This Row],[Range_km]]</f>
        <v>0.75657894736842102</v>
      </c>
      <c r="I183">
        <v>152</v>
      </c>
      <c r="J183" t="s">
        <v>48</v>
      </c>
      <c r="K183">
        <v>4</v>
      </c>
      <c r="L183" s="1">
        <v>135718.68</v>
      </c>
      <c r="M183" s="1" t="str" cm="1">
        <f t="array" ref="M18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3" t="s">
        <v>131</v>
      </c>
      <c r="O183" t="s">
        <v>110</v>
      </c>
      <c r="P183" s="2" t="s">
        <v>394</v>
      </c>
      <c r="Q183">
        <v>1</v>
      </c>
      <c r="R183" t="s">
        <v>391</v>
      </c>
      <c r="S183" s="1">
        <f>electric_vehicles_dataset[[#This Row],[Units_Sold_2024]]*electric_vehicles_dataset[[#This Row],[Price_USD]]</f>
        <v>2359197814.4400001</v>
      </c>
      <c r="T183">
        <v>3</v>
      </c>
      <c r="U183">
        <v>17383</v>
      </c>
      <c r="V183">
        <v>5</v>
      </c>
    </row>
    <row r="184" spans="1:22" x14ac:dyDescent="0.35">
      <c r="A184">
        <v>183</v>
      </c>
      <c r="B184" t="s">
        <v>79</v>
      </c>
      <c r="C184" t="s">
        <v>151</v>
      </c>
      <c r="D184">
        <v>2025</v>
      </c>
      <c r="E184" t="s">
        <v>101</v>
      </c>
      <c r="F184">
        <v>77.2</v>
      </c>
      <c r="G184" t="s">
        <v>351</v>
      </c>
      <c r="H184">
        <f>electric_vehicles_dataset[[#This Row],[Battery_Capacity_kWh]]/electric_vehicles_dataset[[#This Row],[Range_km]]</f>
        <v>0.16460554371002134</v>
      </c>
      <c r="I184">
        <v>469</v>
      </c>
      <c r="J184" t="s">
        <v>359</v>
      </c>
      <c r="K184">
        <v>8</v>
      </c>
      <c r="L184" s="1">
        <v>48164.9</v>
      </c>
      <c r="M184" s="1" t="str" cm="1">
        <f t="array" ref="M18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4" t="s">
        <v>70</v>
      </c>
      <c r="O184" t="s">
        <v>118</v>
      </c>
      <c r="P184" s="2" t="s">
        <v>389</v>
      </c>
      <c r="Q184">
        <v>1</v>
      </c>
      <c r="R184" t="s">
        <v>391</v>
      </c>
      <c r="S184" s="1">
        <f>electric_vehicles_dataset[[#This Row],[Units_Sold_2024]]*electric_vehicles_dataset[[#This Row],[Price_USD]]</f>
        <v>930497703.10000002</v>
      </c>
      <c r="T184">
        <v>3</v>
      </c>
      <c r="U184">
        <v>19319</v>
      </c>
      <c r="V184">
        <v>5</v>
      </c>
    </row>
    <row r="185" spans="1:22" x14ac:dyDescent="0.35">
      <c r="A185">
        <v>184</v>
      </c>
      <c r="B185" t="s">
        <v>24</v>
      </c>
      <c r="C185" t="s">
        <v>272</v>
      </c>
      <c r="D185">
        <v>2021</v>
      </c>
      <c r="E185" t="s">
        <v>104</v>
      </c>
      <c r="F185">
        <v>122.8</v>
      </c>
      <c r="G185" t="s">
        <v>352</v>
      </c>
      <c r="H185">
        <f>electric_vehicles_dataset[[#This Row],[Battery_Capacity_kWh]]/electric_vehicles_dataset[[#This Row],[Range_km]]</f>
        <v>0.54336283185840706</v>
      </c>
      <c r="I185">
        <v>226</v>
      </c>
      <c r="J185" t="s">
        <v>105</v>
      </c>
      <c r="K185">
        <v>8</v>
      </c>
      <c r="L185" s="1">
        <v>59780.04</v>
      </c>
      <c r="M185" s="1" t="str" cm="1">
        <f t="array" ref="M18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5" t="s">
        <v>160</v>
      </c>
      <c r="O185" t="s">
        <v>139</v>
      </c>
      <c r="P185" s="2" t="s">
        <v>389</v>
      </c>
      <c r="Q185">
        <v>2</v>
      </c>
      <c r="R185" t="s">
        <v>391</v>
      </c>
      <c r="S185" s="1">
        <f>electric_vehicles_dataset[[#This Row],[Units_Sold_2024]]*electric_vehicles_dataset[[#This Row],[Price_USD]]</f>
        <v>590865915.36000001</v>
      </c>
      <c r="T185">
        <v>5</v>
      </c>
      <c r="U185">
        <v>9884</v>
      </c>
      <c r="V185">
        <v>3</v>
      </c>
    </row>
    <row r="186" spans="1:22" x14ac:dyDescent="0.35">
      <c r="A186">
        <v>185</v>
      </c>
      <c r="B186" t="s">
        <v>207</v>
      </c>
      <c r="C186" t="s">
        <v>208</v>
      </c>
      <c r="D186">
        <v>2023</v>
      </c>
      <c r="E186" t="s">
        <v>31</v>
      </c>
      <c r="F186">
        <v>117.2</v>
      </c>
      <c r="G186" t="s">
        <v>361</v>
      </c>
      <c r="H186">
        <f>electric_vehicles_dataset[[#This Row],[Battery_Capacity_kWh]]/electric_vehicles_dataset[[#This Row],[Range_km]]</f>
        <v>0.46693227091633466</v>
      </c>
      <c r="I186">
        <v>251</v>
      </c>
      <c r="J186" t="s">
        <v>27</v>
      </c>
      <c r="K186">
        <v>10</v>
      </c>
      <c r="L186" s="1">
        <v>125253.36</v>
      </c>
      <c r="M186" s="1" t="str" cm="1">
        <f t="array" ref="M18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6" t="s">
        <v>100</v>
      </c>
      <c r="O186" t="s">
        <v>230</v>
      </c>
      <c r="P186" s="2" t="s">
        <v>389</v>
      </c>
      <c r="Q186">
        <v>1</v>
      </c>
      <c r="R186" t="s">
        <v>391</v>
      </c>
      <c r="S186" s="1">
        <f>electric_vehicles_dataset[[#This Row],[Units_Sold_2024]]*electric_vehicles_dataset[[#This Row],[Price_USD]]</f>
        <v>49475077.200000003</v>
      </c>
      <c r="T186">
        <v>5</v>
      </c>
      <c r="U186">
        <v>395</v>
      </c>
      <c r="V186">
        <v>4</v>
      </c>
    </row>
    <row r="187" spans="1:22" x14ac:dyDescent="0.35">
      <c r="A187">
        <v>186</v>
      </c>
      <c r="B187" t="s">
        <v>56</v>
      </c>
      <c r="C187" t="s">
        <v>57</v>
      </c>
      <c r="D187">
        <v>2021</v>
      </c>
      <c r="E187" t="s">
        <v>26</v>
      </c>
      <c r="F187">
        <v>129.1</v>
      </c>
      <c r="G187" t="s">
        <v>352</v>
      </c>
      <c r="H187">
        <f>electric_vehicles_dataset[[#This Row],[Battery_Capacity_kWh]]/electric_vehicles_dataset[[#This Row],[Range_km]]</f>
        <v>0.40984126984126984</v>
      </c>
      <c r="I187">
        <v>315</v>
      </c>
      <c r="J187" t="s">
        <v>149</v>
      </c>
      <c r="K187">
        <v>7</v>
      </c>
      <c r="L187" s="1">
        <v>50732.44</v>
      </c>
      <c r="M187" s="1" t="str" cm="1">
        <f t="array" ref="M18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7" t="s">
        <v>152</v>
      </c>
      <c r="O187" t="s">
        <v>92</v>
      </c>
      <c r="P187" s="2" t="s">
        <v>394</v>
      </c>
      <c r="Q187">
        <v>1</v>
      </c>
      <c r="R187" t="s">
        <v>391</v>
      </c>
      <c r="S187" s="1">
        <f>electric_vehicles_dataset[[#This Row],[Units_Sold_2024]]*electric_vehicles_dataset[[#This Row],[Price_USD]]</f>
        <v>100500963.64</v>
      </c>
      <c r="T187">
        <v>3</v>
      </c>
      <c r="U187">
        <v>1981</v>
      </c>
      <c r="V187">
        <v>4</v>
      </c>
    </row>
    <row r="188" spans="1:22" x14ac:dyDescent="0.35">
      <c r="A188">
        <v>187</v>
      </c>
      <c r="B188" t="s">
        <v>140</v>
      </c>
      <c r="C188" t="s">
        <v>141</v>
      </c>
      <c r="D188">
        <v>2025</v>
      </c>
      <c r="E188" t="s">
        <v>17</v>
      </c>
      <c r="F188">
        <v>85.1</v>
      </c>
      <c r="G188" t="s">
        <v>350</v>
      </c>
      <c r="H188">
        <f>electric_vehicles_dataset[[#This Row],[Battery_Capacity_kWh]]/electric_vehicles_dataset[[#This Row],[Range_km]]</f>
        <v>0.27275641025641023</v>
      </c>
      <c r="I188">
        <v>312</v>
      </c>
      <c r="J188" t="s">
        <v>358</v>
      </c>
      <c r="K188">
        <v>9</v>
      </c>
      <c r="L188" s="1">
        <v>39891.339999999997</v>
      </c>
      <c r="M188" s="1" t="str" cm="1">
        <f t="array" ref="M1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8" t="s">
        <v>19</v>
      </c>
      <c r="O188" t="s">
        <v>107</v>
      </c>
      <c r="P188" s="2" t="s">
        <v>394</v>
      </c>
      <c r="Q188">
        <v>2</v>
      </c>
      <c r="R188" t="s">
        <v>391</v>
      </c>
      <c r="S188" s="1">
        <f>electric_vehicles_dataset[[#This Row],[Units_Sold_2024]]*electric_vehicles_dataset[[#This Row],[Price_USD]]</f>
        <v>265596541.71999997</v>
      </c>
      <c r="T188">
        <v>4</v>
      </c>
      <c r="U188">
        <v>6658</v>
      </c>
      <c r="V188">
        <v>3</v>
      </c>
    </row>
    <row r="189" spans="1:22" x14ac:dyDescent="0.35">
      <c r="A189">
        <v>188</v>
      </c>
      <c r="B189" t="s">
        <v>82</v>
      </c>
      <c r="C189" t="s">
        <v>281</v>
      </c>
      <c r="D189">
        <v>2021</v>
      </c>
      <c r="E189" t="s">
        <v>90</v>
      </c>
      <c r="F189">
        <v>102.5</v>
      </c>
      <c r="G189" t="s">
        <v>361</v>
      </c>
      <c r="H189">
        <f>electric_vehicles_dataset[[#This Row],[Battery_Capacity_kWh]]/electric_vehicles_dataset[[#This Row],[Range_km]]</f>
        <v>0.19449715370018975</v>
      </c>
      <c r="I189">
        <v>527</v>
      </c>
      <c r="J189" t="s">
        <v>364</v>
      </c>
      <c r="K189">
        <v>4</v>
      </c>
      <c r="L189" s="1">
        <v>82498.33</v>
      </c>
      <c r="M189" s="1" t="str" cm="1">
        <f t="array" ref="M1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9" t="s">
        <v>77</v>
      </c>
      <c r="O189" t="s">
        <v>78</v>
      </c>
      <c r="P189" s="2" t="s">
        <v>389</v>
      </c>
      <c r="Q189">
        <v>2</v>
      </c>
      <c r="R189" t="s">
        <v>391</v>
      </c>
      <c r="S189" s="1">
        <f>electric_vehicles_dataset[[#This Row],[Units_Sold_2024]]*electric_vehicles_dataset[[#This Row],[Price_USD]]</f>
        <v>1645841683.5</v>
      </c>
      <c r="T189">
        <v>4</v>
      </c>
      <c r="U189">
        <v>19950</v>
      </c>
      <c r="V189">
        <v>3</v>
      </c>
    </row>
    <row r="190" spans="1:22" x14ac:dyDescent="0.35">
      <c r="A190">
        <v>189</v>
      </c>
      <c r="B190" t="s">
        <v>234</v>
      </c>
      <c r="C190" t="s">
        <v>235</v>
      </c>
      <c r="D190">
        <v>2016</v>
      </c>
      <c r="E190" t="s">
        <v>84</v>
      </c>
      <c r="F190">
        <v>112</v>
      </c>
      <c r="G190" t="s">
        <v>361</v>
      </c>
      <c r="H190">
        <f>electric_vehicles_dataset[[#This Row],[Battery_Capacity_kWh]]/electric_vehicles_dataset[[#This Row],[Range_km]]</f>
        <v>0.24400871459694989</v>
      </c>
      <c r="I190">
        <v>459</v>
      </c>
      <c r="J190" t="s">
        <v>76</v>
      </c>
      <c r="K190">
        <v>2</v>
      </c>
      <c r="L190" s="1">
        <v>144361.94</v>
      </c>
      <c r="M190" s="1" t="str" cm="1">
        <f t="array" ref="M19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0" t="s">
        <v>212</v>
      </c>
      <c r="O190" t="s">
        <v>121</v>
      </c>
      <c r="P190" s="2" t="s">
        <v>398</v>
      </c>
      <c r="Q190">
        <v>5</v>
      </c>
      <c r="R190" t="s">
        <v>392</v>
      </c>
      <c r="S190" s="1">
        <f>electric_vehicles_dataset[[#This Row],[Units_Sold_2024]]*electric_vehicles_dataset[[#This Row],[Price_USD]]</f>
        <v>1271251243.6400001</v>
      </c>
      <c r="T190">
        <v>5</v>
      </c>
      <c r="U190">
        <v>8806</v>
      </c>
      <c r="V190">
        <v>5</v>
      </c>
    </row>
    <row r="191" spans="1:22" x14ac:dyDescent="0.35">
      <c r="A191">
        <v>190</v>
      </c>
      <c r="B191" t="s">
        <v>64</v>
      </c>
      <c r="C191" t="s">
        <v>65</v>
      </c>
      <c r="D191">
        <v>2020</v>
      </c>
      <c r="E191" t="s">
        <v>183</v>
      </c>
      <c r="F191">
        <v>75.8</v>
      </c>
      <c r="G191" t="s">
        <v>351</v>
      </c>
      <c r="H191">
        <f>electric_vehicles_dataset[[#This Row],[Battery_Capacity_kWh]]/electric_vehicles_dataset[[#This Row],[Range_km]]</f>
        <v>0.20597826086956522</v>
      </c>
      <c r="I191">
        <v>368</v>
      </c>
      <c r="J191" t="s">
        <v>364</v>
      </c>
      <c r="K191">
        <v>4</v>
      </c>
      <c r="L191" s="1">
        <v>147006.07</v>
      </c>
      <c r="M191" s="1" t="str" cm="1">
        <f t="array" ref="M19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1" t="s">
        <v>238</v>
      </c>
      <c r="O191" t="s">
        <v>92</v>
      </c>
      <c r="P191" s="2" t="s">
        <v>394</v>
      </c>
      <c r="Q191">
        <v>4</v>
      </c>
      <c r="R191" t="s">
        <v>392</v>
      </c>
      <c r="S191" s="1">
        <f>electric_vehicles_dataset[[#This Row],[Units_Sold_2024]]*electric_vehicles_dataset[[#This Row],[Price_USD]]</f>
        <v>803829190.75999999</v>
      </c>
      <c r="T191">
        <v>5</v>
      </c>
      <c r="U191">
        <v>5468</v>
      </c>
      <c r="V191">
        <v>4</v>
      </c>
    </row>
    <row r="192" spans="1:22" x14ac:dyDescent="0.35">
      <c r="A192">
        <v>191</v>
      </c>
      <c r="B192" t="s">
        <v>220</v>
      </c>
      <c r="C192" t="s">
        <v>282</v>
      </c>
      <c r="D192">
        <v>2016</v>
      </c>
      <c r="E192" t="s">
        <v>53</v>
      </c>
      <c r="F192">
        <v>94.6</v>
      </c>
      <c r="G192" t="s">
        <v>350</v>
      </c>
      <c r="H192">
        <f>electric_vehicles_dataset[[#This Row],[Battery_Capacity_kWh]]/electric_vehicles_dataset[[#This Row],[Range_km]]</f>
        <v>0.20127659574468085</v>
      </c>
      <c r="I192">
        <v>470</v>
      </c>
      <c r="J192" t="s">
        <v>48</v>
      </c>
      <c r="K192">
        <v>3</v>
      </c>
      <c r="L192" s="1">
        <v>91058.99</v>
      </c>
      <c r="M192" s="1" t="str" cm="1">
        <f t="array" ref="M19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2" t="s">
        <v>210</v>
      </c>
      <c r="O192" t="s">
        <v>115</v>
      </c>
      <c r="P192" s="2" t="s">
        <v>396</v>
      </c>
      <c r="Q192">
        <v>3</v>
      </c>
      <c r="R192" t="s">
        <v>397</v>
      </c>
      <c r="S192" s="1">
        <f>electric_vehicles_dataset[[#This Row],[Units_Sold_2024]]*electric_vehicles_dataset[[#This Row],[Price_USD]]</f>
        <v>105446310.42</v>
      </c>
      <c r="T192">
        <v>3</v>
      </c>
      <c r="U192">
        <v>1158</v>
      </c>
      <c r="V192">
        <v>5</v>
      </c>
    </row>
    <row r="193" spans="1:22" x14ac:dyDescent="0.35">
      <c r="A193">
        <v>192</v>
      </c>
      <c r="B193" t="s">
        <v>74</v>
      </c>
      <c r="C193" t="s">
        <v>75</v>
      </c>
      <c r="D193">
        <v>2018</v>
      </c>
      <c r="E193" t="s">
        <v>104</v>
      </c>
      <c r="F193">
        <v>52.3</v>
      </c>
      <c r="G193" t="s">
        <v>348</v>
      </c>
      <c r="H193">
        <f>electric_vehicles_dataset[[#This Row],[Battery_Capacity_kWh]]/electric_vehicles_dataset[[#This Row],[Range_km]]</f>
        <v>9.2077464788732383E-2</v>
      </c>
      <c r="I193">
        <v>568</v>
      </c>
      <c r="J193" t="s">
        <v>38</v>
      </c>
      <c r="K193">
        <v>4</v>
      </c>
      <c r="L193" s="1">
        <v>39346.449999999997</v>
      </c>
      <c r="M193" s="1" t="str" cm="1">
        <f t="array" ref="M19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3" t="s">
        <v>165</v>
      </c>
      <c r="O193" t="s">
        <v>147</v>
      </c>
      <c r="P193" s="2" t="s">
        <v>396</v>
      </c>
      <c r="Q193">
        <v>0</v>
      </c>
      <c r="R193" t="s">
        <v>390</v>
      </c>
      <c r="S193" s="1">
        <f>electric_vehicles_dataset[[#This Row],[Units_Sold_2024]]*electric_vehicles_dataset[[#This Row],[Price_USD]]</f>
        <v>516894313.64999998</v>
      </c>
      <c r="T193">
        <v>3</v>
      </c>
      <c r="U193">
        <v>13137</v>
      </c>
      <c r="V193">
        <v>3</v>
      </c>
    </row>
    <row r="194" spans="1:22" x14ac:dyDescent="0.35">
      <c r="A194">
        <v>193</v>
      </c>
      <c r="B194" t="s">
        <v>45</v>
      </c>
      <c r="C194" t="s">
        <v>283</v>
      </c>
      <c r="D194">
        <v>2019</v>
      </c>
      <c r="E194" t="s">
        <v>104</v>
      </c>
      <c r="F194">
        <v>31.2</v>
      </c>
      <c r="G194" t="s">
        <v>357</v>
      </c>
      <c r="H194">
        <f>electric_vehicles_dataset[[#This Row],[Battery_Capacity_kWh]]/electric_vehicles_dataset[[#This Row],[Range_km]]</f>
        <v>9.3693693693693694E-2</v>
      </c>
      <c r="I194">
        <v>333</v>
      </c>
      <c r="J194" t="s">
        <v>76</v>
      </c>
      <c r="K194">
        <v>5</v>
      </c>
      <c r="L194" s="1">
        <v>64991.41</v>
      </c>
      <c r="M194" s="1" t="str" cm="1">
        <f t="array" ref="M19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4" t="s">
        <v>81</v>
      </c>
      <c r="O194" t="s">
        <v>111</v>
      </c>
      <c r="P194" s="2" t="s">
        <v>389</v>
      </c>
      <c r="Q194">
        <v>1</v>
      </c>
      <c r="R194" t="s">
        <v>391</v>
      </c>
      <c r="S194" s="1">
        <f>electric_vehicles_dataset[[#This Row],[Units_Sold_2024]]*electric_vehicles_dataset[[#This Row],[Price_USD]]</f>
        <v>416139998.23000002</v>
      </c>
      <c r="T194">
        <v>4</v>
      </c>
      <c r="U194">
        <v>6403</v>
      </c>
      <c r="V194">
        <v>5</v>
      </c>
    </row>
    <row r="195" spans="1:22" x14ac:dyDescent="0.35">
      <c r="A195">
        <v>194</v>
      </c>
      <c r="B195" t="s">
        <v>82</v>
      </c>
      <c r="C195" t="s">
        <v>83</v>
      </c>
      <c r="D195">
        <v>2017</v>
      </c>
      <c r="E195" t="s">
        <v>84</v>
      </c>
      <c r="F195">
        <v>141.19999999999999</v>
      </c>
      <c r="G195" t="s">
        <v>386</v>
      </c>
      <c r="H195">
        <f>electric_vehicles_dataset[[#This Row],[Battery_Capacity_kWh]]/electric_vehicles_dataset[[#This Row],[Range_km]]</f>
        <v>1.2607142857142857</v>
      </c>
      <c r="I195">
        <v>112</v>
      </c>
      <c r="J195" t="s">
        <v>353</v>
      </c>
      <c r="K195">
        <v>7</v>
      </c>
      <c r="L195" s="1">
        <v>106313.02</v>
      </c>
      <c r="M195" s="1" t="str" cm="1">
        <f t="array" ref="M1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5" t="s">
        <v>35</v>
      </c>
      <c r="O195" t="s">
        <v>115</v>
      </c>
      <c r="P195" s="2" t="s">
        <v>396</v>
      </c>
      <c r="Q195">
        <v>0</v>
      </c>
      <c r="R195" t="s">
        <v>390</v>
      </c>
      <c r="S195" s="1">
        <f>electric_vehicles_dataset[[#This Row],[Units_Sold_2024]]*electric_vehicles_dataset[[#This Row],[Price_USD]]</f>
        <v>1071209989.5200001</v>
      </c>
      <c r="T195">
        <v>5</v>
      </c>
      <c r="U195">
        <v>10076</v>
      </c>
      <c r="V195">
        <v>3</v>
      </c>
    </row>
    <row r="196" spans="1:22" x14ac:dyDescent="0.35">
      <c r="A196">
        <v>195</v>
      </c>
      <c r="B196" t="s">
        <v>192</v>
      </c>
      <c r="C196" t="s">
        <v>366</v>
      </c>
      <c r="D196">
        <v>2018</v>
      </c>
      <c r="E196" t="s">
        <v>42</v>
      </c>
      <c r="F196">
        <v>84</v>
      </c>
      <c r="G196" t="s">
        <v>350</v>
      </c>
      <c r="H196">
        <f>electric_vehicles_dataset[[#This Row],[Battery_Capacity_kWh]]/electric_vehicles_dataset[[#This Row],[Range_km]]</f>
        <v>0.64615384615384619</v>
      </c>
      <c r="I196">
        <v>130</v>
      </c>
      <c r="J196" t="s">
        <v>18</v>
      </c>
      <c r="K196">
        <v>9</v>
      </c>
      <c r="L196" s="1">
        <v>41163.199999999997</v>
      </c>
      <c r="M196" s="1" t="str" cm="1">
        <f t="array" ref="M19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6" t="s">
        <v>102</v>
      </c>
      <c r="O196" t="s">
        <v>121</v>
      </c>
      <c r="P196" s="2" t="s">
        <v>398</v>
      </c>
      <c r="Q196">
        <v>2</v>
      </c>
      <c r="R196" t="s">
        <v>391</v>
      </c>
      <c r="S196" s="1">
        <f>electric_vehicles_dataset[[#This Row],[Units_Sold_2024]]*electric_vehicles_dataset[[#This Row],[Price_USD]]</f>
        <v>128881979.19999999</v>
      </c>
      <c r="T196">
        <v>5</v>
      </c>
      <c r="U196">
        <v>3131</v>
      </c>
      <c r="V196">
        <v>5</v>
      </c>
    </row>
    <row r="197" spans="1:22" x14ac:dyDescent="0.35">
      <c r="A197">
        <v>196</v>
      </c>
      <c r="B197" t="s">
        <v>60</v>
      </c>
      <c r="C197" t="s">
        <v>61</v>
      </c>
      <c r="D197">
        <v>2021</v>
      </c>
      <c r="E197" t="s">
        <v>58</v>
      </c>
      <c r="F197">
        <v>96.9</v>
      </c>
      <c r="G197" t="s">
        <v>350</v>
      </c>
      <c r="H197">
        <f>electric_vehicles_dataset[[#This Row],[Battery_Capacity_kWh]]/electric_vehicles_dataset[[#This Row],[Range_km]]</f>
        <v>0.73969465648854971</v>
      </c>
      <c r="I197">
        <v>131</v>
      </c>
      <c r="J197" t="s">
        <v>358</v>
      </c>
      <c r="K197">
        <v>8</v>
      </c>
      <c r="L197" s="1">
        <v>45684.99</v>
      </c>
      <c r="M197" s="1" t="str" cm="1">
        <f t="array" ref="M1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7" t="s">
        <v>179</v>
      </c>
      <c r="O197" t="s">
        <v>161</v>
      </c>
      <c r="P197" s="2" t="s">
        <v>389</v>
      </c>
      <c r="Q197">
        <v>3</v>
      </c>
      <c r="R197" t="s">
        <v>397</v>
      </c>
      <c r="S197" s="1">
        <f>electric_vehicles_dataset[[#This Row],[Units_Sold_2024]]*electric_vehicles_dataset[[#This Row],[Price_USD]]</f>
        <v>677736826.64999998</v>
      </c>
      <c r="T197">
        <v>4</v>
      </c>
      <c r="U197">
        <v>14835</v>
      </c>
      <c r="V197">
        <v>4</v>
      </c>
    </row>
    <row r="198" spans="1:22" x14ac:dyDescent="0.35">
      <c r="A198">
        <v>197</v>
      </c>
      <c r="B198" t="s">
        <v>128</v>
      </c>
      <c r="C198" t="s">
        <v>284</v>
      </c>
      <c r="D198">
        <v>2018</v>
      </c>
      <c r="E198" t="s">
        <v>101</v>
      </c>
      <c r="F198">
        <v>121.4</v>
      </c>
      <c r="G198" t="s">
        <v>352</v>
      </c>
      <c r="H198">
        <f>electric_vehicles_dataset[[#This Row],[Battery_Capacity_kWh]]/electric_vehicles_dataset[[#This Row],[Range_km]]</f>
        <v>0.30426065162907268</v>
      </c>
      <c r="I198">
        <v>399</v>
      </c>
      <c r="J198" t="s">
        <v>48</v>
      </c>
      <c r="K198">
        <v>2</v>
      </c>
      <c r="L198" s="1">
        <v>49725</v>
      </c>
      <c r="M198" s="1" t="str" cm="1">
        <f t="array" ref="M19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8" t="s">
        <v>32</v>
      </c>
      <c r="O198" t="s">
        <v>89</v>
      </c>
      <c r="P198" s="2" t="s">
        <v>389</v>
      </c>
      <c r="Q198">
        <v>4</v>
      </c>
      <c r="R198" t="s">
        <v>392</v>
      </c>
      <c r="S198" s="1">
        <f>electric_vehicles_dataset[[#This Row],[Units_Sold_2024]]*electric_vehicles_dataset[[#This Row],[Price_USD]]</f>
        <v>502321950</v>
      </c>
      <c r="T198">
        <v>4</v>
      </c>
      <c r="U198">
        <v>10102</v>
      </c>
      <c r="V198">
        <v>4</v>
      </c>
    </row>
    <row r="199" spans="1:22" x14ac:dyDescent="0.35">
      <c r="A199">
        <v>198</v>
      </c>
      <c r="B199" t="s">
        <v>180</v>
      </c>
      <c r="C199" t="s">
        <v>285</v>
      </c>
      <c r="D199">
        <v>2016</v>
      </c>
      <c r="E199" t="s">
        <v>101</v>
      </c>
      <c r="F199">
        <v>125</v>
      </c>
      <c r="G199" t="s">
        <v>352</v>
      </c>
      <c r="H199">
        <f>electric_vehicles_dataset[[#This Row],[Battery_Capacity_kWh]]/electric_vehicles_dataset[[#This Row],[Range_km]]</f>
        <v>0.49019607843137253</v>
      </c>
      <c r="I199">
        <v>255</v>
      </c>
      <c r="J199" t="s">
        <v>27</v>
      </c>
      <c r="K199">
        <v>3</v>
      </c>
      <c r="L199" s="1">
        <v>132788.79</v>
      </c>
      <c r="M199" s="1" t="str" cm="1">
        <f t="array" ref="M19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9" t="s">
        <v>240</v>
      </c>
      <c r="O199" t="s">
        <v>20</v>
      </c>
      <c r="P199" s="2" t="s">
        <v>389</v>
      </c>
      <c r="Q199">
        <v>2</v>
      </c>
      <c r="R199" t="s">
        <v>391</v>
      </c>
      <c r="S199" s="1">
        <f>electric_vehicles_dataset[[#This Row],[Units_Sold_2024]]*electric_vehicles_dataset[[#This Row],[Price_USD]]</f>
        <v>1300267831.6800001</v>
      </c>
      <c r="T199">
        <v>4</v>
      </c>
      <c r="U199">
        <v>9792</v>
      </c>
      <c r="V199">
        <v>4</v>
      </c>
    </row>
    <row r="200" spans="1:22" x14ac:dyDescent="0.35">
      <c r="A200">
        <v>199</v>
      </c>
      <c r="B200" t="s">
        <v>241</v>
      </c>
      <c r="C200" t="s">
        <v>286</v>
      </c>
      <c r="D200">
        <v>2015</v>
      </c>
      <c r="E200" t="s">
        <v>42</v>
      </c>
      <c r="F200">
        <v>131.1</v>
      </c>
      <c r="G200" t="s">
        <v>352</v>
      </c>
      <c r="H200">
        <f>electric_vehicles_dataset[[#This Row],[Battery_Capacity_kWh]]/electric_vehicles_dataset[[#This Row],[Range_km]]</f>
        <v>0.34140624999999997</v>
      </c>
      <c r="I200">
        <v>384</v>
      </c>
      <c r="J200" t="s">
        <v>353</v>
      </c>
      <c r="K200">
        <v>2</v>
      </c>
      <c r="L200" s="1">
        <v>42228.88</v>
      </c>
      <c r="M200" s="1" t="str" cm="1">
        <f t="array" ref="M20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0" t="s">
        <v>81</v>
      </c>
      <c r="O200" t="s">
        <v>150</v>
      </c>
      <c r="P200" s="2" t="s">
        <v>389</v>
      </c>
      <c r="Q200">
        <v>2</v>
      </c>
      <c r="R200" t="s">
        <v>391</v>
      </c>
      <c r="S200" s="1">
        <f>electric_vehicles_dataset[[#This Row],[Units_Sold_2024]]*electric_vehicles_dataset[[#This Row],[Price_USD]]</f>
        <v>180866293.03999999</v>
      </c>
      <c r="T200">
        <v>3</v>
      </c>
      <c r="U200">
        <v>4283</v>
      </c>
      <c r="V200">
        <v>3</v>
      </c>
    </row>
    <row r="201" spans="1:22" x14ac:dyDescent="0.35">
      <c r="A201">
        <v>200</v>
      </c>
      <c r="B201" t="s">
        <v>241</v>
      </c>
      <c r="C201" t="s">
        <v>242</v>
      </c>
      <c r="D201">
        <v>2020</v>
      </c>
      <c r="E201" t="s">
        <v>73</v>
      </c>
      <c r="F201">
        <v>101.9</v>
      </c>
      <c r="G201" t="s">
        <v>361</v>
      </c>
      <c r="H201">
        <f>electric_vehicles_dataset[[#This Row],[Battery_Capacity_kWh]]/electric_vehicles_dataset[[#This Row],[Range_km]]</f>
        <v>0.23697674418604653</v>
      </c>
      <c r="I201">
        <v>430</v>
      </c>
      <c r="J201" t="s">
        <v>364</v>
      </c>
      <c r="K201">
        <v>7</v>
      </c>
      <c r="L201" s="1">
        <v>61058.48</v>
      </c>
      <c r="M201" s="1" t="str" cm="1">
        <f t="array" ref="M20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1" t="s">
        <v>257</v>
      </c>
      <c r="O201" t="s">
        <v>92</v>
      </c>
      <c r="P201" s="2" t="s">
        <v>394</v>
      </c>
      <c r="Q201">
        <v>2</v>
      </c>
      <c r="R201" t="s">
        <v>391</v>
      </c>
      <c r="S201" s="1">
        <f>electric_vehicles_dataset[[#This Row],[Units_Sold_2024]]*electric_vehicles_dataset[[#This Row],[Price_USD]]</f>
        <v>257666785.60000002</v>
      </c>
      <c r="T201">
        <v>4</v>
      </c>
      <c r="U201">
        <v>4220</v>
      </c>
      <c r="V201">
        <v>3</v>
      </c>
    </row>
    <row r="202" spans="1:22" x14ac:dyDescent="0.35">
      <c r="A202">
        <v>201</v>
      </c>
      <c r="B202" t="s">
        <v>74</v>
      </c>
      <c r="C202" t="s">
        <v>75</v>
      </c>
      <c r="D202">
        <v>2016</v>
      </c>
      <c r="E202" t="s">
        <v>84</v>
      </c>
      <c r="F202">
        <v>142.5</v>
      </c>
      <c r="G202" t="s">
        <v>386</v>
      </c>
      <c r="H202">
        <f>electric_vehicles_dataset[[#This Row],[Battery_Capacity_kWh]]/electric_vehicles_dataset[[#This Row],[Range_km]]</f>
        <v>1.1399999999999999</v>
      </c>
      <c r="I202">
        <v>125</v>
      </c>
      <c r="J202" t="s">
        <v>85</v>
      </c>
      <c r="K202">
        <v>11</v>
      </c>
      <c r="L202" s="1">
        <v>81978.77</v>
      </c>
      <c r="M202" s="1" t="str" cm="1">
        <f t="array" ref="M2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2" t="s">
        <v>254</v>
      </c>
      <c r="O202" t="s">
        <v>164</v>
      </c>
      <c r="P202" s="2" t="s">
        <v>394</v>
      </c>
      <c r="Q202">
        <v>3</v>
      </c>
      <c r="R202" t="s">
        <v>397</v>
      </c>
      <c r="S202" s="1">
        <f>electric_vehicles_dataset[[#This Row],[Units_Sold_2024]]*electric_vehicles_dataset[[#This Row],[Price_USD]]</f>
        <v>502693817.64000005</v>
      </c>
      <c r="T202">
        <v>3</v>
      </c>
      <c r="U202">
        <v>6132</v>
      </c>
      <c r="V202">
        <v>4</v>
      </c>
    </row>
    <row r="203" spans="1:22" x14ac:dyDescent="0.35">
      <c r="A203">
        <v>202</v>
      </c>
      <c r="B203" t="s">
        <v>122</v>
      </c>
      <c r="C203" t="s">
        <v>123</v>
      </c>
      <c r="D203">
        <v>2017</v>
      </c>
      <c r="E203" t="s">
        <v>84</v>
      </c>
      <c r="F203">
        <v>99.8</v>
      </c>
      <c r="G203" t="s">
        <v>350</v>
      </c>
      <c r="H203">
        <f>electric_vehicles_dataset[[#This Row],[Battery_Capacity_kWh]]/electric_vehicles_dataset[[#This Row],[Range_km]]</f>
        <v>0.24048192771084337</v>
      </c>
      <c r="I203">
        <v>415</v>
      </c>
      <c r="J203" t="s">
        <v>353</v>
      </c>
      <c r="K203">
        <v>8</v>
      </c>
      <c r="L203" s="1">
        <v>89866.99</v>
      </c>
      <c r="M203" s="1" t="str" cm="1">
        <f t="array" ref="M20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3" t="s">
        <v>114</v>
      </c>
      <c r="O203" t="s">
        <v>226</v>
      </c>
      <c r="P203" s="2" t="s">
        <v>395</v>
      </c>
      <c r="Q203">
        <v>3</v>
      </c>
      <c r="R203" t="s">
        <v>397</v>
      </c>
      <c r="S203" s="1">
        <f>electric_vehicles_dataset[[#This Row],[Units_Sold_2024]]*electric_vehicles_dataset[[#This Row],[Price_USD]]</f>
        <v>1548318370.71</v>
      </c>
      <c r="T203">
        <v>3</v>
      </c>
      <c r="U203">
        <v>17229</v>
      </c>
      <c r="V203">
        <v>3</v>
      </c>
    </row>
    <row r="204" spans="1:22" x14ac:dyDescent="0.35">
      <c r="A204">
        <v>203</v>
      </c>
      <c r="B204" t="s">
        <v>16</v>
      </c>
      <c r="C204" t="s">
        <v>347</v>
      </c>
      <c r="D204">
        <v>2021</v>
      </c>
      <c r="E204" t="s">
        <v>183</v>
      </c>
      <c r="F204">
        <v>112.7</v>
      </c>
      <c r="G204" t="s">
        <v>361</v>
      </c>
      <c r="H204">
        <f>electric_vehicles_dataset[[#This Row],[Battery_Capacity_kWh]]/electric_vehicles_dataset[[#This Row],[Range_km]]</f>
        <v>0.32666666666666666</v>
      </c>
      <c r="I204">
        <v>345</v>
      </c>
      <c r="J204" t="s">
        <v>356</v>
      </c>
      <c r="K204">
        <v>5</v>
      </c>
      <c r="L204" s="1">
        <v>97878.13</v>
      </c>
      <c r="M204" s="1" t="str" cm="1">
        <f t="array" ref="M20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4" t="s">
        <v>146</v>
      </c>
      <c r="O204" t="s">
        <v>110</v>
      </c>
      <c r="P204" s="2" t="s">
        <v>394</v>
      </c>
      <c r="Q204">
        <v>0</v>
      </c>
      <c r="R204" t="s">
        <v>390</v>
      </c>
      <c r="S204" s="1">
        <f>electric_vehicles_dataset[[#This Row],[Units_Sold_2024]]*electric_vehicles_dataset[[#This Row],[Price_USD]]</f>
        <v>187828131.47</v>
      </c>
      <c r="T204">
        <v>4</v>
      </c>
      <c r="U204">
        <v>1919</v>
      </c>
      <c r="V204">
        <v>4</v>
      </c>
    </row>
    <row r="205" spans="1:22" x14ac:dyDescent="0.35">
      <c r="A205">
        <v>204</v>
      </c>
      <c r="B205" t="s">
        <v>207</v>
      </c>
      <c r="C205" t="s">
        <v>287</v>
      </c>
      <c r="D205">
        <v>2024</v>
      </c>
      <c r="E205" t="s">
        <v>31</v>
      </c>
      <c r="F205">
        <v>146.6</v>
      </c>
      <c r="G205" t="s">
        <v>386</v>
      </c>
      <c r="H205">
        <f>electric_vehicles_dataset[[#This Row],[Battery_Capacity_kWh]]/electric_vehicles_dataset[[#This Row],[Range_km]]</f>
        <v>0.97086092715231787</v>
      </c>
      <c r="I205">
        <v>151</v>
      </c>
      <c r="J205" t="s">
        <v>353</v>
      </c>
      <c r="K205">
        <v>8</v>
      </c>
      <c r="L205" s="1">
        <v>61983.24</v>
      </c>
      <c r="M205" s="1" t="str" cm="1">
        <f t="array" ref="M2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5" t="s">
        <v>257</v>
      </c>
      <c r="O205" t="s">
        <v>67</v>
      </c>
      <c r="P205" s="2" t="s">
        <v>394</v>
      </c>
      <c r="Q205">
        <v>1</v>
      </c>
      <c r="R205" t="s">
        <v>391</v>
      </c>
      <c r="S205" s="1">
        <f>electric_vehicles_dataset[[#This Row],[Units_Sold_2024]]*electric_vehicles_dataset[[#This Row],[Price_USD]]</f>
        <v>720617148.24000001</v>
      </c>
      <c r="T205">
        <v>4</v>
      </c>
      <c r="U205">
        <v>11626</v>
      </c>
      <c r="V205">
        <v>3</v>
      </c>
    </row>
    <row r="206" spans="1:22" x14ac:dyDescent="0.35">
      <c r="A206">
        <v>205</v>
      </c>
      <c r="B206" t="s">
        <v>120</v>
      </c>
      <c r="C206" t="s">
        <v>288</v>
      </c>
      <c r="D206">
        <v>2024</v>
      </c>
      <c r="E206" t="s">
        <v>104</v>
      </c>
      <c r="F206">
        <v>124.8</v>
      </c>
      <c r="G206" t="s">
        <v>352</v>
      </c>
      <c r="H206">
        <f>electric_vehicles_dataset[[#This Row],[Battery_Capacity_kWh]]/electric_vehicles_dataset[[#This Row],[Range_km]]</f>
        <v>0.27308533916849015</v>
      </c>
      <c r="I206">
        <v>457</v>
      </c>
      <c r="J206" t="s">
        <v>149</v>
      </c>
      <c r="K206">
        <v>11</v>
      </c>
      <c r="L206" s="1">
        <v>33384.79</v>
      </c>
      <c r="M206" s="1" t="str" cm="1">
        <f t="array" ref="M20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6" t="s">
        <v>35</v>
      </c>
      <c r="O206" t="s">
        <v>202</v>
      </c>
      <c r="P206" s="2" t="s">
        <v>393</v>
      </c>
      <c r="Q206">
        <v>4</v>
      </c>
      <c r="R206" t="s">
        <v>392</v>
      </c>
      <c r="S206" s="1">
        <f>electric_vehicles_dataset[[#This Row],[Units_Sold_2024]]*electric_vehicles_dataset[[#This Row],[Price_USD]]</f>
        <v>593047409.56000006</v>
      </c>
      <c r="T206">
        <v>4</v>
      </c>
      <c r="U206">
        <v>17764</v>
      </c>
      <c r="V206">
        <v>4</v>
      </c>
    </row>
    <row r="207" spans="1:22" x14ac:dyDescent="0.35">
      <c r="A207">
        <v>206</v>
      </c>
      <c r="B207" t="s">
        <v>120</v>
      </c>
      <c r="C207" t="s">
        <v>362</v>
      </c>
      <c r="D207">
        <v>2015</v>
      </c>
      <c r="E207" t="s">
        <v>58</v>
      </c>
      <c r="F207">
        <v>27.3</v>
      </c>
      <c r="G207" t="s">
        <v>357</v>
      </c>
      <c r="H207">
        <f>electric_vehicles_dataset[[#This Row],[Battery_Capacity_kWh]]/electric_vehicles_dataset[[#This Row],[Range_km]]</f>
        <v>6.6911764705882351E-2</v>
      </c>
      <c r="I207">
        <v>408</v>
      </c>
      <c r="J207" t="s">
        <v>353</v>
      </c>
      <c r="K207">
        <v>1</v>
      </c>
      <c r="L207" s="1">
        <v>87358.68</v>
      </c>
      <c r="M207" s="1" t="str" cm="1">
        <f t="array" ref="M2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7" t="s">
        <v>219</v>
      </c>
      <c r="O207" t="s">
        <v>118</v>
      </c>
      <c r="P207" s="2" t="s">
        <v>389</v>
      </c>
      <c r="Q207">
        <v>1</v>
      </c>
      <c r="R207" t="s">
        <v>391</v>
      </c>
      <c r="S207" s="1">
        <f>electric_vehicles_dataset[[#This Row],[Units_Sold_2024]]*electric_vehicles_dataset[[#This Row],[Price_USD]]</f>
        <v>170436784.67999998</v>
      </c>
      <c r="T207">
        <v>4</v>
      </c>
      <c r="U207">
        <v>1951</v>
      </c>
      <c r="V207">
        <v>3</v>
      </c>
    </row>
    <row r="208" spans="1:22" x14ac:dyDescent="0.35">
      <c r="A208">
        <v>207</v>
      </c>
      <c r="B208" t="s">
        <v>153</v>
      </c>
      <c r="C208" t="s">
        <v>178</v>
      </c>
      <c r="D208">
        <v>2016</v>
      </c>
      <c r="E208" t="s">
        <v>26</v>
      </c>
      <c r="F208">
        <v>88.4</v>
      </c>
      <c r="G208" t="s">
        <v>350</v>
      </c>
      <c r="H208">
        <f>electric_vehicles_dataset[[#This Row],[Battery_Capacity_kWh]]/electric_vehicles_dataset[[#This Row],[Range_km]]</f>
        <v>0.30909090909090914</v>
      </c>
      <c r="I208">
        <v>286</v>
      </c>
      <c r="J208" t="s">
        <v>364</v>
      </c>
      <c r="K208">
        <v>5</v>
      </c>
      <c r="L208" s="1">
        <v>143030.79</v>
      </c>
      <c r="M208" s="1" t="str" cm="1">
        <f t="array" ref="M2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8" t="s">
        <v>253</v>
      </c>
      <c r="O208" t="s">
        <v>167</v>
      </c>
      <c r="P208" s="2" t="s">
        <v>394</v>
      </c>
      <c r="Q208">
        <v>1</v>
      </c>
      <c r="R208" t="s">
        <v>391</v>
      </c>
      <c r="S208" s="1">
        <f>electric_vehicles_dataset[[#This Row],[Units_Sold_2024]]*electric_vehicles_dataset[[#This Row],[Price_USD]]</f>
        <v>2047485758.8500001</v>
      </c>
      <c r="T208">
        <v>3</v>
      </c>
      <c r="U208">
        <v>14315</v>
      </c>
      <c r="V208">
        <v>5</v>
      </c>
    </row>
    <row r="209" spans="1:22" x14ac:dyDescent="0.35">
      <c r="A209">
        <v>208</v>
      </c>
      <c r="B209" t="s">
        <v>262</v>
      </c>
      <c r="C209" t="s">
        <v>373</v>
      </c>
      <c r="D209">
        <v>2017</v>
      </c>
      <c r="E209" t="s">
        <v>17</v>
      </c>
      <c r="F209">
        <v>145.9</v>
      </c>
      <c r="G209" t="s">
        <v>386</v>
      </c>
      <c r="H209">
        <f>electric_vehicles_dataset[[#This Row],[Battery_Capacity_kWh]]/electric_vehicles_dataset[[#This Row],[Range_km]]</f>
        <v>0.32065934065934065</v>
      </c>
      <c r="I209">
        <v>455</v>
      </c>
      <c r="J209" t="s">
        <v>149</v>
      </c>
      <c r="K209">
        <v>3</v>
      </c>
      <c r="L209" s="1">
        <v>100674.02</v>
      </c>
      <c r="M209" s="1" t="str" cm="1">
        <f t="array" ref="M20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9" t="s">
        <v>229</v>
      </c>
      <c r="O209" t="s">
        <v>110</v>
      </c>
      <c r="P209" s="2" t="s">
        <v>394</v>
      </c>
      <c r="Q209">
        <v>5</v>
      </c>
      <c r="R209" t="s">
        <v>392</v>
      </c>
      <c r="S209" s="1">
        <f>electric_vehicles_dataset[[#This Row],[Units_Sold_2024]]*electric_vehicles_dataset[[#This Row],[Price_USD]]</f>
        <v>1889651355.4000001</v>
      </c>
      <c r="T209">
        <v>3</v>
      </c>
      <c r="U209">
        <v>18770</v>
      </c>
      <c r="V209">
        <v>4</v>
      </c>
    </row>
    <row r="210" spans="1:22" x14ac:dyDescent="0.35">
      <c r="A210">
        <v>209</v>
      </c>
      <c r="B210" t="s">
        <v>193</v>
      </c>
      <c r="C210" t="s">
        <v>203</v>
      </c>
      <c r="D210">
        <v>2015</v>
      </c>
      <c r="E210" t="s">
        <v>101</v>
      </c>
      <c r="F210">
        <v>98.3</v>
      </c>
      <c r="G210" t="s">
        <v>350</v>
      </c>
      <c r="H210">
        <f>electric_vehicles_dataset[[#This Row],[Battery_Capacity_kWh]]/electric_vehicles_dataset[[#This Row],[Range_km]]</f>
        <v>0.17215411558669003</v>
      </c>
      <c r="I210">
        <v>571</v>
      </c>
      <c r="J210" t="s">
        <v>353</v>
      </c>
      <c r="K210">
        <v>8</v>
      </c>
      <c r="L210" s="1">
        <v>42493.23</v>
      </c>
      <c r="M210" s="1" t="str" cm="1">
        <f t="array" ref="M21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0" t="s">
        <v>214</v>
      </c>
      <c r="O210" t="s">
        <v>44</v>
      </c>
      <c r="P210" s="2" t="s">
        <v>389</v>
      </c>
      <c r="Q210">
        <v>0</v>
      </c>
      <c r="R210" t="s">
        <v>390</v>
      </c>
      <c r="S210" s="1">
        <f>electric_vehicles_dataset[[#This Row],[Units_Sold_2024]]*electric_vehicles_dataset[[#This Row],[Price_USD]]</f>
        <v>123527819.61000001</v>
      </c>
      <c r="T210">
        <v>3</v>
      </c>
      <c r="U210">
        <v>2907</v>
      </c>
      <c r="V210">
        <v>5</v>
      </c>
    </row>
    <row r="211" spans="1:22" x14ac:dyDescent="0.35">
      <c r="A211">
        <v>210</v>
      </c>
      <c r="B211" t="s">
        <v>68</v>
      </c>
      <c r="C211" t="s">
        <v>289</v>
      </c>
      <c r="D211">
        <v>2020</v>
      </c>
      <c r="E211" t="s">
        <v>130</v>
      </c>
      <c r="F211">
        <v>21.5</v>
      </c>
      <c r="G211" t="s">
        <v>357</v>
      </c>
      <c r="H211">
        <f>electric_vehicles_dataset[[#This Row],[Battery_Capacity_kWh]]/electric_vehicles_dataset[[#This Row],[Range_km]]</f>
        <v>0.10386473429951691</v>
      </c>
      <c r="I211">
        <v>207</v>
      </c>
      <c r="J211" t="s">
        <v>353</v>
      </c>
      <c r="K211">
        <v>9</v>
      </c>
      <c r="L211" s="1">
        <v>72057.740000000005</v>
      </c>
      <c r="M211" s="1" t="str" cm="1">
        <f t="array" ref="M2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1" t="s">
        <v>81</v>
      </c>
      <c r="O211" t="s">
        <v>93</v>
      </c>
      <c r="P211" s="2" t="s">
        <v>389</v>
      </c>
      <c r="Q211">
        <v>0</v>
      </c>
      <c r="R211" t="s">
        <v>390</v>
      </c>
      <c r="S211" s="1">
        <f>electric_vehicles_dataset[[#This Row],[Units_Sold_2024]]*electric_vehicles_dataset[[#This Row],[Price_USD]]</f>
        <v>977535300.84000003</v>
      </c>
      <c r="T211">
        <v>3</v>
      </c>
      <c r="U211">
        <v>13566</v>
      </c>
      <c r="V211">
        <v>4</v>
      </c>
    </row>
    <row r="212" spans="1:22" x14ac:dyDescent="0.35">
      <c r="A212">
        <v>211</v>
      </c>
      <c r="B212" t="s">
        <v>24</v>
      </c>
      <c r="C212" t="s">
        <v>272</v>
      </c>
      <c r="D212">
        <v>2023</v>
      </c>
      <c r="E212" t="s">
        <v>42</v>
      </c>
      <c r="F212">
        <v>33.200000000000003</v>
      </c>
      <c r="G212" t="s">
        <v>357</v>
      </c>
      <c r="H212">
        <f>electric_vehicles_dataset[[#This Row],[Battery_Capacity_kWh]]/electric_vehicles_dataset[[#This Row],[Range_km]]</f>
        <v>9.6231884057971021E-2</v>
      </c>
      <c r="I212">
        <v>345</v>
      </c>
      <c r="J212" t="s">
        <v>353</v>
      </c>
      <c r="K212">
        <v>2</v>
      </c>
      <c r="L212" s="1">
        <v>38845.129999999997</v>
      </c>
      <c r="M212" s="1" t="str" cm="1">
        <f t="array" ref="M21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2" t="s">
        <v>77</v>
      </c>
      <c r="O212" t="s">
        <v>95</v>
      </c>
      <c r="P212" s="2" t="s">
        <v>394</v>
      </c>
      <c r="Q212">
        <v>2</v>
      </c>
      <c r="R212" t="s">
        <v>391</v>
      </c>
      <c r="S212" s="1">
        <f>electric_vehicles_dataset[[#This Row],[Units_Sold_2024]]*electric_vehicles_dataset[[#This Row],[Price_USD]]</f>
        <v>216522754.61999997</v>
      </c>
      <c r="T212">
        <v>4</v>
      </c>
      <c r="U212">
        <v>5574</v>
      </c>
      <c r="V212">
        <v>4</v>
      </c>
    </row>
    <row r="213" spans="1:22" x14ac:dyDescent="0.35">
      <c r="A213">
        <v>212</v>
      </c>
      <c r="B213" t="s">
        <v>220</v>
      </c>
      <c r="C213" t="s">
        <v>290</v>
      </c>
      <c r="D213">
        <v>2023</v>
      </c>
      <c r="E213" t="s">
        <v>53</v>
      </c>
      <c r="F213">
        <v>147.1</v>
      </c>
      <c r="G213" t="s">
        <v>386</v>
      </c>
      <c r="H213">
        <f>electric_vehicles_dataset[[#This Row],[Battery_Capacity_kWh]]/electric_vehicles_dataset[[#This Row],[Range_km]]</f>
        <v>0.5388278388278388</v>
      </c>
      <c r="I213">
        <v>273</v>
      </c>
      <c r="J213" t="s">
        <v>356</v>
      </c>
      <c r="K213">
        <v>9</v>
      </c>
      <c r="L213" s="1">
        <v>81758.8</v>
      </c>
      <c r="M213" s="1" t="str" cm="1">
        <f t="array" ref="M21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3" t="s">
        <v>39</v>
      </c>
      <c r="O213" t="s">
        <v>23</v>
      </c>
      <c r="P213" s="2" t="s">
        <v>389</v>
      </c>
      <c r="Q213">
        <v>3</v>
      </c>
      <c r="R213" t="s">
        <v>397</v>
      </c>
      <c r="S213" s="1">
        <f>electric_vehicles_dataset[[#This Row],[Units_Sold_2024]]*electric_vehicles_dataset[[#This Row],[Price_USD]]</f>
        <v>508948530</v>
      </c>
      <c r="T213">
        <v>3</v>
      </c>
      <c r="U213">
        <v>6225</v>
      </c>
      <c r="V213">
        <v>4</v>
      </c>
    </row>
    <row r="214" spans="1:22" x14ac:dyDescent="0.35">
      <c r="A214">
        <v>213</v>
      </c>
      <c r="B214" t="s">
        <v>136</v>
      </c>
      <c r="C214" t="s">
        <v>137</v>
      </c>
      <c r="D214">
        <v>2025</v>
      </c>
      <c r="E214" t="s">
        <v>133</v>
      </c>
      <c r="F214">
        <v>58.7</v>
      </c>
      <c r="G214" t="s">
        <v>348</v>
      </c>
      <c r="H214">
        <f>electric_vehicles_dataset[[#This Row],[Battery_Capacity_kWh]]/electric_vehicles_dataset[[#This Row],[Range_km]]</f>
        <v>0.39395973154362418</v>
      </c>
      <c r="I214">
        <v>149</v>
      </c>
      <c r="J214" t="s">
        <v>27</v>
      </c>
      <c r="K214">
        <v>5</v>
      </c>
      <c r="L214" s="1">
        <v>95959.52</v>
      </c>
      <c r="M214" s="1" t="str" cm="1">
        <f t="array" ref="M21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4" t="s">
        <v>214</v>
      </c>
      <c r="O214" t="s">
        <v>44</v>
      </c>
      <c r="P214" s="2" t="s">
        <v>389</v>
      </c>
      <c r="Q214">
        <v>3</v>
      </c>
      <c r="R214" t="s">
        <v>397</v>
      </c>
      <c r="S214" s="1">
        <f>electric_vehicles_dataset[[#This Row],[Units_Sold_2024]]*electric_vehicles_dataset[[#This Row],[Price_USD]]</f>
        <v>1887235879.8400002</v>
      </c>
      <c r="T214">
        <v>4</v>
      </c>
      <c r="U214">
        <v>19667</v>
      </c>
      <c r="V214">
        <v>4</v>
      </c>
    </row>
    <row r="215" spans="1:22" x14ac:dyDescent="0.35">
      <c r="A215">
        <v>214</v>
      </c>
      <c r="B215" t="s">
        <v>112</v>
      </c>
      <c r="C215" t="s">
        <v>138</v>
      </c>
      <c r="D215">
        <v>2015</v>
      </c>
      <c r="E215" t="s">
        <v>31</v>
      </c>
      <c r="F215">
        <v>42.2</v>
      </c>
      <c r="G215" t="s">
        <v>348</v>
      </c>
      <c r="H215">
        <f>electric_vehicles_dataset[[#This Row],[Battery_Capacity_kWh]]/electric_vehicles_dataset[[#This Row],[Range_km]]</f>
        <v>0.16947791164658635</v>
      </c>
      <c r="I215">
        <v>249</v>
      </c>
      <c r="J215" t="s">
        <v>364</v>
      </c>
      <c r="K215">
        <v>6</v>
      </c>
      <c r="L215" s="1">
        <v>43861.07</v>
      </c>
      <c r="M215" s="1" t="str" cm="1">
        <f t="array" ref="M21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5" t="s">
        <v>81</v>
      </c>
      <c r="O215" t="s">
        <v>164</v>
      </c>
      <c r="P215" s="2" t="s">
        <v>394</v>
      </c>
      <c r="Q215">
        <v>5</v>
      </c>
      <c r="R215" t="s">
        <v>392</v>
      </c>
      <c r="S215" s="1">
        <f>electric_vehicles_dataset[[#This Row],[Units_Sold_2024]]*electric_vehicles_dataset[[#This Row],[Price_USD]]</f>
        <v>265710362.06</v>
      </c>
      <c r="T215">
        <v>4</v>
      </c>
      <c r="U215">
        <v>6058</v>
      </c>
      <c r="V215">
        <v>4</v>
      </c>
    </row>
    <row r="216" spans="1:22" x14ac:dyDescent="0.35">
      <c r="A216">
        <v>215</v>
      </c>
      <c r="B216" t="s">
        <v>24</v>
      </c>
      <c r="C216" t="s">
        <v>272</v>
      </c>
      <c r="D216">
        <v>2017</v>
      </c>
      <c r="E216" t="s">
        <v>130</v>
      </c>
      <c r="F216">
        <v>25.8</v>
      </c>
      <c r="G216" t="s">
        <v>357</v>
      </c>
      <c r="H216">
        <f>electric_vehicles_dataset[[#This Row],[Battery_Capacity_kWh]]/electric_vehicles_dataset[[#This Row],[Range_km]]</f>
        <v>7.9384615384615387E-2</v>
      </c>
      <c r="I216">
        <v>325</v>
      </c>
      <c r="J216" t="s">
        <v>345</v>
      </c>
      <c r="K216">
        <v>4</v>
      </c>
      <c r="L216" s="1">
        <v>130449.45</v>
      </c>
      <c r="M216" s="1" t="str" cm="1">
        <f t="array" ref="M21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6" t="s">
        <v>59</v>
      </c>
      <c r="O216" t="s">
        <v>67</v>
      </c>
      <c r="P216" s="2" t="s">
        <v>394</v>
      </c>
      <c r="Q216">
        <v>5</v>
      </c>
      <c r="R216" t="s">
        <v>392</v>
      </c>
      <c r="S216" s="1">
        <f>electric_vehicles_dataset[[#This Row],[Units_Sold_2024]]*electric_vehicles_dataset[[#This Row],[Price_USD]]</f>
        <v>1469513054.25</v>
      </c>
      <c r="T216">
        <v>4</v>
      </c>
      <c r="U216">
        <v>11265</v>
      </c>
      <c r="V216">
        <v>5</v>
      </c>
    </row>
    <row r="217" spans="1:22" x14ac:dyDescent="0.35">
      <c r="A217">
        <v>216</v>
      </c>
      <c r="B217" t="s">
        <v>125</v>
      </c>
      <c r="C217" t="s">
        <v>291</v>
      </c>
      <c r="D217">
        <v>2023</v>
      </c>
      <c r="E217" t="s">
        <v>84</v>
      </c>
      <c r="F217">
        <v>129.30000000000001</v>
      </c>
      <c r="G217" t="s">
        <v>352</v>
      </c>
      <c r="H217">
        <f>electric_vehicles_dataset[[#This Row],[Battery_Capacity_kWh]]/electric_vehicles_dataset[[#This Row],[Range_km]]</f>
        <v>0.24913294797687863</v>
      </c>
      <c r="I217">
        <v>519</v>
      </c>
      <c r="J217" t="s">
        <v>358</v>
      </c>
      <c r="K217">
        <v>12</v>
      </c>
      <c r="L217" s="1">
        <v>112448.15</v>
      </c>
      <c r="M217" s="1" t="str" cm="1">
        <f t="array" ref="M21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7" t="s">
        <v>152</v>
      </c>
      <c r="O217" t="s">
        <v>182</v>
      </c>
      <c r="P217" s="2" t="s">
        <v>394</v>
      </c>
      <c r="Q217">
        <v>3</v>
      </c>
      <c r="R217" t="s">
        <v>397</v>
      </c>
      <c r="S217" s="1">
        <f>electric_vehicles_dataset[[#This Row],[Units_Sold_2024]]*electric_vehicles_dataset[[#This Row],[Price_USD]]</f>
        <v>127853546.55</v>
      </c>
      <c r="T217">
        <v>5</v>
      </c>
      <c r="U217">
        <v>1137</v>
      </c>
      <c r="V217">
        <v>5</v>
      </c>
    </row>
    <row r="218" spans="1:22" x14ac:dyDescent="0.35">
      <c r="A218">
        <v>217</v>
      </c>
      <c r="B218" t="s">
        <v>261</v>
      </c>
      <c r="C218" t="s">
        <v>370</v>
      </c>
      <c r="D218">
        <v>2024</v>
      </c>
      <c r="E218" t="s">
        <v>73</v>
      </c>
      <c r="F218">
        <v>147.80000000000001</v>
      </c>
      <c r="G218" t="s">
        <v>386</v>
      </c>
      <c r="H218">
        <f>electric_vehicles_dataset[[#This Row],[Battery_Capacity_kWh]]/electric_vehicles_dataset[[#This Row],[Range_km]]</f>
        <v>0.84457142857142864</v>
      </c>
      <c r="I218">
        <v>175</v>
      </c>
      <c r="J218" t="s">
        <v>48</v>
      </c>
      <c r="K218">
        <v>11</v>
      </c>
      <c r="L218" s="1">
        <v>83884.77</v>
      </c>
      <c r="M218" s="1" t="str" cm="1">
        <f t="array" ref="M21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8" t="s">
        <v>177</v>
      </c>
      <c r="O218" t="s">
        <v>124</v>
      </c>
      <c r="P218" s="2" t="s">
        <v>389</v>
      </c>
      <c r="Q218">
        <v>1</v>
      </c>
      <c r="R218" t="s">
        <v>391</v>
      </c>
      <c r="S218" s="1">
        <f>electric_vehicles_dataset[[#This Row],[Units_Sold_2024]]*electric_vehicles_dataset[[#This Row],[Price_USD]]</f>
        <v>1196700128.8200002</v>
      </c>
      <c r="T218">
        <v>4</v>
      </c>
      <c r="U218">
        <v>14266</v>
      </c>
      <c r="V218">
        <v>3</v>
      </c>
    </row>
    <row r="219" spans="1:22" x14ac:dyDescent="0.35">
      <c r="A219">
        <v>218</v>
      </c>
      <c r="B219" t="s">
        <v>241</v>
      </c>
      <c r="C219" t="s">
        <v>247</v>
      </c>
      <c r="D219">
        <v>2017</v>
      </c>
      <c r="E219" t="s">
        <v>26</v>
      </c>
      <c r="F219">
        <v>97.4</v>
      </c>
      <c r="G219" t="s">
        <v>350</v>
      </c>
      <c r="H219">
        <f>electric_vehicles_dataset[[#This Row],[Battery_Capacity_kWh]]/electric_vehicles_dataset[[#This Row],[Range_km]]</f>
        <v>0.37034220532319395</v>
      </c>
      <c r="I219">
        <v>263</v>
      </c>
      <c r="J219" t="s">
        <v>364</v>
      </c>
      <c r="K219">
        <v>2</v>
      </c>
      <c r="L219" s="1">
        <v>96763.7</v>
      </c>
      <c r="M219" s="1" t="str" cm="1">
        <f t="array" ref="M21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9" t="s">
        <v>114</v>
      </c>
      <c r="O219" t="s">
        <v>89</v>
      </c>
      <c r="P219" s="2" t="s">
        <v>389</v>
      </c>
      <c r="Q219">
        <v>4</v>
      </c>
      <c r="R219" t="s">
        <v>392</v>
      </c>
      <c r="S219" s="1">
        <f>electric_vehicles_dataset[[#This Row],[Units_Sold_2024]]*electric_vehicles_dataset[[#This Row],[Price_USD]]</f>
        <v>1862991516.0999999</v>
      </c>
      <c r="T219">
        <v>5</v>
      </c>
      <c r="U219">
        <v>19253</v>
      </c>
      <c r="V219">
        <v>5</v>
      </c>
    </row>
    <row r="220" spans="1:22" x14ac:dyDescent="0.35">
      <c r="A220">
        <v>219</v>
      </c>
      <c r="B220" t="s">
        <v>170</v>
      </c>
      <c r="C220" t="s">
        <v>275</v>
      </c>
      <c r="D220">
        <v>2016</v>
      </c>
      <c r="E220" t="s">
        <v>42</v>
      </c>
      <c r="F220">
        <v>39.5</v>
      </c>
      <c r="G220" t="s">
        <v>357</v>
      </c>
      <c r="H220">
        <f>electric_vehicles_dataset[[#This Row],[Battery_Capacity_kWh]]/electric_vehicles_dataset[[#This Row],[Range_km]]</f>
        <v>0.10128205128205128</v>
      </c>
      <c r="I220">
        <v>390</v>
      </c>
      <c r="J220" t="s">
        <v>48</v>
      </c>
      <c r="K220">
        <v>11</v>
      </c>
      <c r="L220" s="1">
        <v>97522.05</v>
      </c>
      <c r="M220" s="1" t="str" cm="1">
        <f t="array" ref="M22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0" t="s">
        <v>175</v>
      </c>
      <c r="O220" t="s">
        <v>265</v>
      </c>
      <c r="P220" s="2" t="s">
        <v>389</v>
      </c>
      <c r="Q220">
        <v>2</v>
      </c>
      <c r="R220" t="s">
        <v>391</v>
      </c>
      <c r="S220" s="1">
        <f>electric_vehicles_dataset[[#This Row],[Units_Sold_2024]]*electric_vehicles_dataset[[#This Row],[Price_USD]]</f>
        <v>1551673337.55</v>
      </c>
      <c r="T220">
        <v>5</v>
      </c>
      <c r="U220">
        <v>15911</v>
      </c>
      <c r="V220">
        <v>5</v>
      </c>
    </row>
    <row r="221" spans="1:22" x14ac:dyDescent="0.35">
      <c r="A221">
        <v>220</v>
      </c>
      <c r="B221" t="s">
        <v>157</v>
      </c>
      <c r="C221" t="s">
        <v>158</v>
      </c>
      <c r="D221">
        <v>2015</v>
      </c>
      <c r="E221" t="s">
        <v>101</v>
      </c>
      <c r="F221">
        <v>55.8</v>
      </c>
      <c r="G221" t="s">
        <v>348</v>
      </c>
      <c r="H221">
        <f>electric_vehicles_dataset[[#This Row],[Battery_Capacity_kWh]]/electric_vehicles_dataset[[#This Row],[Range_km]]</f>
        <v>0.32254335260115607</v>
      </c>
      <c r="I221">
        <v>173</v>
      </c>
      <c r="J221" t="s">
        <v>34</v>
      </c>
      <c r="K221">
        <v>1</v>
      </c>
      <c r="L221" s="1">
        <v>136748.91</v>
      </c>
      <c r="M221" s="1" t="str" cm="1">
        <f t="array" ref="M22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1" t="s">
        <v>219</v>
      </c>
      <c r="O221" t="s">
        <v>78</v>
      </c>
      <c r="P221" s="2" t="s">
        <v>389</v>
      </c>
      <c r="Q221">
        <v>2</v>
      </c>
      <c r="R221" t="s">
        <v>391</v>
      </c>
      <c r="S221" s="1">
        <f>electric_vehicles_dataset[[#This Row],[Units_Sold_2024]]*electric_vehicles_dataset[[#This Row],[Price_USD]]</f>
        <v>90527778.420000002</v>
      </c>
      <c r="T221">
        <v>4</v>
      </c>
      <c r="U221">
        <v>662</v>
      </c>
      <c r="V221">
        <v>4</v>
      </c>
    </row>
    <row r="222" spans="1:22" x14ac:dyDescent="0.35">
      <c r="A222">
        <v>221</v>
      </c>
      <c r="B222" t="s">
        <v>241</v>
      </c>
      <c r="C222" t="s">
        <v>242</v>
      </c>
      <c r="D222">
        <v>2019</v>
      </c>
      <c r="E222" t="s">
        <v>133</v>
      </c>
      <c r="F222">
        <v>129.6</v>
      </c>
      <c r="G222" t="s">
        <v>352</v>
      </c>
      <c r="H222">
        <f>electric_vehicles_dataset[[#This Row],[Battery_Capacity_kWh]]/electric_vehicles_dataset[[#This Row],[Range_km]]</f>
        <v>0.24044526901669758</v>
      </c>
      <c r="I222">
        <v>539</v>
      </c>
      <c r="J222" t="s">
        <v>48</v>
      </c>
      <c r="K222">
        <v>12</v>
      </c>
      <c r="L222" s="1">
        <v>57354.89</v>
      </c>
      <c r="M222" s="1" t="str" cm="1">
        <f t="array" ref="M22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2" t="s">
        <v>127</v>
      </c>
      <c r="O222" t="s">
        <v>236</v>
      </c>
      <c r="P222" s="2" t="s">
        <v>394</v>
      </c>
      <c r="Q222">
        <v>2</v>
      </c>
      <c r="R222" t="s">
        <v>391</v>
      </c>
      <c r="S222" s="1">
        <f>electric_vehicles_dataset[[#This Row],[Units_Sold_2024]]*electric_vehicles_dataset[[#This Row],[Price_USD]]</f>
        <v>167763053.25</v>
      </c>
      <c r="T222">
        <v>5</v>
      </c>
      <c r="U222">
        <v>2925</v>
      </c>
      <c r="V222">
        <v>3</v>
      </c>
    </row>
    <row r="223" spans="1:22" x14ac:dyDescent="0.35">
      <c r="A223">
        <v>222</v>
      </c>
      <c r="B223" t="s">
        <v>96</v>
      </c>
      <c r="C223" t="s">
        <v>292</v>
      </c>
      <c r="D223">
        <v>2021</v>
      </c>
      <c r="E223" t="s">
        <v>17</v>
      </c>
      <c r="F223">
        <v>83</v>
      </c>
      <c r="G223" t="s">
        <v>350</v>
      </c>
      <c r="H223">
        <f>electric_vehicles_dataset[[#This Row],[Battery_Capacity_kWh]]/electric_vehicles_dataset[[#This Row],[Range_km]]</f>
        <v>0.22802197802197802</v>
      </c>
      <c r="I223">
        <v>364</v>
      </c>
      <c r="J223" t="s">
        <v>149</v>
      </c>
      <c r="K223">
        <v>10</v>
      </c>
      <c r="L223" s="1">
        <v>91832.36</v>
      </c>
      <c r="M223" s="1" t="str" cm="1">
        <f t="array" ref="M22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3" t="s">
        <v>177</v>
      </c>
      <c r="O223" t="s">
        <v>92</v>
      </c>
      <c r="P223" s="2" t="s">
        <v>394</v>
      </c>
      <c r="Q223">
        <v>4</v>
      </c>
      <c r="R223" t="s">
        <v>392</v>
      </c>
      <c r="S223" s="1">
        <f>electric_vehicles_dataset[[#This Row],[Units_Sold_2024]]*electric_vehicles_dataset[[#This Row],[Price_USD]]</f>
        <v>1711204196.24</v>
      </c>
      <c r="T223">
        <v>5</v>
      </c>
      <c r="U223">
        <v>18634</v>
      </c>
      <c r="V223">
        <v>3</v>
      </c>
    </row>
    <row r="224" spans="1:22" x14ac:dyDescent="0.35">
      <c r="A224">
        <v>223</v>
      </c>
      <c r="B224" t="s">
        <v>120</v>
      </c>
      <c r="C224" t="s">
        <v>288</v>
      </c>
      <c r="D224">
        <v>2018</v>
      </c>
      <c r="E224" t="s">
        <v>26</v>
      </c>
      <c r="F224">
        <v>27.5</v>
      </c>
      <c r="G224" t="s">
        <v>357</v>
      </c>
      <c r="H224">
        <f>electric_vehicles_dataset[[#This Row],[Battery_Capacity_kWh]]/electric_vehicles_dataset[[#This Row],[Range_km]]</f>
        <v>0.23706896551724138</v>
      </c>
      <c r="I224">
        <v>116</v>
      </c>
      <c r="J224" t="s">
        <v>345</v>
      </c>
      <c r="K224">
        <v>1</v>
      </c>
      <c r="L224" s="1">
        <v>73245.009999999995</v>
      </c>
      <c r="M224" s="1" t="str" cm="1">
        <f t="array" ref="M22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4" t="s">
        <v>55</v>
      </c>
      <c r="O224" t="s">
        <v>134</v>
      </c>
      <c r="P224" s="2" t="s">
        <v>389</v>
      </c>
      <c r="Q224">
        <v>3</v>
      </c>
      <c r="R224" t="s">
        <v>397</v>
      </c>
      <c r="S224" s="1">
        <f>electric_vehicles_dataset[[#This Row],[Units_Sold_2024]]*electric_vehicles_dataset[[#This Row],[Price_USD]]</f>
        <v>73318255.00999999</v>
      </c>
      <c r="T224">
        <v>3</v>
      </c>
      <c r="U224">
        <v>1001</v>
      </c>
      <c r="V224">
        <v>3</v>
      </c>
    </row>
    <row r="225" spans="1:22" x14ac:dyDescent="0.35">
      <c r="A225">
        <v>224</v>
      </c>
      <c r="B225" t="s">
        <v>187</v>
      </c>
      <c r="C225" t="s">
        <v>293</v>
      </c>
      <c r="D225">
        <v>2024</v>
      </c>
      <c r="E225" t="s">
        <v>130</v>
      </c>
      <c r="F225">
        <v>43.1</v>
      </c>
      <c r="G225" t="s">
        <v>348</v>
      </c>
      <c r="H225">
        <f>electric_vehicles_dataset[[#This Row],[Battery_Capacity_kWh]]/electric_vehicles_dataset[[#This Row],[Range_km]]</f>
        <v>7.9082568807339451E-2</v>
      </c>
      <c r="I225">
        <v>545</v>
      </c>
      <c r="J225" t="s">
        <v>356</v>
      </c>
      <c r="K225">
        <v>7</v>
      </c>
      <c r="L225" s="1">
        <v>71971.19</v>
      </c>
      <c r="M225" s="1" t="str" cm="1">
        <f t="array" ref="M22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5" t="s">
        <v>177</v>
      </c>
      <c r="O225" t="s">
        <v>161</v>
      </c>
      <c r="P225" s="2" t="s">
        <v>389</v>
      </c>
      <c r="Q225">
        <v>5</v>
      </c>
      <c r="R225" t="s">
        <v>392</v>
      </c>
      <c r="S225" s="1">
        <f>electric_vehicles_dataset[[#This Row],[Units_Sold_2024]]*electric_vehicles_dataset[[#This Row],[Price_USD]]</f>
        <v>117025154.94</v>
      </c>
      <c r="T225">
        <v>4</v>
      </c>
      <c r="U225">
        <v>1626</v>
      </c>
      <c r="V225">
        <v>3</v>
      </c>
    </row>
    <row r="226" spans="1:22" x14ac:dyDescent="0.35">
      <c r="A226">
        <v>225</v>
      </c>
      <c r="B226" t="s">
        <v>261</v>
      </c>
      <c r="C226" t="s">
        <v>372</v>
      </c>
      <c r="D226">
        <v>2018</v>
      </c>
      <c r="E226" t="s">
        <v>73</v>
      </c>
      <c r="F226">
        <v>49.3</v>
      </c>
      <c r="G226" t="s">
        <v>348</v>
      </c>
      <c r="H226">
        <f>electric_vehicles_dataset[[#This Row],[Battery_Capacity_kWh]]/electric_vehicles_dataset[[#This Row],[Range_km]]</f>
        <v>0.24048780487804877</v>
      </c>
      <c r="I226">
        <v>205</v>
      </c>
      <c r="J226" t="s">
        <v>105</v>
      </c>
      <c r="K226">
        <v>8</v>
      </c>
      <c r="L226" s="1">
        <v>91593.75</v>
      </c>
      <c r="M226" s="1" t="str" cm="1">
        <f t="array" ref="M22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6" t="s">
        <v>168</v>
      </c>
      <c r="O226" t="s">
        <v>115</v>
      </c>
      <c r="P226" s="2" t="s">
        <v>396</v>
      </c>
      <c r="Q226">
        <v>1</v>
      </c>
      <c r="R226" t="s">
        <v>391</v>
      </c>
      <c r="S226" s="1">
        <f>electric_vehicles_dataset[[#This Row],[Units_Sold_2024]]*electric_vehicles_dataset[[#This Row],[Price_USD]]</f>
        <v>671565375</v>
      </c>
      <c r="T226">
        <v>3</v>
      </c>
      <c r="U226">
        <v>7332</v>
      </c>
      <c r="V226">
        <v>4</v>
      </c>
    </row>
    <row r="227" spans="1:22" x14ac:dyDescent="0.35">
      <c r="A227">
        <v>226</v>
      </c>
      <c r="B227" t="s">
        <v>157</v>
      </c>
      <c r="C227" t="s">
        <v>158</v>
      </c>
      <c r="D227">
        <v>2025</v>
      </c>
      <c r="E227" t="s">
        <v>133</v>
      </c>
      <c r="F227">
        <v>75.099999999999994</v>
      </c>
      <c r="G227" t="s">
        <v>351</v>
      </c>
      <c r="H227">
        <f>electric_vehicles_dataset[[#This Row],[Battery_Capacity_kWh]]/electric_vehicles_dataset[[#This Row],[Range_km]]</f>
        <v>0.25719178082191779</v>
      </c>
      <c r="I227">
        <v>292</v>
      </c>
      <c r="J227" t="s">
        <v>149</v>
      </c>
      <c r="K227">
        <v>6</v>
      </c>
      <c r="L227" s="1">
        <v>56185.09</v>
      </c>
      <c r="M227" s="1" t="str" cm="1">
        <f t="array" ref="M22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7" t="s">
        <v>127</v>
      </c>
      <c r="O227" t="s">
        <v>121</v>
      </c>
      <c r="P227" s="2" t="s">
        <v>398</v>
      </c>
      <c r="Q227">
        <v>3</v>
      </c>
      <c r="R227" t="s">
        <v>397</v>
      </c>
      <c r="S227" s="1">
        <f>electric_vehicles_dataset[[#This Row],[Units_Sold_2024]]*electric_vehicles_dataset[[#This Row],[Price_USD]]</f>
        <v>688941573.57999992</v>
      </c>
      <c r="T227">
        <v>4</v>
      </c>
      <c r="U227">
        <v>12262</v>
      </c>
      <c r="V227">
        <v>5</v>
      </c>
    </row>
    <row r="228" spans="1:22" x14ac:dyDescent="0.35">
      <c r="A228">
        <v>227</v>
      </c>
      <c r="B228" t="s">
        <v>224</v>
      </c>
      <c r="C228" t="s">
        <v>225</v>
      </c>
      <c r="D228">
        <v>2019</v>
      </c>
      <c r="E228" t="s">
        <v>73</v>
      </c>
      <c r="F228">
        <v>34.1</v>
      </c>
      <c r="G228" t="s">
        <v>357</v>
      </c>
      <c r="H228">
        <f>electric_vehicles_dataset[[#This Row],[Battery_Capacity_kWh]]/electric_vehicles_dataset[[#This Row],[Range_km]]</f>
        <v>0.25833333333333336</v>
      </c>
      <c r="I228">
        <v>132</v>
      </c>
      <c r="J228" t="s">
        <v>38</v>
      </c>
      <c r="K228">
        <v>12</v>
      </c>
      <c r="L228" s="1">
        <v>106871.37</v>
      </c>
      <c r="M228" s="1" t="str" cm="1">
        <f t="array" ref="M22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8" t="s">
        <v>49</v>
      </c>
      <c r="O228" t="s">
        <v>161</v>
      </c>
      <c r="P228" s="2" t="s">
        <v>389</v>
      </c>
      <c r="Q228">
        <v>5</v>
      </c>
      <c r="R228" t="s">
        <v>392</v>
      </c>
      <c r="S228" s="1">
        <f>electric_vehicles_dataset[[#This Row],[Units_Sold_2024]]*electric_vehicles_dataset[[#This Row],[Price_USD]]</f>
        <v>198780748.19999999</v>
      </c>
      <c r="T228">
        <v>3</v>
      </c>
      <c r="U228">
        <v>1860</v>
      </c>
      <c r="V228">
        <v>5</v>
      </c>
    </row>
    <row r="229" spans="1:22" x14ac:dyDescent="0.35">
      <c r="A229">
        <v>228</v>
      </c>
      <c r="B229" t="s">
        <v>36</v>
      </c>
      <c r="C229" t="s">
        <v>37</v>
      </c>
      <c r="D229">
        <v>2025</v>
      </c>
      <c r="E229" t="s">
        <v>101</v>
      </c>
      <c r="F229">
        <v>113.8</v>
      </c>
      <c r="G229" t="s">
        <v>361</v>
      </c>
      <c r="H229">
        <f>electric_vehicles_dataset[[#This Row],[Battery_Capacity_kWh]]/electric_vehicles_dataset[[#This Row],[Range_km]]</f>
        <v>0.26160919540229882</v>
      </c>
      <c r="I229">
        <v>435</v>
      </c>
      <c r="J229" t="s">
        <v>356</v>
      </c>
      <c r="K229">
        <v>12</v>
      </c>
      <c r="L229" s="1">
        <v>61131.15</v>
      </c>
      <c r="M229" s="1" t="str" cm="1">
        <f t="array" ref="M2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9" t="s">
        <v>70</v>
      </c>
      <c r="O229" t="s">
        <v>164</v>
      </c>
      <c r="P229" s="2" t="s">
        <v>394</v>
      </c>
      <c r="Q229">
        <v>0</v>
      </c>
      <c r="R229" t="s">
        <v>390</v>
      </c>
      <c r="S229" s="1">
        <f>electric_vehicles_dataset[[#This Row],[Units_Sold_2024]]*electric_vehicles_dataset[[#This Row],[Price_USD]]</f>
        <v>687358650.60000002</v>
      </c>
      <c r="T229">
        <v>3</v>
      </c>
      <c r="U229">
        <v>11244</v>
      </c>
      <c r="V229">
        <v>5</v>
      </c>
    </row>
    <row r="230" spans="1:22" x14ac:dyDescent="0.35">
      <c r="A230">
        <v>229</v>
      </c>
      <c r="B230" t="s">
        <v>215</v>
      </c>
      <c r="C230" t="s">
        <v>216</v>
      </c>
      <c r="D230">
        <v>2025</v>
      </c>
      <c r="E230" t="s">
        <v>47</v>
      </c>
      <c r="F230">
        <v>103</v>
      </c>
      <c r="G230" t="s">
        <v>361</v>
      </c>
      <c r="H230">
        <f>electric_vehicles_dataset[[#This Row],[Battery_Capacity_kWh]]/electric_vehicles_dataset[[#This Row],[Range_km]]</f>
        <v>0.30029154518950435</v>
      </c>
      <c r="I230">
        <v>343</v>
      </c>
      <c r="J230" t="s">
        <v>149</v>
      </c>
      <c r="K230">
        <v>6</v>
      </c>
      <c r="L230" s="1">
        <v>131450.31</v>
      </c>
      <c r="M230" s="1" t="str" cm="1">
        <f t="array" ref="M2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0" t="s">
        <v>142</v>
      </c>
      <c r="O230" t="s">
        <v>354</v>
      </c>
      <c r="P230" s="2" t="s">
        <v>394</v>
      </c>
      <c r="Q230">
        <v>0</v>
      </c>
      <c r="R230" t="s">
        <v>390</v>
      </c>
      <c r="S230" s="1">
        <f>electric_vehicles_dataset[[#This Row],[Units_Sold_2024]]*electric_vehicles_dataset[[#This Row],[Price_USD]]</f>
        <v>2407906778.5799999</v>
      </c>
      <c r="T230">
        <v>5</v>
      </c>
      <c r="U230">
        <v>18318</v>
      </c>
      <c r="V230">
        <v>3</v>
      </c>
    </row>
    <row r="231" spans="1:22" x14ac:dyDescent="0.35">
      <c r="A231">
        <v>230</v>
      </c>
      <c r="B231" t="s">
        <v>94</v>
      </c>
      <c r="C231" t="s">
        <v>294</v>
      </c>
      <c r="D231">
        <v>2025</v>
      </c>
      <c r="E231" t="s">
        <v>58</v>
      </c>
      <c r="F231">
        <v>48.9</v>
      </c>
      <c r="G231" t="s">
        <v>348</v>
      </c>
      <c r="H231">
        <f>electric_vehicles_dataset[[#This Row],[Battery_Capacity_kWh]]/electric_vehicles_dataset[[#This Row],[Range_km]]</f>
        <v>0.22850467289719625</v>
      </c>
      <c r="I231">
        <v>214</v>
      </c>
      <c r="J231" t="s">
        <v>54</v>
      </c>
      <c r="K231">
        <v>5</v>
      </c>
      <c r="L231" s="1">
        <v>136421.23000000001</v>
      </c>
      <c r="M231" s="1" t="str" cm="1">
        <f t="array" ref="M23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1" t="s">
        <v>165</v>
      </c>
      <c r="O231" t="s">
        <v>161</v>
      </c>
      <c r="P231" s="2" t="s">
        <v>389</v>
      </c>
      <c r="Q231">
        <v>3</v>
      </c>
      <c r="R231" t="s">
        <v>397</v>
      </c>
      <c r="S231" s="1">
        <f>electric_vehicles_dataset[[#This Row],[Units_Sold_2024]]*electric_vehicles_dataset[[#This Row],[Price_USD]]</f>
        <v>2608646760.0600004</v>
      </c>
      <c r="T231">
        <v>5</v>
      </c>
      <c r="U231">
        <v>19122</v>
      </c>
      <c r="V231">
        <v>5</v>
      </c>
    </row>
    <row r="232" spans="1:22" x14ac:dyDescent="0.35">
      <c r="A232">
        <v>231</v>
      </c>
      <c r="B232" t="s">
        <v>155</v>
      </c>
      <c r="C232" t="s">
        <v>156</v>
      </c>
      <c r="D232">
        <v>2022</v>
      </c>
      <c r="E232" t="s">
        <v>53</v>
      </c>
      <c r="F232">
        <v>45.3</v>
      </c>
      <c r="G232" t="s">
        <v>348</v>
      </c>
      <c r="H232">
        <f>electric_vehicles_dataset[[#This Row],[Battery_Capacity_kWh]]/electric_vehicles_dataset[[#This Row],[Range_km]]</f>
        <v>0.2813664596273292</v>
      </c>
      <c r="I232">
        <v>161</v>
      </c>
      <c r="J232" t="s">
        <v>34</v>
      </c>
      <c r="K232">
        <v>7</v>
      </c>
      <c r="L232" s="1">
        <v>79572.87</v>
      </c>
      <c r="M232" s="1" t="str" cm="1">
        <f t="array" ref="M2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2" t="s">
        <v>77</v>
      </c>
      <c r="O232" t="s">
        <v>44</v>
      </c>
      <c r="P232" s="2" t="s">
        <v>389</v>
      </c>
      <c r="Q232">
        <v>3</v>
      </c>
      <c r="R232" t="s">
        <v>397</v>
      </c>
      <c r="S232" s="1">
        <f>electric_vehicles_dataset[[#This Row],[Units_Sold_2024]]*electric_vehicles_dataset[[#This Row],[Price_USD]]</f>
        <v>1193036039.9099998</v>
      </c>
      <c r="T232">
        <v>5</v>
      </c>
      <c r="U232">
        <v>14993</v>
      </c>
      <c r="V232">
        <v>3</v>
      </c>
    </row>
    <row r="233" spans="1:22" x14ac:dyDescent="0.35">
      <c r="A233">
        <v>232</v>
      </c>
      <c r="B233" t="s">
        <v>56</v>
      </c>
      <c r="C233" t="s">
        <v>57</v>
      </c>
      <c r="D233">
        <v>2016</v>
      </c>
      <c r="E233" t="s">
        <v>130</v>
      </c>
      <c r="F233">
        <v>63.2</v>
      </c>
      <c r="G233" t="s">
        <v>351</v>
      </c>
      <c r="H233">
        <f>electric_vehicles_dataset[[#This Row],[Battery_Capacity_kWh]]/electric_vehicles_dataset[[#This Row],[Range_km]]</f>
        <v>0.33263157894736844</v>
      </c>
      <c r="I233">
        <v>190</v>
      </c>
      <c r="J233" t="s">
        <v>38</v>
      </c>
      <c r="K233">
        <v>8</v>
      </c>
      <c r="L233" s="1">
        <v>30565.62</v>
      </c>
      <c r="M233" s="1" t="str" cm="1">
        <f t="array" ref="M23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3" t="s">
        <v>49</v>
      </c>
      <c r="O233" t="s">
        <v>124</v>
      </c>
      <c r="P233" s="2" t="s">
        <v>389</v>
      </c>
      <c r="Q233">
        <v>1</v>
      </c>
      <c r="R233" t="s">
        <v>391</v>
      </c>
      <c r="S233" s="1">
        <f>electric_vehicles_dataset[[#This Row],[Units_Sold_2024]]*electric_vehicles_dataset[[#This Row],[Price_USD]]</f>
        <v>129598228.8</v>
      </c>
      <c r="T233">
        <v>3</v>
      </c>
      <c r="U233">
        <v>4240</v>
      </c>
      <c r="V233">
        <v>5</v>
      </c>
    </row>
    <row r="234" spans="1:22" x14ac:dyDescent="0.35">
      <c r="A234">
        <v>233</v>
      </c>
      <c r="B234" t="s">
        <v>222</v>
      </c>
      <c r="C234" t="s">
        <v>295</v>
      </c>
      <c r="D234">
        <v>2021</v>
      </c>
      <c r="E234" t="s">
        <v>42</v>
      </c>
      <c r="F234">
        <v>145.5</v>
      </c>
      <c r="G234" t="s">
        <v>386</v>
      </c>
      <c r="H234">
        <f>electric_vehicles_dataset[[#This Row],[Battery_Capacity_kWh]]/electric_vehicles_dataset[[#This Row],[Range_km]]</f>
        <v>0.49155405405405406</v>
      </c>
      <c r="I234">
        <v>296</v>
      </c>
      <c r="J234" t="s">
        <v>76</v>
      </c>
      <c r="K234">
        <v>1</v>
      </c>
      <c r="L234" s="1">
        <v>53929.71</v>
      </c>
      <c r="M234" s="1" t="str" cm="1">
        <f t="array" ref="M23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4" t="s">
        <v>165</v>
      </c>
      <c r="O234" t="s">
        <v>115</v>
      </c>
      <c r="P234" s="2" t="s">
        <v>396</v>
      </c>
      <c r="Q234">
        <v>4</v>
      </c>
      <c r="R234" t="s">
        <v>392</v>
      </c>
      <c r="S234" s="1">
        <f>electric_vehicles_dataset[[#This Row],[Units_Sold_2024]]*electric_vehicles_dataset[[#This Row],[Price_USD]]</f>
        <v>439688925.63</v>
      </c>
      <c r="T234">
        <v>5</v>
      </c>
      <c r="U234">
        <v>8153</v>
      </c>
      <c r="V234">
        <v>3</v>
      </c>
    </row>
    <row r="235" spans="1:22" x14ac:dyDescent="0.35">
      <c r="A235">
        <v>234</v>
      </c>
      <c r="B235" t="s">
        <v>136</v>
      </c>
      <c r="C235" t="s">
        <v>137</v>
      </c>
      <c r="D235">
        <v>2019</v>
      </c>
      <c r="E235" t="s">
        <v>101</v>
      </c>
      <c r="F235">
        <v>33.4</v>
      </c>
      <c r="G235" t="s">
        <v>357</v>
      </c>
      <c r="H235">
        <f>electric_vehicles_dataset[[#This Row],[Battery_Capacity_kWh]]/electric_vehicles_dataset[[#This Row],[Range_km]]</f>
        <v>9.3557422969187676E-2</v>
      </c>
      <c r="I235">
        <v>357</v>
      </c>
      <c r="J235" t="s">
        <v>54</v>
      </c>
      <c r="K235">
        <v>2</v>
      </c>
      <c r="L235" s="1">
        <v>128861.26</v>
      </c>
      <c r="M235" s="1" t="str" cm="1">
        <f t="array" ref="M23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5" t="s">
        <v>127</v>
      </c>
      <c r="O235" t="s">
        <v>265</v>
      </c>
      <c r="P235" s="2" t="s">
        <v>389</v>
      </c>
      <c r="Q235">
        <v>4</v>
      </c>
      <c r="R235" t="s">
        <v>392</v>
      </c>
      <c r="S235" s="1">
        <f>electric_vehicles_dataset[[#This Row],[Units_Sold_2024]]*electric_vehicles_dataset[[#This Row],[Price_USD]]</f>
        <v>564927763.84000003</v>
      </c>
      <c r="T235">
        <v>5</v>
      </c>
      <c r="U235">
        <v>4384</v>
      </c>
      <c r="V235">
        <v>4</v>
      </c>
    </row>
    <row r="236" spans="1:22" x14ac:dyDescent="0.35">
      <c r="A236">
        <v>235</v>
      </c>
      <c r="B236" t="s">
        <v>262</v>
      </c>
      <c r="C236" t="s">
        <v>373</v>
      </c>
      <c r="D236">
        <v>2018</v>
      </c>
      <c r="E236" t="s">
        <v>101</v>
      </c>
      <c r="F236">
        <v>143.30000000000001</v>
      </c>
      <c r="G236" t="s">
        <v>386</v>
      </c>
      <c r="H236">
        <f>electric_vehicles_dataset[[#This Row],[Battery_Capacity_kWh]]/electric_vehicles_dataset[[#This Row],[Range_km]]</f>
        <v>0.25140350877192985</v>
      </c>
      <c r="I236">
        <v>570</v>
      </c>
      <c r="J236" t="s">
        <v>34</v>
      </c>
      <c r="K236">
        <v>1</v>
      </c>
      <c r="L236" s="1">
        <v>56918.559999999998</v>
      </c>
      <c r="M236" s="1" t="str" cm="1">
        <f t="array" ref="M2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6" t="s">
        <v>131</v>
      </c>
      <c r="O236" t="s">
        <v>124</v>
      </c>
      <c r="P236" s="2" t="s">
        <v>389</v>
      </c>
      <c r="Q236">
        <v>4</v>
      </c>
      <c r="R236" t="s">
        <v>392</v>
      </c>
      <c r="S236" s="1">
        <f>electric_vehicles_dataset[[#This Row],[Units_Sold_2024]]*electric_vehicles_dataset[[#This Row],[Price_USD]]</f>
        <v>69668317.439999998</v>
      </c>
      <c r="T236">
        <v>5</v>
      </c>
      <c r="U236">
        <v>1224</v>
      </c>
      <c r="V236">
        <v>4</v>
      </c>
    </row>
    <row r="237" spans="1:22" x14ac:dyDescent="0.35">
      <c r="A237">
        <v>236</v>
      </c>
      <c r="B237" t="s">
        <v>16</v>
      </c>
      <c r="C237" t="s">
        <v>347</v>
      </c>
      <c r="D237">
        <v>2023</v>
      </c>
      <c r="E237" t="s">
        <v>90</v>
      </c>
      <c r="F237">
        <v>26.3</v>
      </c>
      <c r="G237" t="s">
        <v>357</v>
      </c>
      <c r="H237">
        <f>electric_vehicles_dataset[[#This Row],[Battery_Capacity_kWh]]/electric_vehicles_dataset[[#This Row],[Range_km]]</f>
        <v>0.21209677419354839</v>
      </c>
      <c r="I237">
        <v>124</v>
      </c>
      <c r="J237" t="s">
        <v>48</v>
      </c>
      <c r="K237">
        <v>8</v>
      </c>
      <c r="L237" s="1">
        <v>32369.01</v>
      </c>
      <c r="M237" s="1" t="str" cm="1">
        <f t="array" ref="M2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7" t="s">
        <v>35</v>
      </c>
      <c r="O237" t="s">
        <v>147</v>
      </c>
      <c r="P237" s="2" t="s">
        <v>396</v>
      </c>
      <c r="Q237">
        <v>3</v>
      </c>
      <c r="R237" t="s">
        <v>397</v>
      </c>
      <c r="S237" s="1">
        <f>electric_vehicles_dataset[[#This Row],[Units_Sold_2024]]*electric_vehicles_dataset[[#This Row],[Price_USD]]</f>
        <v>162395323.16999999</v>
      </c>
      <c r="T237">
        <v>5</v>
      </c>
      <c r="U237">
        <v>5017</v>
      </c>
      <c r="V237">
        <v>3</v>
      </c>
    </row>
    <row r="238" spans="1:22" x14ac:dyDescent="0.35">
      <c r="A238">
        <v>237</v>
      </c>
      <c r="B238" t="s">
        <v>136</v>
      </c>
      <c r="C238" t="s">
        <v>137</v>
      </c>
      <c r="D238">
        <v>2019</v>
      </c>
      <c r="E238" t="s">
        <v>42</v>
      </c>
      <c r="F238">
        <v>106</v>
      </c>
      <c r="G238" t="s">
        <v>361</v>
      </c>
      <c r="H238">
        <f>electric_vehicles_dataset[[#This Row],[Battery_Capacity_kWh]]/electric_vehicles_dataset[[#This Row],[Range_km]]</f>
        <v>0.24145785876993167</v>
      </c>
      <c r="I238">
        <v>439</v>
      </c>
      <c r="J238" t="s">
        <v>105</v>
      </c>
      <c r="K238">
        <v>8</v>
      </c>
      <c r="L238" s="1">
        <v>114087.16</v>
      </c>
      <c r="M238" s="1" t="str" cm="1">
        <f t="array" ref="M23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8" t="s">
        <v>70</v>
      </c>
      <c r="O238" t="s">
        <v>93</v>
      </c>
      <c r="P238" s="2" t="s">
        <v>389</v>
      </c>
      <c r="Q238">
        <v>4</v>
      </c>
      <c r="R238" t="s">
        <v>392</v>
      </c>
      <c r="S238" s="1">
        <f>electric_vehicles_dataset[[#This Row],[Units_Sold_2024]]*electric_vehicles_dataset[[#This Row],[Price_USD]]</f>
        <v>1860647492.4400001</v>
      </c>
      <c r="T238">
        <v>3</v>
      </c>
      <c r="U238">
        <v>16309</v>
      </c>
      <c r="V238">
        <v>3</v>
      </c>
    </row>
    <row r="239" spans="1:22" x14ac:dyDescent="0.35">
      <c r="A239">
        <v>238</v>
      </c>
      <c r="B239" t="s">
        <v>157</v>
      </c>
      <c r="C239" t="s">
        <v>296</v>
      </c>
      <c r="D239">
        <v>2019</v>
      </c>
      <c r="E239" t="s">
        <v>26</v>
      </c>
      <c r="F239">
        <v>88</v>
      </c>
      <c r="G239" t="s">
        <v>350</v>
      </c>
      <c r="H239">
        <f>electric_vehicles_dataset[[#This Row],[Battery_Capacity_kWh]]/electric_vehicles_dataset[[#This Row],[Range_km]]</f>
        <v>0.43349753694581283</v>
      </c>
      <c r="I239">
        <v>203</v>
      </c>
      <c r="J239" t="s">
        <v>149</v>
      </c>
      <c r="K239">
        <v>9</v>
      </c>
      <c r="L239" s="1">
        <v>65442.14</v>
      </c>
      <c r="M239" s="1" t="str" cm="1">
        <f t="array" ref="M2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9" t="s">
        <v>210</v>
      </c>
      <c r="O239" t="s">
        <v>354</v>
      </c>
      <c r="P239" s="2" t="s">
        <v>394</v>
      </c>
      <c r="Q239">
        <v>1</v>
      </c>
      <c r="R239" t="s">
        <v>391</v>
      </c>
      <c r="S239" s="1">
        <f>electric_vehicles_dataset[[#This Row],[Units_Sold_2024]]*electric_vehicles_dataset[[#This Row],[Price_USD]]</f>
        <v>5824350.46</v>
      </c>
      <c r="T239">
        <v>3</v>
      </c>
      <c r="U239">
        <v>89</v>
      </c>
      <c r="V239">
        <v>3</v>
      </c>
    </row>
    <row r="240" spans="1:22" x14ac:dyDescent="0.35">
      <c r="A240">
        <v>239</v>
      </c>
      <c r="B240" t="s">
        <v>68</v>
      </c>
      <c r="C240" t="s">
        <v>103</v>
      </c>
      <c r="D240">
        <v>2016</v>
      </c>
      <c r="E240" t="s">
        <v>26</v>
      </c>
      <c r="F240">
        <v>94.6</v>
      </c>
      <c r="G240" t="s">
        <v>350</v>
      </c>
      <c r="H240">
        <f>electric_vehicles_dataset[[#This Row],[Battery_Capacity_kWh]]/electric_vehicles_dataset[[#This Row],[Range_km]]</f>
        <v>0.26874999999999999</v>
      </c>
      <c r="I240">
        <v>352</v>
      </c>
      <c r="J240" t="s">
        <v>18</v>
      </c>
      <c r="K240">
        <v>11</v>
      </c>
      <c r="L240" s="1">
        <v>123543.15</v>
      </c>
      <c r="M240" s="1" t="str" cm="1">
        <f t="array" ref="M2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0" t="s">
        <v>228</v>
      </c>
      <c r="O240" t="s">
        <v>93</v>
      </c>
      <c r="P240" s="2" t="s">
        <v>389</v>
      </c>
      <c r="Q240">
        <v>5</v>
      </c>
      <c r="R240" t="s">
        <v>392</v>
      </c>
      <c r="S240" s="1">
        <f>electric_vehicles_dataset[[#This Row],[Units_Sold_2024]]*electric_vehicles_dataset[[#This Row],[Price_USD]]</f>
        <v>1069142420.0999999</v>
      </c>
      <c r="T240">
        <v>4</v>
      </c>
      <c r="U240">
        <v>8654</v>
      </c>
      <c r="V240">
        <v>4</v>
      </c>
    </row>
    <row r="241" spans="1:22" x14ac:dyDescent="0.35">
      <c r="A241">
        <v>240</v>
      </c>
      <c r="B241" t="s">
        <v>71</v>
      </c>
      <c r="C241" t="s">
        <v>258</v>
      </c>
      <c r="D241">
        <v>2017</v>
      </c>
      <c r="E241" t="s">
        <v>26</v>
      </c>
      <c r="F241">
        <v>25.1</v>
      </c>
      <c r="G241" t="s">
        <v>357</v>
      </c>
      <c r="H241">
        <f>electric_vehicles_dataset[[#This Row],[Battery_Capacity_kWh]]/electric_vehicles_dataset[[#This Row],[Range_km]]</f>
        <v>0.10120967741935484</v>
      </c>
      <c r="I241">
        <v>248</v>
      </c>
      <c r="J241" t="s">
        <v>149</v>
      </c>
      <c r="K241">
        <v>10</v>
      </c>
      <c r="L241" s="1">
        <v>67524.850000000006</v>
      </c>
      <c r="M241" s="1" t="str" cm="1">
        <f t="array" ref="M24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1" t="s">
        <v>277</v>
      </c>
      <c r="O241" t="s">
        <v>147</v>
      </c>
      <c r="P241" s="2" t="s">
        <v>396</v>
      </c>
      <c r="Q241">
        <v>5</v>
      </c>
      <c r="R241" t="s">
        <v>392</v>
      </c>
      <c r="S241" s="1">
        <f>electric_vehicles_dataset[[#This Row],[Units_Sold_2024]]*electric_vehicles_dataset[[#This Row],[Price_USD]]</f>
        <v>306157669.90000004</v>
      </c>
      <c r="T241">
        <v>4</v>
      </c>
      <c r="U241">
        <v>4534</v>
      </c>
      <c r="V241">
        <v>5</v>
      </c>
    </row>
    <row r="242" spans="1:22" x14ac:dyDescent="0.35">
      <c r="A242">
        <v>241</v>
      </c>
      <c r="B242" t="s">
        <v>224</v>
      </c>
      <c r="C242" t="s">
        <v>297</v>
      </c>
      <c r="D242">
        <v>2020</v>
      </c>
      <c r="E242" t="s">
        <v>104</v>
      </c>
      <c r="F242">
        <v>136.30000000000001</v>
      </c>
      <c r="G242" t="s">
        <v>352</v>
      </c>
      <c r="H242">
        <f>electric_vehicles_dataset[[#This Row],[Battery_Capacity_kWh]]/electric_vehicles_dataset[[#This Row],[Range_km]]</f>
        <v>0.23140916808149409</v>
      </c>
      <c r="I242">
        <v>589</v>
      </c>
      <c r="J242" t="s">
        <v>105</v>
      </c>
      <c r="K242">
        <v>11</v>
      </c>
      <c r="L242" s="1">
        <v>41154.160000000003</v>
      </c>
      <c r="M242" s="1" t="str" cm="1">
        <f t="array" ref="M24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2" t="s">
        <v>257</v>
      </c>
      <c r="O242" t="s">
        <v>50</v>
      </c>
      <c r="P242" s="2" t="s">
        <v>396</v>
      </c>
      <c r="Q242">
        <v>3</v>
      </c>
      <c r="R242" t="s">
        <v>397</v>
      </c>
      <c r="S242" s="1">
        <f>electric_vehicles_dataset[[#This Row],[Units_Sold_2024]]*electric_vehicles_dataset[[#This Row],[Price_USD]]</f>
        <v>644926841.36000001</v>
      </c>
      <c r="T242">
        <v>4</v>
      </c>
      <c r="U242">
        <v>15671</v>
      </c>
      <c r="V242">
        <v>4</v>
      </c>
    </row>
    <row r="243" spans="1:22" x14ac:dyDescent="0.35">
      <c r="A243">
        <v>242</v>
      </c>
      <c r="B243" t="s">
        <v>224</v>
      </c>
      <c r="C243" t="s">
        <v>297</v>
      </c>
      <c r="D243">
        <v>2016</v>
      </c>
      <c r="E243" t="s">
        <v>101</v>
      </c>
      <c r="F243">
        <v>110.5</v>
      </c>
      <c r="G243" t="s">
        <v>361</v>
      </c>
      <c r="H243">
        <f>electric_vehicles_dataset[[#This Row],[Battery_Capacity_kWh]]/electric_vehicles_dataset[[#This Row],[Range_km]]</f>
        <v>0.85</v>
      </c>
      <c r="I243">
        <v>130</v>
      </c>
      <c r="J243" t="s">
        <v>85</v>
      </c>
      <c r="K243">
        <v>2</v>
      </c>
      <c r="L243" s="1">
        <v>139347.21</v>
      </c>
      <c r="M243" s="1" t="str" cm="1">
        <f t="array" ref="M24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3" t="s">
        <v>152</v>
      </c>
      <c r="O243" t="s">
        <v>182</v>
      </c>
      <c r="P243" s="2" t="s">
        <v>394</v>
      </c>
      <c r="Q243">
        <v>1</v>
      </c>
      <c r="R243" t="s">
        <v>391</v>
      </c>
      <c r="S243" s="1">
        <f>electric_vehicles_dataset[[#This Row],[Units_Sold_2024]]*electric_vehicles_dataset[[#This Row],[Price_USD]]</f>
        <v>131543766.23999999</v>
      </c>
      <c r="T243">
        <v>5</v>
      </c>
      <c r="U243">
        <v>944</v>
      </c>
      <c r="V243">
        <v>5</v>
      </c>
    </row>
    <row r="244" spans="1:22" x14ac:dyDescent="0.35">
      <c r="A244">
        <v>243</v>
      </c>
      <c r="B244" t="s">
        <v>259</v>
      </c>
      <c r="C244" t="s">
        <v>298</v>
      </c>
      <c r="D244">
        <v>2022</v>
      </c>
      <c r="E244" t="s">
        <v>53</v>
      </c>
      <c r="F244">
        <v>83.5</v>
      </c>
      <c r="G244" t="s">
        <v>350</v>
      </c>
      <c r="H244">
        <f>electric_vehicles_dataset[[#This Row],[Battery_Capacity_kWh]]/electric_vehicles_dataset[[#This Row],[Range_km]]</f>
        <v>0.15072202166064982</v>
      </c>
      <c r="I244">
        <v>554</v>
      </c>
      <c r="J244" t="s">
        <v>358</v>
      </c>
      <c r="K244">
        <v>6</v>
      </c>
      <c r="L244" s="1">
        <v>37600.33</v>
      </c>
      <c r="M244" s="1" t="str" cm="1">
        <f t="array" ref="M24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4" t="s">
        <v>39</v>
      </c>
      <c r="O244" t="s">
        <v>89</v>
      </c>
      <c r="P244" s="2" t="s">
        <v>389</v>
      </c>
      <c r="Q244">
        <v>1</v>
      </c>
      <c r="R244" t="s">
        <v>391</v>
      </c>
      <c r="S244" s="1">
        <f>electric_vehicles_dataset[[#This Row],[Units_Sold_2024]]*electric_vehicles_dataset[[#This Row],[Price_USD]]</f>
        <v>710458235.35000002</v>
      </c>
      <c r="T244">
        <v>5</v>
      </c>
      <c r="U244">
        <v>18895</v>
      </c>
      <c r="V244">
        <v>5</v>
      </c>
    </row>
    <row r="245" spans="1:22" x14ac:dyDescent="0.35">
      <c r="A245">
        <v>244</v>
      </c>
      <c r="B245" t="s">
        <v>261</v>
      </c>
      <c r="C245" t="s">
        <v>372</v>
      </c>
      <c r="D245">
        <v>2025</v>
      </c>
      <c r="E245" t="s">
        <v>26</v>
      </c>
      <c r="F245">
        <v>64</v>
      </c>
      <c r="G245" t="s">
        <v>351</v>
      </c>
      <c r="H245">
        <f>electric_vehicles_dataset[[#This Row],[Battery_Capacity_kWh]]/electric_vehicles_dataset[[#This Row],[Range_km]]</f>
        <v>0.17438692098092642</v>
      </c>
      <c r="I245">
        <v>367</v>
      </c>
      <c r="J245" t="s">
        <v>48</v>
      </c>
      <c r="K245">
        <v>6</v>
      </c>
      <c r="L245" s="1">
        <v>117198.24</v>
      </c>
      <c r="M245" s="1" t="str" cm="1">
        <f t="array" ref="M2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5" t="s">
        <v>152</v>
      </c>
      <c r="O245" t="s">
        <v>202</v>
      </c>
      <c r="P245" s="2" t="s">
        <v>393</v>
      </c>
      <c r="Q245">
        <v>5</v>
      </c>
      <c r="R245" t="s">
        <v>392</v>
      </c>
      <c r="S245" s="1">
        <f>electric_vehicles_dataset[[#This Row],[Units_Sold_2024]]*electric_vehicles_dataset[[#This Row],[Price_USD]]</f>
        <v>209550453.12</v>
      </c>
      <c r="T245">
        <v>5</v>
      </c>
      <c r="U245">
        <v>1788</v>
      </c>
      <c r="V245">
        <v>3</v>
      </c>
    </row>
    <row r="246" spans="1:22" x14ac:dyDescent="0.35">
      <c r="A246">
        <v>245</v>
      </c>
      <c r="B246" t="s">
        <v>224</v>
      </c>
      <c r="C246" t="s">
        <v>297</v>
      </c>
      <c r="D246">
        <v>2023</v>
      </c>
      <c r="E246" t="s">
        <v>26</v>
      </c>
      <c r="F246">
        <v>81</v>
      </c>
      <c r="G246" t="s">
        <v>350</v>
      </c>
      <c r="H246">
        <f>electric_vehicles_dataset[[#This Row],[Battery_Capacity_kWh]]/electric_vehicles_dataset[[#This Row],[Range_km]]</f>
        <v>0.22946175637393768</v>
      </c>
      <c r="I246">
        <v>353</v>
      </c>
      <c r="J246" t="s">
        <v>85</v>
      </c>
      <c r="K246">
        <v>1</v>
      </c>
      <c r="L246" s="1">
        <v>88997.759999999995</v>
      </c>
      <c r="M246" s="1" t="str" cm="1">
        <f t="array" ref="M24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6" t="s">
        <v>100</v>
      </c>
      <c r="O246" t="s">
        <v>50</v>
      </c>
      <c r="P246" s="2" t="s">
        <v>396</v>
      </c>
      <c r="Q246">
        <v>0</v>
      </c>
      <c r="R246" t="s">
        <v>390</v>
      </c>
      <c r="S246" s="1">
        <f>electric_vehicles_dataset[[#This Row],[Units_Sold_2024]]*electric_vehicles_dataset[[#This Row],[Price_USD]]</f>
        <v>1176016400.6399999</v>
      </c>
      <c r="T246">
        <v>4</v>
      </c>
      <c r="U246">
        <v>13214</v>
      </c>
      <c r="V246">
        <v>3</v>
      </c>
    </row>
    <row r="247" spans="1:22" x14ac:dyDescent="0.35">
      <c r="A247">
        <v>246</v>
      </c>
      <c r="B247" t="s">
        <v>200</v>
      </c>
      <c r="C247" t="s">
        <v>368</v>
      </c>
      <c r="D247">
        <v>2022</v>
      </c>
      <c r="E247" t="s">
        <v>183</v>
      </c>
      <c r="F247">
        <v>94.5</v>
      </c>
      <c r="G247" t="s">
        <v>350</v>
      </c>
      <c r="H247">
        <f>electric_vehicles_dataset[[#This Row],[Battery_Capacity_kWh]]/electric_vehicles_dataset[[#This Row],[Range_km]]</f>
        <v>0.65172413793103445</v>
      </c>
      <c r="I247">
        <v>145</v>
      </c>
      <c r="J247" t="s">
        <v>356</v>
      </c>
      <c r="K247">
        <v>6</v>
      </c>
      <c r="L247" s="1">
        <v>44244.82</v>
      </c>
      <c r="M247" s="1" t="str" cm="1">
        <f t="array" ref="M24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7" t="s">
        <v>214</v>
      </c>
      <c r="O247" t="s">
        <v>135</v>
      </c>
      <c r="P247" s="2" t="s">
        <v>389</v>
      </c>
      <c r="Q247">
        <v>0</v>
      </c>
      <c r="R247" t="s">
        <v>390</v>
      </c>
      <c r="S247" s="1">
        <f>electric_vehicles_dataset[[#This Row],[Units_Sold_2024]]*electric_vehicles_dataset[[#This Row],[Price_USD]]</f>
        <v>131761073.95999999</v>
      </c>
      <c r="T247">
        <v>3</v>
      </c>
      <c r="U247">
        <v>2978</v>
      </c>
      <c r="V247">
        <v>5</v>
      </c>
    </row>
    <row r="248" spans="1:22" x14ac:dyDescent="0.35">
      <c r="A248">
        <v>247</v>
      </c>
      <c r="B248" t="s">
        <v>155</v>
      </c>
      <c r="C248" t="s">
        <v>190</v>
      </c>
      <c r="D248">
        <v>2023</v>
      </c>
      <c r="E248" t="s">
        <v>47</v>
      </c>
      <c r="F248">
        <v>46.9</v>
      </c>
      <c r="G248" t="s">
        <v>348</v>
      </c>
      <c r="H248">
        <f>electric_vehicles_dataset[[#This Row],[Battery_Capacity_kWh]]/electric_vehicles_dataset[[#This Row],[Range_km]]</f>
        <v>0.10586907449209931</v>
      </c>
      <c r="I248">
        <v>443</v>
      </c>
      <c r="J248" t="s">
        <v>345</v>
      </c>
      <c r="K248">
        <v>11</v>
      </c>
      <c r="L248" s="1">
        <v>73601.100000000006</v>
      </c>
      <c r="M248" s="1" t="str" cm="1">
        <f t="array" ref="M24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8" t="s">
        <v>279</v>
      </c>
      <c r="O248" t="s">
        <v>159</v>
      </c>
      <c r="P248" s="2" t="s">
        <v>389</v>
      </c>
      <c r="Q248">
        <v>2</v>
      </c>
      <c r="R248" t="s">
        <v>391</v>
      </c>
      <c r="S248" s="1">
        <f>electric_vehicles_dataset[[#This Row],[Units_Sold_2024]]*electric_vehicles_dataset[[#This Row],[Price_USD]]</f>
        <v>876147494.4000001</v>
      </c>
      <c r="T248">
        <v>4</v>
      </c>
      <c r="U248">
        <v>11904</v>
      </c>
      <c r="V248">
        <v>5</v>
      </c>
    </row>
    <row r="249" spans="1:22" x14ac:dyDescent="0.35">
      <c r="A249">
        <v>248</v>
      </c>
      <c r="B249" t="s">
        <v>96</v>
      </c>
      <c r="C249" t="s">
        <v>292</v>
      </c>
      <c r="D249">
        <v>2016</v>
      </c>
      <c r="E249" t="s">
        <v>183</v>
      </c>
      <c r="F249">
        <v>105.7</v>
      </c>
      <c r="G249" t="s">
        <v>361</v>
      </c>
      <c r="H249">
        <f>electric_vehicles_dataset[[#This Row],[Battery_Capacity_kWh]]/electric_vehicles_dataset[[#This Row],[Range_km]]</f>
        <v>1.0465346534653466</v>
      </c>
      <c r="I249">
        <v>101</v>
      </c>
      <c r="J249" t="s">
        <v>38</v>
      </c>
      <c r="K249">
        <v>5</v>
      </c>
      <c r="L249" s="1">
        <v>106039.34</v>
      </c>
      <c r="M249" s="1" t="str" cm="1">
        <f t="array" ref="M24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9" t="s">
        <v>271</v>
      </c>
      <c r="O249" t="s">
        <v>265</v>
      </c>
      <c r="P249" s="2" t="s">
        <v>389</v>
      </c>
      <c r="Q249">
        <v>2</v>
      </c>
      <c r="R249" t="s">
        <v>391</v>
      </c>
      <c r="S249" s="1">
        <f>electric_vehicles_dataset[[#This Row],[Units_Sold_2024]]*electric_vehicles_dataset[[#This Row],[Price_USD]]</f>
        <v>570385609.86000001</v>
      </c>
      <c r="T249">
        <v>4</v>
      </c>
      <c r="U249">
        <v>5379</v>
      </c>
      <c r="V249">
        <v>4</v>
      </c>
    </row>
    <row r="250" spans="1:22" x14ac:dyDescent="0.35">
      <c r="A250">
        <v>249</v>
      </c>
      <c r="B250" t="s">
        <v>60</v>
      </c>
      <c r="C250" t="s">
        <v>233</v>
      </c>
      <c r="D250">
        <v>2021</v>
      </c>
      <c r="E250" t="s">
        <v>58</v>
      </c>
      <c r="F250">
        <v>53.1</v>
      </c>
      <c r="G250" t="s">
        <v>348</v>
      </c>
      <c r="H250">
        <f>electric_vehicles_dataset[[#This Row],[Battery_Capacity_kWh]]/electric_vehicles_dataset[[#This Row],[Range_km]]</f>
        <v>0.26550000000000001</v>
      </c>
      <c r="I250">
        <v>200</v>
      </c>
      <c r="J250" t="s">
        <v>359</v>
      </c>
      <c r="K250">
        <v>2</v>
      </c>
      <c r="L250" s="1">
        <v>132263.32</v>
      </c>
      <c r="M250" s="1" t="str" cm="1">
        <f t="array" ref="M25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0" t="s">
        <v>205</v>
      </c>
      <c r="O250" t="s">
        <v>40</v>
      </c>
      <c r="P250" s="2" t="s">
        <v>395</v>
      </c>
      <c r="Q250">
        <v>1</v>
      </c>
      <c r="R250" t="s">
        <v>391</v>
      </c>
      <c r="S250" s="1">
        <f>electric_vehicles_dataset[[#This Row],[Units_Sold_2024]]*electric_vehicles_dataset[[#This Row],[Price_USD]]</f>
        <v>201437036.36000001</v>
      </c>
      <c r="T250">
        <v>4</v>
      </c>
      <c r="U250">
        <v>1523</v>
      </c>
      <c r="V250">
        <v>5</v>
      </c>
    </row>
    <row r="251" spans="1:22" x14ac:dyDescent="0.35">
      <c r="A251">
        <v>250</v>
      </c>
      <c r="B251" t="s">
        <v>94</v>
      </c>
      <c r="C251" t="s">
        <v>360</v>
      </c>
      <c r="D251">
        <v>2016</v>
      </c>
      <c r="E251" t="s">
        <v>183</v>
      </c>
      <c r="F251">
        <v>135.9</v>
      </c>
      <c r="G251" t="s">
        <v>352</v>
      </c>
      <c r="H251">
        <f>electric_vehicles_dataset[[#This Row],[Battery_Capacity_kWh]]/electric_vehicles_dataset[[#This Row],[Range_km]]</f>
        <v>0.40688622754491022</v>
      </c>
      <c r="I251">
        <v>334</v>
      </c>
      <c r="J251" t="s">
        <v>18</v>
      </c>
      <c r="K251">
        <v>12</v>
      </c>
      <c r="L251" s="1">
        <v>30520.52</v>
      </c>
      <c r="M251" s="1" t="str" cm="1">
        <f t="array" ref="M25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1" t="s">
        <v>277</v>
      </c>
      <c r="O251" t="s">
        <v>67</v>
      </c>
      <c r="P251" s="2" t="s">
        <v>394</v>
      </c>
      <c r="Q251">
        <v>3</v>
      </c>
      <c r="R251" t="s">
        <v>397</v>
      </c>
      <c r="S251" s="1">
        <f>electric_vehicles_dataset[[#This Row],[Units_Sold_2024]]*electric_vehicles_dataset[[#This Row],[Price_USD]]</f>
        <v>177202139.12</v>
      </c>
      <c r="T251">
        <v>5</v>
      </c>
      <c r="U251">
        <v>5806</v>
      </c>
      <c r="V251">
        <v>5</v>
      </c>
    </row>
    <row r="252" spans="1:22" x14ac:dyDescent="0.35">
      <c r="A252">
        <v>251</v>
      </c>
      <c r="B252" t="s">
        <v>41</v>
      </c>
      <c r="C252" t="s">
        <v>374</v>
      </c>
      <c r="D252">
        <v>2017</v>
      </c>
      <c r="E252" t="s">
        <v>58</v>
      </c>
      <c r="F252">
        <v>70.400000000000006</v>
      </c>
      <c r="G252" t="s">
        <v>351</v>
      </c>
      <c r="H252">
        <f>electric_vehicles_dataset[[#This Row],[Battery_Capacity_kWh]]/electric_vehicles_dataset[[#This Row],[Range_km]]</f>
        <v>0.17297297297297298</v>
      </c>
      <c r="I252">
        <v>407</v>
      </c>
      <c r="J252" t="s">
        <v>38</v>
      </c>
      <c r="K252">
        <v>6</v>
      </c>
      <c r="L252" s="1">
        <v>76159.520000000004</v>
      </c>
      <c r="M252" s="1" t="str" cm="1">
        <f t="array" ref="M25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2" t="s">
        <v>160</v>
      </c>
      <c r="O252" t="s">
        <v>78</v>
      </c>
      <c r="P252" s="2" t="s">
        <v>389</v>
      </c>
      <c r="Q252">
        <v>2</v>
      </c>
      <c r="R252" t="s">
        <v>391</v>
      </c>
      <c r="S252" s="1">
        <f>electric_vehicles_dataset[[#This Row],[Units_Sold_2024]]*electric_vehicles_dataset[[#This Row],[Price_USD]]</f>
        <v>344774147.04000002</v>
      </c>
      <c r="T252">
        <v>3</v>
      </c>
      <c r="U252">
        <v>4527</v>
      </c>
      <c r="V252">
        <v>4</v>
      </c>
    </row>
    <row r="253" spans="1:22" x14ac:dyDescent="0.35">
      <c r="A253">
        <v>252</v>
      </c>
      <c r="B253" t="s">
        <v>157</v>
      </c>
      <c r="C253" t="s">
        <v>375</v>
      </c>
      <c r="D253">
        <v>2023</v>
      </c>
      <c r="E253" t="s">
        <v>133</v>
      </c>
      <c r="F253">
        <v>129.6</v>
      </c>
      <c r="G253" t="s">
        <v>352</v>
      </c>
      <c r="H253">
        <f>electric_vehicles_dataset[[#This Row],[Battery_Capacity_kWh]]/electric_vehicles_dataset[[#This Row],[Range_km]]</f>
        <v>0.34105263157894733</v>
      </c>
      <c r="I253">
        <v>380</v>
      </c>
      <c r="J253" t="s">
        <v>38</v>
      </c>
      <c r="K253">
        <v>9</v>
      </c>
      <c r="L253" s="1">
        <v>142261.45000000001</v>
      </c>
      <c r="M253" s="1" t="str" cm="1">
        <f t="array" ref="M2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3" t="s">
        <v>238</v>
      </c>
      <c r="O253" t="s">
        <v>124</v>
      </c>
      <c r="P253" s="2" t="s">
        <v>389</v>
      </c>
      <c r="Q253">
        <v>4</v>
      </c>
      <c r="R253" t="s">
        <v>392</v>
      </c>
      <c r="S253" s="1">
        <f>electric_vehicles_dataset[[#This Row],[Units_Sold_2024]]*electric_vehicles_dataset[[#This Row],[Price_USD]]</f>
        <v>618410523.1500001</v>
      </c>
      <c r="T253">
        <v>5</v>
      </c>
      <c r="U253">
        <v>4347</v>
      </c>
      <c r="V253">
        <v>5</v>
      </c>
    </row>
    <row r="254" spans="1:22" x14ac:dyDescent="0.35">
      <c r="A254">
        <v>253</v>
      </c>
      <c r="B254" t="s">
        <v>224</v>
      </c>
      <c r="C254" t="s">
        <v>297</v>
      </c>
      <c r="D254">
        <v>2023</v>
      </c>
      <c r="E254" t="s">
        <v>47</v>
      </c>
      <c r="F254">
        <v>110.3</v>
      </c>
      <c r="G254" t="s">
        <v>361</v>
      </c>
      <c r="H254">
        <f>electric_vehicles_dataset[[#This Row],[Battery_Capacity_kWh]]/electric_vehicles_dataset[[#This Row],[Range_km]]</f>
        <v>0.41622641509433961</v>
      </c>
      <c r="I254">
        <v>265</v>
      </c>
      <c r="J254" t="s">
        <v>48</v>
      </c>
      <c r="K254">
        <v>9</v>
      </c>
      <c r="L254" s="1">
        <v>97473.63</v>
      </c>
      <c r="M254" s="1" t="str" cm="1">
        <f t="array" ref="M25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4" t="s">
        <v>98</v>
      </c>
      <c r="O254" t="s">
        <v>182</v>
      </c>
      <c r="P254" s="2" t="s">
        <v>394</v>
      </c>
      <c r="Q254">
        <v>5</v>
      </c>
      <c r="R254" t="s">
        <v>392</v>
      </c>
      <c r="S254" s="1">
        <f>electric_vehicles_dataset[[#This Row],[Units_Sold_2024]]*electric_vehicles_dataset[[#This Row],[Price_USD]]</f>
        <v>913230439.47000003</v>
      </c>
      <c r="T254">
        <v>5</v>
      </c>
      <c r="U254">
        <v>9369</v>
      </c>
      <c r="V254">
        <v>4</v>
      </c>
    </row>
    <row r="255" spans="1:22" x14ac:dyDescent="0.35">
      <c r="A255">
        <v>254</v>
      </c>
      <c r="B255" t="s">
        <v>74</v>
      </c>
      <c r="C255" t="s">
        <v>75</v>
      </c>
      <c r="D255">
        <v>2023</v>
      </c>
      <c r="E255" t="s">
        <v>58</v>
      </c>
      <c r="F255">
        <v>23.3</v>
      </c>
      <c r="G255" t="s">
        <v>357</v>
      </c>
      <c r="H255">
        <f>electric_vehicles_dataset[[#This Row],[Battery_Capacity_kWh]]/electric_vehicles_dataset[[#This Row],[Range_km]]</f>
        <v>0.1339080459770115</v>
      </c>
      <c r="I255">
        <v>174</v>
      </c>
      <c r="J255" t="s">
        <v>27</v>
      </c>
      <c r="K255">
        <v>8</v>
      </c>
      <c r="L255" s="1">
        <v>53988.29</v>
      </c>
      <c r="M255" s="1" t="str" cm="1">
        <f t="array" ref="M25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5" t="s">
        <v>62</v>
      </c>
      <c r="O255" t="s">
        <v>23</v>
      </c>
      <c r="P255" s="2" t="s">
        <v>389</v>
      </c>
      <c r="Q255">
        <v>5</v>
      </c>
      <c r="R255" t="s">
        <v>392</v>
      </c>
      <c r="S255" s="1">
        <f>electric_vehicles_dataset[[#This Row],[Units_Sold_2024]]*electric_vehicles_dataset[[#This Row],[Price_USD]]</f>
        <v>522120752.59000003</v>
      </c>
      <c r="T255">
        <v>5</v>
      </c>
      <c r="U255">
        <v>9671</v>
      </c>
      <c r="V255">
        <v>3</v>
      </c>
    </row>
    <row r="256" spans="1:22" x14ac:dyDescent="0.35">
      <c r="A256">
        <v>255</v>
      </c>
      <c r="B256" t="s">
        <v>51</v>
      </c>
      <c r="C256" t="s">
        <v>162</v>
      </c>
      <c r="D256">
        <v>2015</v>
      </c>
      <c r="E256" t="s">
        <v>104</v>
      </c>
      <c r="F256">
        <v>125.8</v>
      </c>
      <c r="G256" t="s">
        <v>352</v>
      </c>
      <c r="H256">
        <f>electric_vehicles_dataset[[#This Row],[Battery_Capacity_kWh]]/electric_vehicles_dataset[[#This Row],[Range_km]]</f>
        <v>0.82763157894736838</v>
      </c>
      <c r="I256">
        <v>152</v>
      </c>
      <c r="J256" t="s">
        <v>353</v>
      </c>
      <c r="K256">
        <v>9</v>
      </c>
      <c r="L256" s="1">
        <v>97352.47</v>
      </c>
      <c r="M256" s="1" t="str" cm="1">
        <f t="array" ref="M2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6" t="s">
        <v>100</v>
      </c>
      <c r="O256" t="s">
        <v>206</v>
      </c>
      <c r="P256" s="2" t="s">
        <v>394</v>
      </c>
      <c r="Q256">
        <v>5</v>
      </c>
      <c r="R256" t="s">
        <v>392</v>
      </c>
      <c r="S256" s="1">
        <f>electric_vehicles_dataset[[#This Row],[Units_Sold_2024]]*electric_vehicles_dataset[[#This Row],[Price_USD]]</f>
        <v>1236279016.53</v>
      </c>
      <c r="T256">
        <v>4</v>
      </c>
      <c r="U256">
        <v>12699</v>
      </c>
      <c r="V256">
        <v>4</v>
      </c>
    </row>
    <row r="257" spans="1:22" x14ac:dyDescent="0.35">
      <c r="A257">
        <v>256</v>
      </c>
      <c r="B257" t="s">
        <v>170</v>
      </c>
      <c r="C257" t="s">
        <v>218</v>
      </c>
      <c r="D257">
        <v>2023</v>
      </c>
      <c r="E257" t="s">
        <v>84</v>
      </c>
      <c r="F257">
        <v>21.7</v>
      </c>
      <c r="G257" t="s">
        <v>357</v>
      </c>
      <c r="H257">
        <f>electric_vehicles_dataset[[#This Row],[Battery_Capacity_kWh]]/electric_vehicles_dataset[[#This Row],[Range_km]]</f>
        <v>9.5175438596491219E-2</v>
      </c>
      <c r="I257">
        <v>228</v>
      </c>
      <c r="J257" t="s">
        <v>359</v>
      </c>
      <c r="K257">
        <v>8</v>
      </c>
      <c r="L257" s="1">
        <v>123710.99</v>
      </c>
      <c r="M257" s="1" t="str" cm="1">
        <f t="array" ref="M25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7" t="s">
        <v>172</v>
      </c>
      <c r="O257" t="s">
        <v>159</v>
      </c>
      <c r="P257" s="2" t="s">
        <v>389</v>
      </c>
      <c r="Q257">
        <v>5</v>
      </c>
      <c r="R257" t="s">
        <v>392</v>
      </c>
      <c r="S257" s="1">
        <f>electric_vehicles_dataset[[#This Row],[Units_Sold_2024]]*electric_vehicles_dataset[[#This Row],[Price_USD]]</f>
        <v>2215787541.8899999</v>
      </c>
      <c r="T257">
        <v>5</v>
      </c>
      <c r="U257">
        <v>17911</v>
      </c>
      <c r="V257">
        <v>5</v>
      </c>
    </row>
    <row r="258" spans="1:22" x14ac:dyDescent="0.35">
      <c r="A258">
        <v>257</v>
      </c>
      <c r="B258" t="s">
        <v>157</v>
      </c>
      <c r="C258" t="s">
        <v>296</v>
      </c>
      <c r="D258">
        <v>2018</v>
      </c>
      <c r="E258" t="s">
        <v>133</v>
      </c>
      <c r="F258">
        <v>78.3</v>
      </c>
      <c r="G258" t="s">
        <v>351</v>
      </c>
      <c r="H258">
        <f>electric_vehicles_dataset[[#This Row],[Battery_Capacity_kWh]]/electric_vehicles_dataset[[#This Row],[Range_km]]</f>
        <v>0.17438752783964365</v>
      </c>
      <c r="I258">
        <v>449</v>
      </c>
      <c r="J258" t="s">
        <v>364</v>
      </c>
      <c r="K258">
        <v>3</v>
      </c>
      <c r="L258" s="1">
        <v>50855.42</v>
      </c>
      <c r="M258" s="1" t="str" cm="1">
        <f t="array" ref="M25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8" t="s">
        <v>246</v>
      </c>
      <c r="O258" t="s">
        <v>147</v>
      </c>
      <c r="P258" s="2" t="s">
        <v>396</v>
      </c>
      <c r="Q258">
        <v>3</v>
      </c>
      <c r="R258" t="s">
        <v>397</v>
      </c>
      <c r="S258" s="1">
        <f>electric_vehicles_dataset[[#This Row],[Units_Sold_2024]]*electric_vehicles_dataset[[#This Row],[Price_USD]]</f>
        <v>973169317.12</v>
      </c>
      <c r="T258">
        <v>3</v>
      </c>
      <c r="U258">
        <v>19136</v>
      </c>
      <c r="V258">
        <v>4</v>
      </c>
    </row>
    <row r="259" spans="1:22" x14ac:dyDescent="0.35">
      <c r="A259">
        <v>258</v>
      </c>
      <c r="B259" t="s">
        <v>79</v>
      </c>
      <c r="C259" t="s">
        <v>299</v>
      </c>
      <c r="D259">
        <v>2022</v>
      </c>
      <c r="E259" t="s">
        <v>17</v>
      </c>
      <c r="F259">
        <v>141.9</v>
      </c>
      <c r="G259" t="s">
        <v>386</v>
      </c>
      <c r="H259">
        <f>electric_vehicles_dataset[[#This Row],[Battery_Capacity_kWh]]/electric_vehicles_dataset[[#This Row],[Range_km]]</f>
        <v>1.1825000000000001</v>
      </c>
      <c r="I259">
        <v>120</v>
      </c>
      <c r="J259" t="s">
        <v>18</v>
      </c>
      <c r="K259">
        <v>11</v>
      </c>
      <c r="L259" s="1">
        <v>101625.64</v>
      </c>
      <c r="M259" s="1" t="str" cm="1">
        <f t="array" ref="M25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9" t="s">
        <v>168</v>
      </c>
      <c r="O259" t="s">
        <v>118</v>
      </c>
      <c r="P259" s="2" t="s">
        <v>389</v>
      </c>
      <c r="Q259">
        <v>2</v>
      </c>
      <c r="R259" t="s">
        <v>391</v>
      </c>
      <c r="S259" s="1">
        <f>electric_vehicles_dataset[[#This Row],[Units_Sold_2024]]*electric_vehicles_dataset[[#This Row],[Price_USD]]</f>
        <v>242682028.31999999</v>
      </c>
      <c r="T259">
        <v>4</v>
      </c>
      <c r="U259">
        <v>2388</v>
      </c>
      <c r="V259">
        <v>5</v>
      </c>
    </row>
    <row r="260" spans="1:22" x14ac:dyDescent="0.35">
      <c r="A260">
        <v>259</v>
      </c>
      <c r="B260" t="s">
        <v>56</v>
      </c>
      <c r="C260" t="s">
        <v>57</v>
      </c>
      <c r="D260">
        <v>2017</v>
      </c>
      <c r="E260" t="s">
        <v>47</v>
      </c>
      <c r="F260">
        <v>28.9</v>
      </c>
      <c r="G260" t="s">
        <v>357</v>
      </c>
      <c r="H260">
        <f>electric_vehicles_dataset[[#This Row],[Battery_Capacity_kWh]]/electric_vehicles_dataset[[#This Row],[Range_km]]</f>
        <v>8.0726256983240222E-2</v>
      </c>
      <c r="I260">
        <v>358</v>
      </c>
      <c r="J260" t="s">
        <v>85</v>
      </c>
      <c r="K260">
        <v>5</v>
      </c>
      <c r="L260" s="1">
        <v>94444.31</v>
      </c>
      <c r="M260" s="1" t="str" cm="1">
        <f t="array" ref="M26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0" t="s">
        <v>143</v>
      </c>
      <c r="O260" t="s">
        <v>202</v>
      </c>
      <c r="P260" s="2" t="s">
        <v>393</v>
      </c>
      <c r="Q260">
        <v>1</v>
      </c>
      <c r="R260" t="s">
        <v>391</v>
      </c>
      <c r="S260" s="1">
        <f>electric_vehicles_dataset[[#This Row],[Units_Sold_2024]]*electric_vehicles_dataset[[#This Row],[Price_USD]]</f>
        <v>676032370.98000002</v>
      </c>
      <c r="T260">
        <v>4</v>
      </c>
      <c r="U260">
        <v>7158</v>
      </c>
      <c r="V260">
        <v>5</v>
      </c>
    </row>
    <row r="261" spans="1:22" x14ac:dyDescent="0.35">
      <c r="A261">
        <v>260</v>
      </c>
      <c r="B261" t="s">
        <v>207</v>
      </c>
      <c r="C261" t="s">
        <v>287</v>
      </c>
      <c r="D261">
        <v>2023</v>
      </c>
      <c r="E261" t="s">
        <v>26</v>
      </c>
      <c r="F261">
        <v>117.8</v>
      </c>
      <c r="G261" t="s">
        <v>361</v>
      </c>
      <c r="H261">
        <f>electric_vehicles_dataset[[#This Row],[Battery_Capacity_kWh]]/electric_vehicles_dataset[[#This Row],[Range_km]]</f>
        <v>0.2726851851851852</v>
      </c>
      <c r="I261">
        <v>432</v>
      </c>
      <c r="J261" t="s">
        <v>76</v>
      </c>
      <c r="K261">
        <v>2</v>
      </c>
      <c r="L261" s="1">
        <v>71520.87</v>
      </c>
      <c r="M261" s="1" t="str" cm="1">
        <f t="array" ref="M26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1" t="s">
        <v>100</v>
      </c>
      <c r="O261" t="s">
        <v>118</v>
      </c>
      <c r="P261" s="2" t="s">
        <v>389</v>
      </c>
      <c r="Q261">
        <v>1</v>
      </c>
      <c r="R261" t="s">
        <v>391</v>
      </c>
      <c r="S261" s="1">
        <f>electric_vehicles_dataset[[#This Row],[Units_Sold_2024]]*electric_vehicles_dataset[[#This Row],[Price_USD]]</f>
        <v>893724791.51999998</v>
      </c>
      <c r="T261">
        <v>4</v>
      </c>
      <c r="U261">
        <v>12496</v>
      </c>
      <c r="V261">
        <v>3</v>
      </c>
    </row>
    <row r="262" spans="1:22" x14ac:dyDescent="0.35">
      <c r="A262">
        <v>261</v>
      </c>
      <c r="B262" t="s">
        <v>24</v>
      </c>
      <c r="C262" t="s">
        <v>300</v>
      </c>
      <c r="D262">
        <v>2023</v>
      </c>
      <c r="E262" t="s">
        <v>17</v>
      </c>
      <c r="F262">
        <v>56.8</v>
      </c>
      <c r="G262" t="s">
        <v>348</v>
      </c>
      <c r="H262">
        <f>electric_vehicles_dataset[[#This Row],[Battery_Capacity_kWh]]/electric_vehicles_dataset[[#This Row],[Range_km]]</f>
        <v>0.10035335689045936</v>
      </c>
      <c r="I262">
        <v>566</v>
      </c>
      <c r="J262" t="s">
        <v>149</v>
      </c>
      <c r="K262">
        <v>6</v>
      </c>
      <c r="L262" s="1">
        <v>91048.27</v>
      </c>
      <c r="M262" s="1" t="str" cm="1">
        <f t="array" ref="M2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2" t="s">
        <v>214</v>
      </c>
      <c r="O262" t="s">
        <v>95</v>
      </c>
      <c r="P262" s="2" t="s">
        <v>394</v>
      </c>
      <c r="Q262">
        <v>5</v>
      </c>
      <c r="R262" t="s">
        <v>392</v>
      </c>
      <c r="S262" s="1">
        <f>electric_vehicles_dataset[[#This Row],[Units_Sold_2024]]*electric_vehicles_dataset[[#This Row],[Price_USD]]</f>
        <v>499399760.95000005</v>
      </c>
      <c r="T262">
        <v>3</v>
      </c>
      <c r="U262">
        <v>5485</v>
      </c>
      <c r="V262">
        <v>5</v>
      </c>
    </row>
    <row r="263" spans="1:22" x14ac:dyDescent="0.35">
      <c r="A263">
        <v>262</v>
      </c>
      <c r="B263" t="s">
        <v>82</v>
      </c>
      <c r="C263" t="s">
        <v>83</v>
      </c>
      <c r="D263">
        <v>2025</v>
      </c>
      <c r="E263" t="s">
        <v>58</v>
      </c>
      <c r="F263">
        <v>47.4</v>
      </c>
      <c r="G263" t="s">
        <v>348</v>
      </c>
      <c r="H263">
        <f>electric_vehicles_dataset[[#This Row],[Battery_Capacity_kWh]]/electric_vehicles_dataset[[#This Row],[Range_km]]</f>
        <v>0.11232227488151658</v>
      </c>
      <c r="I263">
        <v>422</v>
      </c>
      <c r="J263" t="s">
        <v>359</v>
      </c>
      <c r="K263">
        <v>10</v>
      </c>
      <c r="L263" s="1">
        <v>80905.13</v>
      </c>
      <c r="M263" s="1" t="str" cm="1">
        <f t="array" ref="M26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3" t="s">
        <v>175</v>
      </c>
      <c r="O263" t="s">
        <v>124</v>
      </c>
      <c r="P263" s="2" t="s">
        <v>389</v>
      </c>
      <c r="Q263">
        <v>5</v>
      </c>
      <c r="R263" t="s">
        <v>392</v>
      </c>
      <c r="S263" s="1">
        <f>electric_vehicles_dataset[[#This Row],[Units_Sold_2024]]*electric_vehicles_dataset[[#This Row],[Price_USD]]</f>
        <v>191178822.19</v>
      </c>
      <c r="T263">
        <v>4</v>
      </c>
      <c r="U263">
        <v>2363</v>
      </c>
      <c r="V263">
        <v>5</v>
      </c>
    </row>
    <row r="264" spans="1:22" x14ac:dyDescent="0.35">
      <c r="A264">
        <v>263</v>
      </c>
      <c r="B264" t="s">
        <v>94</v>
      </c>
      <c r="C264" t="s">
        <v>99</v>
      </c>
      <c r="D264">
        <v>2015</v>
      </c>
      <c r="E264" t="s">
        <v>130</v>
      </c>
      <c r="F264">
        <v>113.2</v>
      </c>
      <c r="G264" t="s">
        <v>361</v>
      </c>
      <c r="H264">
        <f>electric_vehicles_dataset[[#This Row],[Battery_Capacity_kWh]]/electric_vehicles_dataset[[#This Row],[Range_km]]</f>
        <v>0.95126050420168073</v>
      </c>
      <c r="I264">
        <v>119</v>
      </c>
      <c r="J264" t="s">
        <v>364</v>
      </c>
      <c r="K264">
        <v>1</v>
      </c>
      <c r="L264" s="1">
        <v>51359.06</v>
      </c>
      <c r="M264" s="1" t="str" cm="1">
        <f t="array" ref="M26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4" t="s">
        <v>189</v>
      </c>
      <c r="O264" t="s">
        <v>354</v>
      </c>
      <c r="P264" s="2" t="s">
        <v>394</v>
      </c>
      <c r="Q264">
        <v>5</v>
      </c>
      <c r="R264" t="s">
        <v>392</v>
      </c>
      <c r="S264" s="1">
        <f>electric_vehicles_dataset[[#This Row],[Units_Sold_2024]]*electric_vehicles_dataset[[#This Row],[Price_USD]]</f>
        <v>653030447.89999998</v>
      </c>
      <c r="T264">
        <v>4</v>
      </c>
      <c r="U264">
        <v>12715</v>
      </c>
      <c r="V264">
        <v>4</v>
      </c>
    </row>
    <row r="265" spans="1:22" x14ac:dyDescent="0.35">
      <c r="A265">
        <v>264</v>
      </c>
      <c r="B265" t="s">
        <v>16</v>
      </c>
      <c r="C265" t="s">
        <v>347</v>
      </c>
      <c r="D265">
        <v>2021</v>
      </c>
      <c r="E265" t="s">
        <v>104</v>
      </c>
      <c r="F265">
        <v>22.2</v>
      </c>
      <c r="G265" t="s">
        <v>357</v>
      </c>
      <c r="H265">
        <f>electric_vehicles_dataset[[#This Row],[Battery_Capacity_kWh]]/electric_vehicles_dataset[[#This Row],[Range_km]]</f>
        <v>4.9999999999999996E-2</v>
      </c>
      <c r="I265">
        <v>444</v>
      </c>
      <c r="J265" t="s">
        <v>48</v>
      </c>
      <c r="K265">
        <v>7</v>
      </c>
      <c r="L265" s="1">
        <v>106970.73</v>
      </c>
      <c r="M265" s="1" t="str" cm="1">
        <f t="array" ref="M26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5" t="s">
        <v>217</v>
      </c>
      <c r="O265" t="s">
        <v>92</v>
      </c>
      <c r="P265" s="2" t="s">
        <v>394</v>
      </c>
      <c r="Q265">
        <v>4</v>
      </c>
      <c r="R265" t="s">
        <v>392</v>
      </c>
      <c r="S265" s="1">
        <f>electric_vehicles_dataset[[#This Row],[Units_Sold_2024]]*electric_vehicles_dataset[[#This Row],[Price_USD]]</f>
        <v>1762449747.48</v>
      </c>
      <c r="T265">
        <v>4</v>
      </c>
      <c r="U265">
        <v>16476</v>
      </c>
      <c r="V265">
        <v>3</v>
      </c>
    </row>
    <row r="266" spans="1:22" x14ac:dyDescent="0.35">
      <c r="A266">
        <v>265</v>
      </c>
      <c r="B266" t="s">
        <v>176</v>
      </c>
      <c r="C266" t="s">
        <v>365</v>
      </c>
      <c r="D266">
        <v>2024</v>
      </c>
      <c r="E266" t="s">
        <v>58</v>
      </c>
      <c r="F266">
        <v>56.6</v>
      </c>
      <c r="G266" t="s">
        <v>348</v>
      </c>
      <c r="H266">
        <f>electric_vehicles_dataset[[#This Row],[Battery_Capacity_kWh]]/electric_vehicles_dataset[[#This Row],[Range_km]]</f>
        <v>9.8606271777003485E-2</v>
      </c>
      <c r="I266">
        <v>574</v>
      </c>
      <c r="J266" t="s">
        <v>345</v>
      </c>
      <c r="K266">
        <v>5</v>
      </c>
      <c r="L266" s="1">
        <v>128654.68</v>
      </c>
      <c r="M266" s="1" t="str" cm="1">
        <f t="array" ref="M2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6" t="s">
        <v>301</v>
      </c>
      <c r="O266" t="s">
        <v>226</v>
      </c>
      <c r="P266" s="2" t="s">
        <v>395</v>
      </c>
      <c r="Q266">
        <v>1</v>
      </c>
      <c r="R266" t="s">
        <v>391</v>
      </c>
      <c r="S266" s="1">
        <f>electric_vehicles_dataset[[#This Row],[Units_Sold_2024]]*electric_vehicles_dataset[[#This Row],[Price_USD]]</f>
        <v>1243447482.2</v>
      </c>
      <c r="T266">
        <v>5</v>
      </c>
      <c r="U266">
        <v>9665</v>
      </c>
      <c r="V266">
        <v>5</v>
      </c>
    </row>
    <row r="267" spans="1:22" x14ac:dyDescent="0.35">
      <c r="A267">
        <v>266</v>
      </c>
      <c r="B267" t="s">
        <v>153</v>
      </c>
      <c r="C267" t="s">
        <v>154</v>
      </c>
      <c r="D267">
        <v>2025</v>
      </c>
      <c r="E267" t="s">
        <v>53</v>
      </c>
      <c r="F267">
        <v>138.80000000000001</v>
      </c>
      <c r="G267" t="s">
        <v>352</v>
      </c>
      <c r="H267">
        <f>electric_vehicles_dataset[[#This Row],[Battery_Capacity_kWh]]/electric_vehicles_dataset[[#This Row],[Range_km]]</f>
        <v>0.27376725838264304</v>
      </c>
      <c r="I267">
        <v>507</v>
      </c>
      <c r="J267" t="s">
        <v>149</v>
      </c>
      <c r="K267">
        <v>12</v>
      </c>
      <c r="L267" s="1">
        <v>31338.02</v>
      </c>
      <c r="M267" s="1" t="str" cm="1">
        <f t="array" ref="M26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7" t="s">
        <v>114</v>
      </c>
      <c r="O267" t="s">
        <v>44</v>
      </c>
      <c r="P267" s="2" t="s">
        <v>389</v>
      </c>
      <c r="Q267">
        <v>1</v>
      </c>
      <c r="R267" t="s">
        <v>391</v>
      </c>
      <c r="S267" s="1">
        <f>electric_vehicles_dataset[[#This Row],[Units_Sold_2024]]*electric_vehicles_dataset[[#This Row],[Price_USD]]</f>
        <v>562235416.82000005</v>
      </c>
      <c r="T267">
        <v>5</v>
      </c>
      <c r="U267">
        <v>17941</v>
      </c>
      <c r="V267">
        <v>3</v>
      </c>
    </row>
    <row r="268" spans="1:22" x14ac:dyDescent="0.35">
      <c r="A268">
        <v>267</v>
      </c>
      <c r="B268" t="s">
        <v>234</v>
      </c>
      <c r="C268" t="s">
        <v>235</v>
      </c>
      <c r="D268">
        <v>2020</v>
      </c>
      <c r="E268" t="s">
        <v>31</v>
      </c>
      <c r="F268">
        <v>73.599999999999994</v>
      </c>
      <c r="G268" t="s">
        <v>351</v>
      </c>
      <c r="H268">
        <f>electric_vehicles_dataset[[#This Row],[Battery_Capacity_kWh]]/electric_vehicles_dataset[[#This Row],[Range_km]]</f>
        <v>0.1711627906976744</v>
      </c>
      <c r="I268">
        <v>430</v>
      </c>
      <c r="J268" t="s">
        <v>18</v>
      </c>
      <c r="K268">
        <v>2</v>
      </c>
      <c r="L268" s="1">
        <v>56494.559999999998</v>
      </c>
      <c r="M268" s="1" t="str" cm="1">
        <f t="array" ref="M26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8" t="s">
        <v>142</v>
      </c>
      <c r="O268" t="s">
        <v>161</v>
      </c>
      <c r="P268" s="2" t="s">
        <v>389</v>
      </c>
      <c r="Q268">
        <v>1</v>
      </c>
      <c r="R268" t="s">
        <v>391</v>
      </c>
      <c r="S268" s="1">
        <f>electric_vehicles_dataset[[#This Row],[Units_Sold_2024]]*electric_vehicles_dataset[[#This Row],[Price_USD]]</f>
        <v>1015998167.04</v>
      </c>
      <c r="T268">
        <v>3</v>
      </c>
      <c r="U268">
        <v>17984</v>
      </c>
      <c r="V268">
        <v>4</v>
      </c>
    </row>
    <row r="269" spans="1:22" x14ac:dyDescent="0.35">
      <c r="A269">
        <v>268</v>
      </c>
      <c r="B269" t="s">
        <v>224</v>
      </c>
      <c r="C269" t="s">
        <v>280</v>
      </c>
      <c r="D269">
        <v>2019</v>
      </c>
      <c r="E269" t="s">
        <v>73</v>
      </c>
      <c r="F269">
        <v>28.8</v>
      </c>
      <c r="G269" t="s">
        <v>357</v>
      </c>
      <c r="H269">
        <f>electric_vehicles_dataset[[#This Row],[Battery_Capacity_kWh]]/electric_vehicles_dataset[[#This Row],[Range_km]]</f>
        <v>0.192</v>
      </c>
      <c r="I269">
        <v>150</v>
      </c>
      <c r="J269" t="s">
        <v>359</v>
      </c>
      <c r="K269">
        <v>9</v>
      </c>
      <c r="L269" s="1">
        <v>88462.85</v>
      </c>
      <c r="M269" s="1" t="str" cm="1">
        <f t="array" ref="M2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9" t="s">
        <v>219</v>
      </c>
      <c r="O269" t="s">
        <v>202</v>
      </c>
      <c r="P269" s="2" t="s">
        <v>393</v>
      </c>
      <c r="Q269">
        <v>1</v>
      </c>
      <c r="R269" t="s">
        <v>391</v>
      </c>
      <c r="S269" s="1">
        <f>electric_vehicles_dataset[[#This Row],[Units_Sold_2024]]*electric_vehicles_dataset[[#This Row],[Price_USD]]</f>
        <v>202314537.95000002</v>
      </c>
      <c r="T269">
        <v>5</v>
      </c>
      <c r="U269">
        <v>2287</v>
      </c>
      <c r="V269">
        <v>3</v>
      </c>
    </row>
    <row r="270" spans="1:22" x14ac:dyDescent="0.35">
      <c r="A270">
        <v>269</v>
      </c>
      <c r="B270" t="s">
        <v>56</v>
      </c>
      <c r="C270" t="s">
        <v>57</v>
      </c>
      <c r="D270">
        <v>2022</v>
      </c>
      <c r="E270" t="s">
        <v>104</v>
      </c>
      <c r="F270">
        <v>100.1</v>
      </c>
      <c r="G270" t="s">
        <v>361</v>
      </c>
      <c r="H270">
        <f>electric_vehicles_dataset[[#This Row],[Battery_Capacity_kWh]]/electric_vehicles_dataset[[#This Row],[Range_km]]</f>
        <v>0.39101562499999998</v>
      </c>
      <c r="I270">
        <v>256</v>
      </c>
      <c r="J270" t="s">
        <v>18</v>
      </c>
      <c r="K270">
        <v>7</v>
      </c>
      <c r="L270" s="1">
        <v>73739.210000000006</v>
      </c>
      <c r="M270" s="1" t="str" cm="1">
        <f t="array" ref="M2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0" t="s">
        <v>146</v>
      </c>
      <c r="O270" t="s">
        <v>199</v>
      </c>
      <c r="P270" s="2" t="s">
        <v>394</v>
      </c>
      <c r="Q270">
        <v>2</v>
      </c>
      <c r="R270" t="s">
        <v>391</v>
      </c>
      <c r="S270" s="1">
        <f>electric_vehicles_dataset[[#This Row],[Units_Sold_2024]]*electric_vehicles_dataset[[#This Row],[Price_USD]]</f>
        <v>1053733310.9000001</v>
      </c>
      <c r="T270">
        <v>5</v>
      </c>
      <c r="U270">
        <v>14290</v>
      </c>
      <c r="V270">
        <v>4</v>
      </c>
    </row>
    <row r="271" spans="1:22" x14ac:dyDescent="0.35">
      <c r="A271">
        <v>270</v>
      </c>
      <c r="B271" t="s">
        <v>187</v>
      </c>
      <c r="C271" t="s">
        <v>302</v>
      </c>
      <c r="D271">
        <v>2025</v>
      </c>
      <c r="E271" t="s">
        <v>17</v>
      </c>
      <c r="F271">
        <v>63.1</v>
      </c>
      <c r="G271" t="s">
        <v>351</v>
      </c>
      <c r="H271">
        <f>electric_vehicles_dataset[[#This Row],[Battery_Capacity_kWh]]/electric_vehicles_dataset[[#This Row],[Range_km]]</f>
        <v>0.18289855072463768</v>
      </c>
      <c r="I271">
        <v>345</v>
      </c>
      <c r="J271" t="s">
        <v>345</v>
      </c>
      <c r="K271">
        <v>6</v>
      </c>
      <c r="L271" s="1">
        <v>122972.04</v>
      </c>
      <c r="M271" s="1" t="str" cm="1">
        <f t="array" ref="M27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1" t="s">
        <v>214</v>
      </c>
      <c r="O271" t="s">
        <v>354</v>
      </c>
      <c r="P271" s="2" t="s">
        <v>394</v>
      </c>
      <c r="Q271">
        <v>2</v>
      </c>
      <c r="R271" t="s">
        <v>391</v>
      </c>
      <c r="S271" s="1">
        <f>electric_vehicles_dataset[[#This Row],[Units_Sold_2024]]*electric_vehicles_dataset[[#This Row],[Price_USD]]</f>
        <v>1130727907.8</v>
      </c>
      <c r="T271">
        <v>4</v>
      </c>
      <c r="U271">
        <v>9195</v>
      </c>
      <c r="V271">
        <v>3</v>
      </c>
    </row>
    <row r="272" spans="1:22" x14ac:dyDescent="0.35">
      <c r="A272">
        <v>271</v>
      </c>
      <c r="B272" t="s">
        <v>82</v>
      </c>
      <c r="C272" t="s">
        <v>83</v>
      </c>
      <c r="D272">
        <v>2019</v>
      </c>
      <c r="E272" t="s">
        <v>17</v>
      </c>
      <c r="F272">
        <v>135.19999999999999</v>
      </c>
      <c r="G272" t="s">
        <v>352</v>
      </c>
      <c r="H272">
        <f>electric_vehicles_dataset[[#This Row],[Battery_Capacity_kWh]]/electric_vehicles_dataset[[#This Row],[Range_km]]</f>
        <v>0.97266187050359709</v>
      </c>
      <c r="I272">
        <v>139</v>
      </c>
      <c r="J272" t="s">
        <v>364</v>
      </c>
      <c r="K272">
        <v>11</v>
      </c>
      <c r="L272" s="1">
        <v>131950.47</v>
      </c>
      <c r="M272" s="1" t="str" cm="1">
        <f t="array" ref="M27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2" t="s">
        <v>238</v>
      </c>
      <c r="O272" t="s">
        <v>135</v>
      </c>
      <c r="P272" s="2" t="s">
        <v>389</v>
      </c>
      <c r="Q272">
        <v>4</v>
      </c>
      <c r="R272" t="s">
        <v>392</v>
      </c>
      <c r="S272" s="1">
        <f>electric_vehicles_dataset[[#This Row],[Units_Sold_2024]]*electric_vehicles_dataset[[#This Row],[Price_USD]]</f>
        <v>2384872794.7800002</v>
      </c>
      <c r="T272">
        <v>3</v>
      </c>
      <c r="U272">
        <v>18074</v>
      </c>
      <c r="V272">
        <v>4</v>
      </c>
    </row>
    <row r="273" spans="1:22" x14ac:dyDescent="0.35">
      <c r="A273">
        <v>272</v>
      </c>
      <c r="B273" t="s">
        <v>82</v>
      </c>
      <c r="C273" t="s">
        <v>281</v>
      </c>
      <c r="D273">
        <v>2025</v>
      </c>
      <c r="E273" t="s">
        <v>183</v>
      </c>
      <c r="F273">
        <v>39.299999999999997</v>
      </c>
      <c r="G273" t="s">
        <v>357</v>
      </c>
      <c r="H273">
        <f>electric_vehicles_dataset[[#This Row],[Battery_Capacity_kWh]]/electric_vehicles_dataset[[#This Row],[Range_km]]</f>
        <v>0.13099999999999998</v>
      </c>
      <c r="I273">
        <v>300</v>
      </c>
      <c r="J273" t="s">
        <v>353</v>
      </c>
      <c r="K273">
        <v>11</v>
      </c>
      <c r="L273" s="1">
        <v>100752.09</v>
      </c>
      <c r="M273" s="1" t="str" cm="1">
        <f t="array" ref="M27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3" t="s">
        <v>77</v>
      </c>
      <c r="O273" t="s">
        <v>265</v>
      </c>
      <c r="P273" s="2" t="s">
        <v>389</v>
      </c>
      <c r="Q273">
        <v>4</v>
      </c>
      <c r="R273" t="s">
        <v>392</v>
      </c>
      <c r="S273" s="1">
        <f>electric_vehicles_dataset[[#This Row],[Units_Sold_2024]]*electric_vehicles_dataset[[#This Row],[Price_USD]]</f>
        <v>1201267169.0699999</v>
      </c>
      <c r="T273">
        <v>4</v>
      </c>
      <c r="U273">
        <v>11923</v>
      </c>
      <c r="V273">
        <v>5</v>
      </c>
    </row>
    <row r="274" spans="1:22" x14ac:dyDescent="0.35">
      <c r="A274">
        <v>273</v>
      </c>
      <c r="B274" t="s">
        <v>79</v>
      </c>
      <c r="C274" t="s">
        <v>376</v>
      </c>
      <c r="D274">
        <v>2018</v>
      </c>
      <c r="E274" t="s">
        <v>26</v>
      </c>
      <c r="F274">
        <v>145.30000000000001</v>
      </c>
      <c r="G274" t="s">
        <v>386</v>
      </c>
      <c r="H274">
        <f>electric_vehicles_dataset[[#This Row],[Battery_Capacity_kWh]]/electric_vehicles_dataset[[#This Row],[Range_km]]</f>
        <v>0.35096618357487924</v>
      </c>
      <c r="I274">
        <v>414</v>
      </c>
      <c r="J274" t="s">
        <v>85</v>
      </c>
      <c r="K274">
        <v>9</v>
      </c>
      <c r="L274" s="1">
        <v>46844.480000000003</v>
      </c>
      <c r="M274" s="1" t="str" cm="1">
        <f t="array" ref="M2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4" t="s">
        <v>177</v>
      </c>
      <c r="O274" t="s">
        <v>86</v>
      </c>
      <c r="P274" s="2" t="s">
        <v>389</v>
      </c>
      <c r="Q274">
        <v>4</v>
      </c>
      <c r="R274" t="s">
        <v>392</v>
      </c>
      <c r="S274" s="1">
        <f>electric_vehicles_dataset[[#This Row],[Units_Sold_2024]]*electric_vehicles_dataset[[#This Row],[Price_USD]]</f>
        <v>742157096.6400001</v>
      </c>
      <c r="T274">
        <v>5</v>
      </c>
      <c r="U274">
        <v>15843</v>
      </c>
      <c r="V274">
        <v>4</v>
      </c>
    </row>
    <row r="275" spans="1:22" x14ac:dyDescent="0.35">
      <c r="A275">
        <v>274</v>
      </c>
      <c r="B275" t="s">
        <v>108</v>
      </c>
      <c r="C275" t="s">
        <v>119</v>
      </c>
      <c r="D275">
        <v>2022</v>
      </c>
      <c r="E275" t="s">
        <v>31</v>
      </c>
      <c r="F275">
        <v>28.2</v>
      </c>
      <c r="G275" t="s">
        <v>357</v>
      </c>
      <c r="H275">
        <f>electric_vehicles_dataset[[#This Row],[Battery_Capacity_kWh]]/electric_vehicles_dataset[[#This Row],[Range_km]]</f>
        <v>9.7577854671280273E-2</v>
      </c>
      <c r="I275">
        <v>289</v>
      </c>
      <c r="J275" t="s">
        <v>353</v>
      </c>
      <c r="K275">
        <v>1</v>
      </c>
      <c r="L275" s="1">
        <v>54812.89</v>
      </c>
      <c r="M275" s="1" t="str" cm="1">
        <f t="array" ref="M27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5" t="s">
        <v>81</v>
      </c>
      <c r="O275" t="s">
        <v>33</v>
      </c>
      <c r="P275" s="2" t="s">
        <v>393</v>
      </c>
      <c r="Q275">
        <v>3</v>
      </c>
      <c r="R275" t="s">
        <v>397</v>
      </c>
      <c r="S275" s="1">
        <f>electric_vehicles_dataset[[#This Row],[Units_Sold_2024]]*electric_vehicles_dataset[[#This Row],[Price_USD]]</f>
        <v>582058078.90999997</v>
      </c>
      <c r="T275">
        <v>4</v>
      </c>
      <c r="U275">
        <v>10619</v>
      </c>
      <c r="V275">
        <v>3</v>
      </c>
    </row>
    <row r="276" spans="1:22" x14ac:dyDescent="0.35">
      <c r="A276">
        <v>275</v>
      </c>
      <c r="B276" t="s">
        <v>215</v>
      </c>
      <c r="C276" t="s">
        <v>377</v>
      </c>
      <c r="D276">
        <v>2019</v>
      </c>
      <c r="E276" t="s">
        <v>90</v>
      </c>
      <c r="F276">
        <v>90.8</v>
      </c>
      <c r="G276" t="s">
        <v>350</v>
      </c>
      <c r="H276">
        <f>electric_vehicles_dataset[[#This Row],[Battery_Capacity_kWh]]/electric_vehicles_dataset[[#This Row],[Range_km]]</f>
        <v>0.48042328042328042</v>
      </c>
      <c r="I276">
        <v>189</v>
      </c>
      <c r="J276" t="s">
        <v>34</v>
      </c>
      <c r="K276">
        <v>8</v>
      </c>
      <c r="L276" s="1">
        <v>73835.61</v>
      </c>
      <c r="M276" s="1" t="str" cm="1">
        <f t="array" ref="M27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6" t="s">
        <v>39</v>
      </c>
      <c r="O276" t="s">
        <v>92</v>
      </c>
      <c r="P276" s="2" t="s">
        <v>394</v>
      </c>
      <c r="Q276">
        <v>3</v>
      </c>
      <c r="R276" t="s">
        <v>397</v>
      </c>
      <c r="S276" s="1">
        <f>electric_vehicles_dataset[[#This Row],[Units_Sold_2024]]*electric_vehicles_dataset[[#This Row],[Price_USD]]</f>
        <v>853761158.42999995</v>
      </c>
      <c r="T276">
        <v>4</v>
      </c>
      <c r="U276">
        <v>11563</v>
      </c>
      <c r="V276">
        <v>4</v>
      </c>
    </row>
    <row r="277" spans="1:22" x14ac:dyDescent="0.35">
      <c r="A277">
        <v>276</v>
      </c>
      <c r="B277" t="s">
        <v>262</v>
      </c>
      <c r="C277" t="s">
        <v>373</v>
      </c>
      <c r="D277">
        <v>2024</v>
      </c>
      <c r="E277" t="s">
        <v>84</v>
      </c>
      <c r="F277">
        <v>85.2</v>
      </c>
      <c r="G277" t="s">
        <v>350</v>
      </c>
      <c r="H277">
        <f>electric_vehicles_dataset[[#This Row],[Battery_Capacity_kWh]]/electric_vehicles_dataset[[#This Row],[Range_km]]</f>
        <v>0.49824561403508771</v>
      </c>
      <c r="I277">
        <v>171</v>
      </c>
      <c r="J277" t="s">
        <v>345</v>
      </c>
      <c r="K277">
        <v>2</v>
      </c>
      <c r="L277" s="1">
        <v>39250.589999999997</v>
      </c>
      <c r="M277" s="1" t="str" cm="1">
        <f t="array" ref="M27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7" t="s">
        <v>39</v>
      </c>
      <c r="O277" t="s">
        <v>134</v>
      </c>
      <c r="P277" s="2" t="s">
        <v>389</v>
      </c>
      <c r="Q277">
        <v>1</v>
      </c>
      <c r="R277" t="s">
        <v>391</v>
      </c>
      <c r="S277" s="1">
        <f>electric_vehicles_dataset[[#This Row],[Units_Sold_2024]]*electric_vehicles_dataset[[#This Row],[Price_USD]]</f>
        <v>296224202.72999996</v>
      </c>
      <c r="T277">
        <v>3</v>
      </c>
      <c r="U277">
        <v>7547</v>
      </c>
      <c r="V277">
        <v>4</v>
      </c>
    </row>
    <row r="278" spans="1:22" x14ac:dyDescent="0.35">
      <c r="A278">
        <v>277</v>
      </c>
      <c r="B278" t="s">
        <v>74</v>
      </c>
      <c r="C278" t="s">
        <v>75</v>
      </c>
      <c r="D278">
        <v>2016</v>
      </c>
      <c r="E278" t="s">
        <v>130</v>
      </c>
      <c r="F278">
        <v>107.8</v>
      </c>
      <c r="G278" t="s">
        <v>361</v>
      </c>
      <c r="H278">
        <f>electric_vehicles_dataset[[#This Row],[Battery_Capacity_kWh]]/electric_vehicles_dataset[[#This Row],[Range_km]]</f>
        <v>0.31246376811594201</v>
      </c>
      <c r="I278">
        <v>345</v>
      </c>
      <c r="J278" t="s">
        <v>359</v>
      </c>
      <c r="K278">
        <v>7</v>
      </c>
      <c r="L278" s="1">
        <v>107671.11</v>
      </c>
      <c r="M278" s="1" t="str" cm="1">
        <f t="array" ref="M27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8" t="s">
        <v>70</v>
      </c>
      <c r="O278" t="s">
        <v>135</v>
      </c>
      <c r="P278" s="2" t="s">
        <v>389</v>
      </c>
      <c r="Q278">
        <v>1</v>
      </c>
      <c r="R278" t="s">
        <v>391</v>
      </c>
      <c r="S278" s="1">
        <f>electric_vehicles_dataset[[#This Row],[Units_Sold_2024]]*electric_vehicles_dataset[[#This Row],[Price_USD]]</f>
        <v>1808659305.78</v>
      </c>
      <c r="T278">
        <v>5</v>
      </c>
      <c r="U278">
        <v>16798</v>
      </c>
      <c r="V278">
        <v>3</v>
      </c>
    </row>
    <row r="279" spans="1:22" x14ac:dyDescent="0.35">
      <c r="A279">
        <v>278</v>
      </c>
      <c r="B279" t="s">
        <v>261</v>
      </c>
      <c r="C279" t="s">
        <v>372</v>
      </c>
      <c r="D279">
        <v>2015</v>
      </c>
      <c r="E279" t="s">
        <v>101</v>
      </c>
      <c r="F279">
        <v>53.6</v>
      </c>
      <c r="G279" t="s">
        <v>348</v>
      </c>
      <c r="H279">
        <f>electric_vehicles_dataset[[#This Row],[Battery_Capacity_kWh]]/electric_vehicles_dataset[[#This Row],[Range_km]]</f>
        <v>0.27916666666666667</v>
      </c>
      <c r="I279">
        <v>192</v>
      </c>
      <c r="J279" t="s">
        <v>34</v>
      </c>
      <c r="K279">
        <v>7</v>
      </c>
      <c r="L279" s="1">
        <v>97632.56</v>
      </c>
      <c r="M279" s="1" t="str" cm="1">
        <f t="array" ref="M27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9" t="s">
        <v>301</v>
      </c>
      <c r="O279" t="s">
        <v>265</v>
      </c>
      <c r="P279" s="2" t="s">
        <v>389</v>
      </c>
      <c r="Q279">
        <v>1</v>
      </c>
      <c r="R279" t="s">
        <v>391</v>
      </c>
      <c r="S279" s="1">
        <f>electric_vehicles_dataset[[#This Row],[Units_Sold_2024]]*electric_vehicles_dataset[[#This Row],[Price_USD]]</f>
        <v>545668377.84000003</v>
      </c>
      <c r="T279">
        <v>4</v>
      </c>
      <c r="U279">
        <v>5589</v>
      </c>
      <c r="V279">
        <v>3</v>
      </c>
    </row>
    <row r="280" spans="1:22" x14ac:dyDescent="0.35">
      <c r="A280">
        <v>279</v>
      </c>
      <c r="B280" t="s">
        <v>125</v>
      </c>
      <c r="C280" t="s">
        <v>291</v>
      </c>
      <c r="D280">
        <v>2024</v>
      </c>
      <c r="E280" t="s">
        <v>26</v>
      </c>
      <c r="F280">
        <v>119.8</v>
      </c>
      <c r="G280" t="s">
        <v>361</v>
      </c>
      <c r="H280">
        <f>electric_vehicles_dataset[[#This Row],[Battery_Capacity_kWh]]/electric_vehicles_dataset[[#This Row],[Range_km]]</f>
        <v>0.28591885441527448</v>
      </c>
      <c r="I280">
        <v>419</v>
      </c>
      <c r="J280" t="s">
        <v>105</v>
      </c>
      <c r="K280">
        <v>2</v>
      </c>
      <c r="L280" s="1">
        <v>112270.94</v>
      </c>
      <c r="M280" s="1" t="str" cm="1">
        <f t="array" ref="M28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0" t="s">
        <v>32</v>
      </c>
      <c r="O280" t="s">
        <v>139</v>
      </c>
      <c r="P280" s="2" t="s">
        <v>389</v>
      </c>
      <c r="Q280">
        <v>1</v>
      </c>
      <c r="R280" t="s">
        <v>391</v>
      </c>
      <c r="S280" s="1">
        <f>electric_vehicles_dataset[[#This Row],[Units_Sold_2024]]*electric_vehicles_dataset[[#This Row],[Price_USD]]</f>
        <v>744356332.20000005</v>
      </c>
      <c r="T280">
        <v>3</v>
      </c>
      <c r="U280">
        <v>6630</v>
      </c>
      <c r="V280">
        <v>5</v>
      </c>
    </row>
    <row r="281" spans="1:22" x14ac:dyDescent="0.35">
      <c r="A281">
        <v>280</v>
      </c>
      <c r="B281" t="s">
        <v>140</v>
      </c>
      <c r="C281" t="s">
        <v>256</v>
      </c>
      <c r="D281">
        <v>2017</v>
      </c>
      <c r="E281" t="s">
        <v>90</v>
      </c>
      <c r="F281">
        <v>32.5</v>
      </c>
      <c r="G281" t="s">
        <v>357</v>
      </c>
      <c r="H281">
        <f>electric_vehicles_dataset[[#This Row],[Battery_Capacity_kWh]]/electric_vehicles_dataset[[#This Row],[Range_km]]</f>
        <v>9.4752186588921289E-2</v>
      </c>
      <c r="I281">
        <v>343</v>
      </c>
      <c r="J281" t="s">
        <v>27</v>
      </c>
      <c r="K281">
        <v>11</v>
      </c>
      <c r="L281" s="1">
        <v>93771.59</v>
      </c>
      <c r="M281" s="1" t="str" cm="1">
        <f t="array" ref="M2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1" t="s">
        <v>62</v>
      </c>
      <c r="O281" t="s">
        <v>147</v>
      </c>
      <c r="P281" s="2" t="s">
        <v>396</v>
      </c>
      <c r="Q281">
        <v>1</v>
      </c>
      <c r="R281" t="s">
        <v>391</v>
      </c>
      <c r="S281" s="1">
        <f>electric_vehicles_dataset[[#This Row],[Units_Sold_2024]]*electric_vehicles_dataset[[#This Row],[Price_USD]]</f>
        <v>3657092.01</v>
      </c>
      <c r="T281">
        <v>5</v>
      </c>
      <c r="U281">
        <v>39</v>
      </c>
      <c r="V281">
        <v>5</v>
      </c>
    </row>
    <row r="282" spans="1:22" x14ac:dyDescent="0.35">
      <c r="A282">
        <v>281</v>
      </c>
      <c r="B282" t="s">
        <v>224</v>
      </c>
      <c r="C282" t="s">
        <v>303</v>
      </c>
      <c r="D282">
        <v>2023</v>
      </c>
      <c r="E282" t="s">
        <v>42</v>
      </c>
      <c r="F282">
        <v>68.099999999999994</v>
      </c>
      <c r="G282" t="s">
        <v>351</v>
      </c>
      <c r="H282">
        <f>electric_vehicles_dataset[[#This Row],[Battery_Capacity_kWh]]/electric_vehicles_dataset[[#This Row],[Range_km]]</f>
        <v>0.55819672131147535</v>
      </c>
      <c r="I282">
        <v>122</v>
      </c>
      <c r="J282" t="s">
        <v>358</v>
      </c>
      <c r="K282">
        <v>3</v>
      </c>
      <c r="L282" s="1">
        <v>126276.02</v>
      </c>
      <c r="M282" s="1" t="str" cm="1">
        <f t="array" ref="M28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2" t="s">
        <v>81</v>
      </c>
      <c r="O282" t="s">
        <v>110</v>
      </c>
      <c r="P282" s="2" t="s">
        <v>394</v>
      </c>
      <c r="Q282">
        <v>5</v>
      </c>
      <c r="R282" t="s">
        <v>392</v>
      </c>
      <c r="S282" s="1">
        <f>electric_vehicles_dataset[[#This Row],[Units_Sold_2024]]*electric_vehicles_dataset[[#This Row],[Price_USD]]</f>
        <v>404209540.02000004</v>
      </c>
      <c r="T282">
        <v>5</v>
      </c>
      <c r="U282">
        <v>3201</v>
      </c>
      <c r="V282">
        <v>4</v>
      </c>
    </row>
    <row r="283" spans="1:22" x14ac:dyDescent="0.35">
      <c r="A283">
        <v>282</v>
      </c>
      <c r="B283" t="s">
        <v>60</v>
      </c>
      <c r="C283" t="s">
        <v>166</v>
      </c>
      <c r="D283">
        <v>2022</v>
      </c>
      <c r="E283" t="s">
        <v>183</v>
      </c>
      <c r="F283">
        <v>50.2</v>
      </c>
      <c r="G283" t="s">
        <v>348</v>
      </c>
      <c r="H283">
        <f>electric_vehicles_dataset[[#This Row],[Battery_Capacity_kWh]]/electric_vehicles_dataset[[#This Row],[Range_km]]</f>
        <v>9.3135435992578855E-2</v>
      </c>
      <c r="I283">
        <v>539</v>
      </c>
      <c r="J283" t="s">
        <v>364</v>
      </c>
      <c r="K283">
        <v>4</v>
      </c>
      <c r="L283" s="1">
        <v>135211.96</v>
      </c>
      <c r="M283" s="1" t="str" cm="1">
        <f t="array" ref="M28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3" t="s">
        <v>70</v>
      </c>
      <c r="O283" t="s">
        <v>161</v>
      </c>
      <c r="P283" s="2" t="s">
        <v>389</v>
      </c>
      <c r="Q283">
        <v>5</v>
      </c>
      <c r="R283" t="s">
        <v>392</v>
      </c>
      <c r="S283" s="1">
        <f>electric_vehicles_dataset[[#This Row],[Units_Sold_2024]]*electric_vehicles_dataset[[#This Row],[Price_USD]]</f>
        <v>2315099179.1199999</v>
      </c>
      <c r="T283">
        <v>4</v>
      </c>
      <c r="U283">
        <v>17122</v>
      </c>
      <c r="V283">
        <v>3</v>
      </c>
    </row>
    <row r="284" spans="1:22" x14ac:dyDescent="0.35">
      <c r="A284">
        <v>283</v>
      </c>
      <c r="B284" t="s">
        <v>207</v>
      </c>
      <c r="C284" t="s">
        <v>304</v>
      </c>
      <c r="D284">
        <v>2021</v>
      </c>
      <c r="E284" t="s">
        <v>73</v>
      </c>
      <c r="F284">
        <v>46.7</v>
      </c>
      <c r="G284" t="s">
        <v>348</v>
      </c>
      <c r="H284">
        <f>electric_vehicles_dataset[[#This Row],[Battery_Capacity_kWh]]/electric_vehicles_dataset[[#This Row],[Range_km]]</f>
        <v>9.13894324853229E-2</v>
      </c>
      <c r="I284">
        <v>511</v>
      </c>
      <c r="J284" t="s">
        <v>38</v>
      </c>
      <c r="K284">
        <v>5</v>
      </c>
      <c r="L284" s="1">
        <v>42789.99</v>
      </c>
      <c r="M284" s="1" t="str" cm="1">
        <f t="array" ref="M28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4" t="s">
        <v>196</v>
      </c>
      <c r="O284" t="s">
        <v>167</v>
      </c>
      <c r="P284" s="2" t="s">
        <v>394</v>
      </c>
      <c r="Q284">
        <v>4</v>
      </c>
      <c r="R284" t="s">
        <v>392</v>
      </c>
      <c r="S284" s="1">
        <f>electric_vehicles_dataset[[#This Row],[Units_Sold_2024]]*electric_vehicles_dataset[[#This Row],[Price_USD]]</f>
        <v>557254039.76999998</v>
      </c>
      <c r="T284">
        <v>4</v>
      </c>
      <c r="U284">
        <v>13023</v>
      </c>
      <c r="V284">
        <v>3</v>
      </c>
    </row>
    <row r="285" spans="1:22" x14ac:dyDescent="0.35">
      <c r="A285">
        <v>284</v>
      </c>
      <c r="B285" t="s">
        <v>125</v>
      </c>
      <c r="C285" t="s">
        <v>126</v>
      </c>
      <c r="D285">
        <v>2017</v>
      </c>
      <c r="E285" t="s">
        <v>104</v>
      </c>
      <c r="F285">
        <v>92.7</v>
      </c>
      <c r="G285" t="s">
        <v>350</v>
      </c>
      <c r="H285">
        <f>electric_vehicles_dataset[[#This Row],[Battery_Capacity_kWh]]/electric_vehicles_dataset[[#This Row],[Range_km]]</f>
        <v>0.2671469740634006</v>
      </c>
      <c r="I285">
        <v>347</v>
      </c>
      <c r="J285" t="s">
        <v>105</v>
      </c>
      <c r="K285">
        <v>12</v>
      </c>
      <c r="L285" s="1">
        <v>99318.14</v>
      </c>
      <c r="M285" s="1" t="str" cm="1">
        <f t="array" ref="M28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5" t="s">
        <v>168</v>
      </c>
      <c r="O285" t="s">
        <v>164</v>
      </c>
      <c r="P285" s="2" t="s">
        <v>394</v>
      </c>
      <c r="Q285">
        <v>5</v>
      </c>
      <c r="R285" t="s">
        <v>392</v>
      </c>
      <c r="S285" s="1">
        <f>electric_vehicles_dataset[[#This Row],[Units_Sold_2024]]*electric_vehicles_dataset[[#This Row],[Price_USD]]</f>
        <v>526485460.13999999</v>
      </c>
      <c r="T285">
        <v>5</v>
      </c>
      <c r="U285">
        <v>5301</v>
      </c>
      <c r="V285">
        <v>3</v>
      </c>
    </row>
    <row r="286" spans="1:22" x14ac:dyDescent="0.35">
      <c r="A286">
        <v>285</v>
      </c>
      <c r="B286" t="s">
        <v>192</v>
      </c>
      <c r="C286" t="s">
        <v>366</v>
      </c>
      <c r="D286">
        <v>2021</v>
      </c>
      <c r="E286" t="s">
        <v>183</v>
      </c>
      <c r="F286">
        <v>64</v>
      </c>
      <c r="G286" t="s">
        <v>351</v>
      </c>
      <c r="H286">
        <f>electric_vehicles_dataset[[#This Row],[Battery_Capacity_kWh]]/electric_vehicles_dataset[[#This Row],[Range_km]]</f>
        <v>0.16797900262467191</v>
      </c>
      <c r="I286">
        <v>381</v>
      </c>
      <c r="J286" t="s">
        <v>27</v>
      </c>
      <c r="K286">
        <v>2</v>
      </c>
      <c r="L286" s="1">
        <v>145748.43</v>
      </c>
      <c r="M286" s="1" t="str" cm="1">
        <f t="array" ref="M28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6" t="s">
        <v>22</v>
      </c>
      <c r="O286" t="s">
        <v>20</v>
      </c>
      <c r="P286" s="2" t="s">
        <v>389</v>
      </c>
      <c r="Q286">
        <v>3</v>
      </c>
      <c r="R286" t="s">
        <v>397</v>
      </c>
      <c r="S286" s="1">
        <f>electric_vehicles_dataset[[#This Row],[Units_Sold_2024]]*electric_vehicles_dataset[[#This Row],[Price_USD]]</f>
        <v>1256351466.5999999</v>
      </c>
      <c r="T286">
        <v>3</v>
      </c>
      <c r="U286">
        <v>8620</v>
      </c>
      <c r="V286">
        <v>3</v>
      </c>
    </row>
    <row r="287" spans="1:22" x14ac:dyDescent="0.35">
      <c r="A287">
        <v>286</v>
      </c>
      <c r="B287" t="s">
        <v>187</v>
      </c>
      <c r="C287" t="s">
        <v>188</v>
      </c>
      <c r="D287">
        <v>2024</v>
      </c>
      <c r="E287" t="s">
        <v>84</v>
      </c>
      <c r="F287">
        <v>114.2</v>
      </c>
      <c r="G287" t="s">
        <v>361</v>
      </c>
      <c r="H287">
        <f>electric_vehicles_dataset[[#This Row],[Battery_Capacity_kWh]]/electric_vehicles_dataset[[#This Row],[Range_km]]</f>
        <v>0.19826388888888891</v>
      </c>
      <c r="I287">
        <v>576</v>
      </c>
      <c r="J287" t="s">
        <v>34</v>
      </c>
      <c r="K287">
        <v>8</v>
      </c>
      <c r="L287" s="1">
        <v>92520.67</v>
      </c>
      <c r="M287" s="1" t="str" cm="1">
        <f t="array" ref="M28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7" t="s">
        <v>66</v>
      </c>
      <c r="O287" t="s">
        <v>139</v>
      </c>
      <c r="P287" s="2" t="s">
        <v>389</v>
      </c>
      <c r="Q287">
        <v>3</v>
      </c>
      <c r="R287" t="s">
        <v>397</v>
      </c>
      <c r="S287" s="1">
        <f>electric_vehicles_dataset[[#This Row],[Units_Sold_2024]]*electric_vehicles_dataset[[#This Row],[Price_USD]]</f>
        <v>1330817317.28</v>
      </c>
      <c r="T287">
        <v>4</v>
      </c>
      <c r="U287">
        <v>14384</v>
      </c>
      <c r="V287">
        <v>3</v>
      </c>
    </row>
    <row r="288" spans="1:22" x14ac:dyDescent="0.35">
      <c r="A288">
        <v>287</v>
      </c>
      <c r="B288" t="s">
        <v>112</v>
      </c>
      <c r="C288" t="s">
        <v>237</v>
      </c>
      <c r="D288">
        <v>2023</v>
      </c>
      <c r="E288" t="s">
        <v>133</v>
      </c>
      <c r="F288">
        <v>45.3</v>
      </c>
      <c r="G288" t="s">
        <v>348</v>
      </c>
      <c r="H288">
        <f>electric_vehicles_dataset[[#This Row],[Battery_Capacity_kWh]]/electric_vehicles_dataset[[#This Row],[Range_km]]</f>
        <v>9.0419161676646695E-2</v>
      </c>
      <c r="I288">
        <v>501</v>
      </c>
      <c r="J288" t="s">
        <v>353</v>
      </c>
      <c r="K288">
        <v>8</v>
      </c>
      <c r="L288" s="1">
        <v>110882.93</v>
      </c>
      <c r="M288" s="1" t="str" cm="1">
        <f t="array" ref="M28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8" t="s">
        <v>165</v>
      </c>
      <c r="O288" t="s">
        <v>78</v>
      </c>
      <c r="P288" s="2" t="s">
        <v>389</v>
      </c>
      <c r="Q288">
        <v>1</v>
      </c>
      <c r="R288" t="s">
        <v>391</v>
      </c>
      <c r="S288" s="1">
        <f>electric_vehicles_dataset[[#This Row],[Units_Sold_2024]]*electric_vehicles_dataset[[#This Row],[Price_USD]]</f>
        <v>1283026383.03</v>
      </c>
      <c r="T288">
        <v>4</v>
      </c>
      <c r="U288">
        <v>11571</v>
      </c>
      <c r="V288">
        <v>5</v>
      </c>
    </row>
    <row r="289" spans="1:22" x14ac:dyDescent="0.35">
      <c r="A289">
        <v>288</v>
      </c>
      <c r="B289" t="s">
        <v>36</v>
      </c>
      <c r="C289" t="s">
        <v>211</v>
      </c>
      <c r="D289">
        <v>2024</v>
      </c>
      <c r="E289" t="s">
        <v>31</v>
      </c>
      <c r="F289">
        <v>87.3</v>
      </c>
      <c r="G289" t="s">
        <v>350</v>
      </c>
      <c r="H289">
        <f>electric_vehicles_dataset[[#This Row],[Battery_Capacity_kWh]]/electric_vehicles_dataset[[#This Row],[Range_km]]</f>
        <v>0.18301886792452829</v>
      </c>
      <c r="I289">
        <v>477</v>
      </c>
      <c r="J289" t="s">
        <v>364</v>
      </c>
      <c r="K289">
        <v>11</v>
      </c>
      <c r="L289" s="1">
        <v>95951.12</v>
      </c>
      <c r="M289" s="1" t="str" cm="1">
        <f t="array" ref="M2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9" t="s">
        <v>254</v>
      </c>
      <c r="O289" t="s">
        <v>354</v>
      </c>
      <c r="P289" s="2" t="s">
        <v>394</v>
      </c>
      <c r="Q289">
        <v>2</v>
      </c>
      <c r="R289" t="s">
        <v>391</v>
      </c>
      <c r="S289" s="1">
        <f>electric_vehicles_dataset[[#This Row],[Units_Sold_2024]]*electric_vehicles_dataset[[#This Row],[Price_USD]]</f>
        <v>1906452803.28</v>
      </c>
      <c r="T289">
        <v>3</v>
      </c>
      <c r="U289">
        <v>19869</v>
      </c>
      <c r="V289">
        <v>3</v>
      </c>
    </row>
    <row r="290" spans="1:22" x14ac:dyDescent="0.35">
      <c r="A290">
        <v>289</v>
      </c>
      <c r="B290" t="s">
        <v>45</v>
      </c>
      <c r="C290" t="s">
        <v>283</v>
      </c>
      <c r="D290">
        <v>2024</v>
      </c>
      <c r="E290" t="s">
        <v>84</v>
      </c>
      <c r="F290">
        <v>53.9</v>
      </c>
      <c r="G290" t="s">
        <v>348</v>
      </c>
      <c r="H290">
        <f>electric_vehicles_dataset[[#This Row],[Battery_Capacity_kWh]]/electric_vehicles_dataset[[#This Row],[Range_km]]</f>
        <v>0.17499999999999999</v>
      </c>
      <c r="I290">
        <v>308</v>
      </c>
      <c r="J290" t="s">
        <v>48</v>
      </c>
      <c r="K290">
        <v>7</v>
      </c>
      <c r="L290" s="1">
        <v>90380.3</v>
      </c>
      <c r="M290" s="1" t="str" cm="1">
        <f t="array" ref="M29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0" t="s">
        <v>219</v>
      </c>
      <c r="O290" t="s">
        <v>147</v>
      </c>
      <c r="P290" s="2" t="s">
        <v>396</v>
      </c>
      <c r="Q290">
        <v>2</v>
      </c>
      <c r="R290" t="s">
        <v>391</v>
      </c>
      <c r="S290" s="1">
        <f>electric_vehicles_dataset[[#This Row],[Units_Sold_2024]]*electric_vehicles_dataset[[#This Row],[Price_USD]]</f>
        <v>740756938.80000007</v>
      </c>
      <c r="T290">
        <v>5</v>
      </c>
      <c r="U290">
        <v>8196</v>
      </c>
      <c r="V290">
        <v>5</v>
      </c>
    </row>
    <row r="291" spans="1:22" x14ac:dyDescent="0.35">
      <c r="A291">
        <v>290</v>
      </c>
      <c r="B291" t="s">
        <v>96</v>
      </c>
      <c r="C291" t="s">
        <v>116</v>
      </c>
      <c r="D291">
        <v>2024</v>
      </c>
      <c r="E291" t="s">
        <v>130</v>
      </c>
      <c r="F291">
        <v>120.1</v>
      </c>
      <c r="G291" t="s">
        <v>352</v>
      </c>
      <c r="H291">
        <f>electric_vehicles_dataset[[#This Row],[Battery_Capacity_kWh]]/electric_vehicles_dataset[[#This Row],[Range_km]]</f>
        <v>0.246611909650924</v>
      </c>
      <c r="I291">
        <v>487</v>
      </c>
      <c r="J291" t="s">
        <v>38</v>
      </c>
      <c r="K291">
        <v>12</v>
      </c>
      <c r="L291" s="1">
        <v>85061.81</v>
      </c>
      <c r="M291" s="1" t="str" cm="1">
        <f t="array" ref="M29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1" t="s">
        <v>32</v>
      </c>
      <c r="O291" t="s">
        <v>167</v>
      </c>
      <c r="P291" s="2" t="s">
        <v>394</v>
      </c>
      <c r="Q291">
        <v>3</v>
      </c>
      <c r="R291" t="s">
        <v>397</v>
      </c>
      <c r="S291" s="1">
        <f>electric_vehicles_dataset[[#This Row],[Units_Sold_2024]]*electric_vehicles_dataset[[#This Row],[Price_USD]]</f>
        <v>614231330.00999999</v>
      </c>
      <c r="T291">
        <v>4</v>
      </c>
      <c r="U291">
        <v>7221</v>
      </c>
      <c r="V291">
        <v>5</v>
      </c>
    </row>
    <row r="292" spans="1:22" x14ac:dyDescent="0.35">
      <c r="A292">
        <v>291</v>
      </c>
      <c r="B292" t="s">
        <v>136</v>
      </c>
      <c r="C292" t="s">
        <v>137</v>
      </c>
      <c r="D292">
        <v>2020</v>
      </c>
      <c r="E292" t="s">
        <v>42</v>
      </c>
      <c r="F292">
        <v>144.19999999999999</v>
      </c>
      <c r="G292" t="s">
        <v>386</v>
      </c>
      <c r="H292">
        <f>electric_vehicles_dataset[[#This Row],[Battery_Capacity_kWh]]/electric_vehicles_dataset[[#This Row],[Range_km]]</f>
        <v>0.39615384615384613</v>
      </c>
      <c r="I292">
        <v>364</v>
      </c>
      <c r="J292" t="s">
        <v>76</v>
      </c>
      <c r="K292">
        <v>9</v>
      </c>
      <c r="L292" s="1">
        <v>61601.96</v>
      </c>
      <c r="M292" s="1" t="str" cm="1">
        <f t="array" ref="M29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2" t="s">
        <v>179</v>
      </c>
      <c r="O292" t="s">
        <v>20</v>
      </c>
      <c r="P292" s="2" t="s">
        <v>389</v>
      </c>
      <c r="Q292">
        <v>5</v>
      </c>
      <c r="R292" t="s">
        <v>392</v>
      </c>
      <c r="S292" s="1">
        <f>electric_vehicles_dataset[[#This Row],[Units_Sold_2024]]*electric_vehicles_dataset[[#This Row],[Price_USD]]</f>
        <v>360248262.07999998</v>
      </c>
      <c r="T292">
        <v>4</v>
      </c>
      <c r="U292">
        <v>5848</v>
      </c>
      <c r="V292">
        <v>4</v>
      </c>
    </row>
    <row r="293" spans="1:22" x14ac:dyDescent="0.35">
      <c r="A293">
        <v>292</v>
      </c>
      <c r="B293" t="s">
        <v>56</v>
      </c>
      <c r="C293" t="s">
        <v>57</v>
      </c>
      <c r="D293">
        <v>2018</v>
      </c>
      <c r="E293" t="s">
        <v>53</v>
      </c>
      <c r="F293">
        <v>94.6</v>
      </c>
      <c r="G293" t="s">
        <v>350</v>
      </c>
      <c r="H293">
        <f>electric_vehicles_dataset[[#This Row],[Battery_Capacity_kWh]]/electric_vehicles_dataset[[#This Row],[Range_km]]</f>
        <v>0.49015544041450776</v>
      </c>
      <c r="I293">
        <v>193</v>
      </c>
      <c r="J293" t="s">
        <v>359</v>
      </c>
      <c r="K293">
        <v>6</v>
      </c>
      <c r="L293" s="1">
        <v>53959.98</v>
      </c>
      <c r="M293" s="1" t="str" cm="1">
        <f t="array" ref="M29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3" t="s">
        <v>277</v>
      </c>
      <c r="O293" t="s">
        <v>78</v>
      </c>
      <c r="P293" s="2" t="s">
        <v>389</v>
      </c>
      <c r="Q293">
        <v>1</v>
      </c>
      <c r="R293" t="s">
        <v>391</v>
      </c>
      <c r="S293" s="1">
        <f>electric_vehicles_dataset[[#This Row],[Units_Sold_2024]]*electric_vehicles_dataset[[#This Row],[Price_USD]]</f>
        <v>629497126.68000007</v>
      </c>
      <c r="T293">
        <v>5</v>
      </c>
      <c r="U293">
        <v>11666</v>
      </c>
      <c r="V293">
        <v>3</v>
      </c>
    </row>
    <row r="294" spans="1:22" x14ac:dyDescent="0.35">
      <c r="A294">
        <v>293</v>
      </c>
      <c r="B294" t="s">
        <v>193</v>
      </c>
      <c r="C294" t="s">
        <v>194</v>
      </c>
      <c r="D294">
        <v>2016</v>
      </c>
      <c r="E294" t="s">
        <v>53</v>
      </c>
      <c r="F294">
        <v>30.2</v>
      </c>
      <c r="G294" t="s">
        <v>357</v>
      </c>
      <c r="H294">
        <f>electric_vehicles_dataset[[#This Row],[Battery_Capacity_kWh]]/electric_vehicles_dataset[[#This Row],[Range_km]]</f>
        <v>5.1273344651952463E-2</v>
      </c>
      <c r="I294">
        <v>589</v>
      </c>
      <c r="J294" t="s">
        <v>356</v>
      </c>
      <c r="K294">
        <v>8</v>
      </c>
      <c r="L294" s="1">
        <v>121709.31</v>
      </c>
      <c r="M294" s="1" t="str" cm="1">
        <f t="array" ref="M2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4" t="s">
        <v>19</v>
      </c>
      <c r="O294" t="s">
        <v>95</v>
      </c>
      <c r="P294" s="2" t="s">
        <v>394</v>
      </c>
      <c r="Q294">
        <v>2</v>
      </c>
      <c r="R294" t="s">
        <v>391</v>
      </c>
      <c r="S294" s="1">
        <f>electric_vehicles_dataset[[#This Row],[Units_Sold_2024]]*electric_vehicles_dataset[[#This Row],[Price_USD]]</f>
        <v>1095627208.6199999</v>
      </c>
      <c r="T294">
        <v>5</v>
      </c>
      <c r="U294">
        <v>9002</v>
      </c>
      <c r="V294">
        <v>4</v>
      </c>
    </row>
    <row r="295" spans="1:22" x14ac:dyDescent="0.35">
      <c r="A295">
        <v>294</v>
      </c>
      <c r="B295" t="s">
        <v>120</v>
      </c>
      <c r="C295" t="s">
        <v>195</v>
      </c>
      <c r="D295">
        <v>2021</v>
      </c>
      <c r="E295" t="s">
        <v>31</v>
      </c>
      <c r="F295">
        <v>117.5</v>
      </c>
      <c r="G295" t="s">
        <v>361</v>
      </c>
      <c r="H295">
        <f>electric_vehicles_dataset[[#This Row],[Battery_Capacity_kWh]]/electric_vehicles_dataset[[#This Row],[Range_km]]</f>
        <v>0.71212121212121215</v>
      </c>
      <c r="I295">
        <v>165</v>
      </c>
      <c r="J295" t="s">
        <v>27</v>
      </c>
      <c r="K295">
        <v>7</v>
      </c>
      <c r="L295" s="1">
        <v>80781.100000000006</v>
      </c>
      <c r="M295" s="1" t="str" cm="1">
        <f t="array" ref="M2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5" t="s">
        <v>19</v>
      </c>
      <c r="O295" t="s">
        <v>95</v>
      </c>
      <c r="P295" s="2" t="s">
        <v>394</v>
      </c>
      <c r="Q295">
        <v>3</v>
      </c>
      <c r="R295" t="s">
        <v>397</v>
      </c>
      <c r="S295" s="1">
        <f>electric_vehicles_dataset[[#This Row],[Units_Sold_2024]]*electric_vehicles_dataset[[#This Row],[Price_USD]]</f>
        <v>318600658.40000004</v>
      </c>
      <c r="T295">
        <v>4</v>
      </c>
      <c r="U295">
        <v>3944</v>
      </c>
      <c r="V295">
        <v>5</v>
      </c>
    </row>
    <row r="296" spans="1:22" x14ac:dyDescent="0.35">
      <c r="A296">
        <v>295</v>
      </c>
      <c r="B296" t="s">
        <v>207</v>
      </c>
      <c r="C296" t="s">
        <v>287</v>
      </c>
      <c r="D296">
        <v>2020</v>
      </c>
      <c r="E296" t="s">
        <v>17</v>
      </c>
      <c r="F296">
        <v>21.1</v>
      </c>
      <c r="G296" t="s">
        <v>357</v>
      </c>
      <c r="H296">
        <f>electric_vehicles_dataset[[#This Row],[Battery_Capacity_kWh]]/electric_vehicles_dataset[[#This Row],[Range_km]]</f>
        <v>4.7415730337078653E-2</v>
      </c>
      <c r="I296">
        <v>445</v>
      </c>
      <c r="J296" t="s">
        <v>359</v>
      </c>
      <c r="K296">
        <v>5</v>
      </c>
      <c r="L296" s="1">
        <v>42089.74</v>
      </c>
      <c r="M296" s="1" t="str" cm="1">
        <f t="array" ref="M29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6" t="s">
        <v>165</v>
      </c>
      <c r="O296" t="s">
        <v>118</v>
      </c>
      <c r="P296" s="2" t="s">
        <v>389</v>
      </c>
      <c r="Q296">
        <v>1</v>
      </c>
      <c r="R296" t="s">
        <v>391</v>
      </c>
      <c r="S296" s="1">
        <f>electric_vehicles_dataset[[#This Row],[Units_Sold_2024]]*electric_vehicles_dataset[[#This Row],[Price_USD]]</f>
        <v>473172857.07999998</v>
      </c>
      <c r="T296">
        <v>4</v>
      </c>
      <c r="U296">
        <v>11242</v>
      </c>
      <c r="V296">
        <v>4</v>
      </c>
    </row>
    <row r="297" spans="1:22" x14ac:dyDescent="0.35">
      <c r="A297">
        <v>296</v>
      </c>
      <c r="B297" t="s">
        <v>120</v>
      </c>
      <c r="C297" t="s">
        <v>362</v>
      </c>
      <c r="D297">
        <v>2021</v>
      </c>
      <c r="E297" t="s">
        <v>31</v>
      </c>
      <c r="F297">
        <v>74.5</v>
      </c>
      <c r="G297" t="s">
        <v>351</v>
      </c>
      <c r="H297">
        <f>electric_vehicles_dataset[[#This Row],[Battery_Capacity_kWh]]/electric_vehicles_dataset[[#This Row],[Range_km]]</f>
        <v>0.15360824742268042</v>
      </c>
      <c r="I297">
        <v>485</v>
      </c>
      <c r="J297" t="s">
        <v>149</v>
      </c>
      <c r="K297">
        <v>5</v>
      </c>
      <c r="L297" s="1">
        <v>78071.11</v>
      </c>
      <c r="M297" s="1" t="str" cm="1">
        <f t="array" ref="M29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7" t="s">
        <v>172</v>
      </c>
      <c r="O297" t="s">
        <v>86</v>
      </c>
      <c r="P297" s="2" t="s">
        <v>389</v>
      </c>
      <c r="Q297">
        <v>4</v>
      </c>
      <c r="R297" t="s">
        <v>392</v>
      </c>
      <c r="S297" s="1">
        <f>electric_vehicles_dataset[[#This Row],[Units_Sold_2024]]*electric_vehicles_dataset[[#This Row],[Price_USD]]</f>
        <v>690538967.95000005</v>
      </c>
      <c r="T297">
        <v>5</v>
      </c>
      <c r="U297">
        <v>8845</v>
      </c>
      <c r="V297">
        <v>3</v>
      </c>
    </row>
    <row r="298" spans="1:22" x14ac:dyDescent="0.35">
      <c r="A298">
        <v>297</v>
      </c>
      <c r="B298" t="s">
        <v>21</v>
      </c>
      <c r="C298" t="s">
        <v>363</v>
      </c>
      <c r="D298">
        <v>2021</v>
      </c>
      <c r="E298" t="s">
        <v>31</v>
      </c>
      <c r="F298">
        <v>39</v>
      </c>
      <c r="G298" t="s">
        <v>357</v>
      </c>
      <c r="H298">
        <f>electric_vehicles_dataset[[#This Row],[Battery_Capacity_kWh]]/electric_vehicles_dataset[[#This Row],[Range_km]]</f>
        <v>6.5989847715736044E-2</v>
      </c>
      <c r="I298">
        <v>591</v>
      </c>
      <c r="J298" t="s">
        <v>18</v>
      </c>
      <c r="K298">
        <v>6</v>
      </c>
      <c r="L298" s="1">
        <v>31169.07</v>
      </c>
      <c r="M298" s="1" t="str" cm="1">
        <f t="array" ref="M29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8" t="s">
        <v>70</v>
      </c>
      <c r="O298" t="s">
        <v>230</v>
      </c>
      <c r="P298" s="2" t="s">
        <v>389</v>
      </c>
      <c r="Q298">
        <v>4</v>
      </c>
      <c r="R298" t="s">
        <v>392</v>
      </c>
      <c r="S298" s="1">
        <f>electric_vehicles_dataset[[#This Row],[Units_Sold_2024]]*electric_vehicles_dataset[[#This Row],[Price_USD]]</f>
        <v>322444029.14999998</v>
      </c>
      <c r="T298">
        <v>5</v>
      </c>
      <c r="U298">
        <v>10345</v>
      </c>
      <c r="V298">
        <v>4</v>
      </c>
    </row>
    <row r="299" spans="1:22" x14ac:dyDescent="0.35">
      <c r="A299">
        <v>298</v>
      </c>
      <c r="B299" t="s">
        <v>234</v>
      </c>
      <c r="C299" t="s">
        <v>235</v>
      </c>
      <c r="D299">
        <v>2023</v>
      </c>
      <c r="E299" t="s">
        <v>26</v>
      </c>
      <c r="F299">
        <v>93.8</v>
      </c>
      <c r="G299" t="s">
        <v>350</v>
      </c>
      <c r="H299">
        <f>electric_vehicles_dataset[[#This Row],[Battery_Capacity_kWh]]/electric_vehicles_dataset[[#This Row],[Range_km]]</f>
        <v>0.30957095709570959</v>
      </c>
      <c r="I299">
        <v>303</v>
      </c>
      <c r="J299" t="s">
        <v>48</v>
      </c>
      <c r="K299">
        <v>8</v>
      </c>
      <c r="L299" s="1">
        <v>37204.370000000003</v>
      </c>
      <c r="M299" s="1" t="str" cm="1">
        <f t="array" ref="M2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9" t="s">
        <v>257</v>
      </c>
      <c r="O299" t="s">
        <v>161</v>
      </c>
      <c r="P299" s="2" t="s">
        <v>389</v>
      </c>
      <c r="Q299">
        <v>5</v>
      </c>
      <c r="R299" t="s">
        <v>392</v>
      </c>
      <c r="S299" s="1">
        <f>electric_vehicles_dataset[[#This Row],[Units_Sold_2024]]*electric_vehicles_dataset[[#This Row],[Price_USD]]</f>
        <v>440053288.36000001</v>
      </c>
      <c r="T299">
        <v>4</v>
      </c>
      <c r="U299">
        <v>11828</v>
      </c>
      <c r="V299">
        <v>4</v>
      </c>
    </row>
    <row r="300" spans="1:22" x14ac:dyDescent="0.35">
      <c r="A300">
        <v>299</v>
      </c>
      <c r="B300" t="s">
        <v>21</v>
      </c>
      <c r="C300" t="s">
        <v>363</v>
      </c>
      <c r="D300">
        <v>2020</v>
      </c>
      <c r="E300" t="s">
        <v>84</v>
      </c>
      <c r="F300">
        <v>73.5</v>
      </c>
      <c r="G300" t="s">
        <v>351</v>
      </c>
      <c r="H300">
        <f>electric_vehicles_dataset[[#This Row],[Battery_Capacity_kWh]]/electric_vehicles_dataset[[#This Row],[Range_km]]</f>
        <v>0.26344086021505375</v>
      </c>
      <c r="I300">
        <v>279</v>
      </c>
      <c r="J300" t="s">
        <v>359</v>
      </c>
      <c r="K300">
        <v>7</v>
      </c>
      <c r="L300" s="1">
        <v>107983.86</v>
      </c>
      <c r="M300" s="1" t="str" cm="1">
        <f t="array" ref="M30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00" t="s">
        <v>19</v>
      </c>
      <c r="O300" t="s">
        <v>86</v>
      </c>
      <c r="P300" s="2" t="s">
        <v>389</v>
      </c>
      <c r="Q300">
        <v>2</v>
      </c>
      <c r="R300" t="s">
        <v>391</v>
      </c>
      <c r="S300" s="1">
        <f>electric_vehicles_dataset[[#This Row],[Units_Sold_2024]]*electric_vehicles_dataset[[#This Row],[Price_USD]]</f>
        <v>1581423629.7</v>
      </c>
      <c r="T300">
        <v>4</v>
      </c>
      <c r="U300">
        <v>14645</v>
      </c>
      <c r="V300">
        <v>3</v>
      </c>
    </row>
    <row r="301" spans="1:22" x14ac:dyDescent="0.35">
      <c r="A301">
        <v>300</v>
      </c>
      <c r="B301" t="s">
        <v>24</v>
      </c>
      <c r="C301" t="s">
        <v>300</v>
      </c>
      <c r="D301">
        <v>2022</v>
      </c>
      <c r="E301" t="s">
        <v>73</v>
      </c>
      <c r="F301">
        <v>144.4</v>
      </c>
      <c r="G301" t="s">
        <v>386</v>
      </c>
      <c r="H301">
        <f>electric_vehicles_dataset[[#This Row],[Battery_Capacity_kWh]]/electric_vehicles_dataset[[#This Row],[Range_km]]</f>
        <v>0.26544117647058824</v>
      </c>
      <c r="I301">
        <v>544</v>
      </c>
      <c r="J301" t="s">
        <v>85</v>
      </c>
      <c r="K301">
        <v>8</v>
      </c>
      <c r="L301" s="1">
        <v>141428</v>
      </c>
      <c r="M301" s="1" t="str" cm="1">
        <f t="array" ref="M3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1" t="s">
        <v>70</v>
      </c>
      <c r="O301" t="s">
        <v>118</v>
      </c>
      <c r="P301" s="2" t="s">
        <v>389</v>
      </c>
      <c r="Q301">
        <v>0</v>
      </c>
      <c r="R301" t="s">
        <v>390</v>
      </c>
      <c r="S301" s="1">
        <f>electric_vehicles_dataset[[#This Row],[Units_Sold_2024]]*electric_vehicles_dataset[[#This Row],[Price_USD]]</f>
        <v>1468446924</v>
      </c>
      <c r="T301">
        <v>4</v>
      </c>
      <c r="U301">
        <v>10383</v>
      </c>
      <c r="V301">
        <v>5</v>
      </c>
    </row>
    <row r="302" spans="1:22" x14ac:dyDescent="0.35">
      <c r="A302">
        <v>301</v>
      </c>
      <c r="B302" t="s">
        <v>176</v>
      </c>
      <c r="C302" t="s">
        <v>365</v>
      </c>
      <c r="D302">
        <v>2024</v>
      </c>
      <c r="E302" t="s">
        <v>73</v>
      </c>
      <c r="F302">
        <v>71.400000000000006</v>
      </c>
      <c r="G302" t="s">
        <v>351</v>
      </c>
      <c r="H302">
        <f>electric_vehicles_dataset[[#This Row],[Battery_Capacity_kWh]]/electric_vehicles_dataset[[#This Row],[Range_km]]</f>
        <v>0.12888086642599278</v>
      </c>
      <c r="I302">
        <v>554</v>
      </c>
      <c r="J302" t="s">
        <v>345</v>
      </c>
      <c r="K302">
        <v>10</v>
      </c>
      <c r="L302" s="1">
        <v>142652.38</v>
      </c>
      <c r="M302" s="1" t="str" cm="1">
        <f t="array" ref="M30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2" t="s">
        <v>277</v>
      </c>
      <c r="O302" t="s">
        <v>167</v>
      </c>
      <c r="P302" s="2" t="s">
        <v>394</v>
      </c>
      <c r="Q302">
        <v>3</v>
      </c>
      <c r="R302" t="s">
        <v>397</v>
      </c>
      <c r="S302" s="1">
        <f>electric_vehicles_dataset[[#This Row],[Units_Sold_2024]]*electric_vehicles_dataset[[#This Row],[Price_USD]]</f>
        <v>584446800.86000001</v>
      </c>
      <c r="T302">
        <v>3</v>
      </c>
      <c r="U302">
        <v>4097</v>
      </c>
      <c r="V302">
        <v>5</v>
      </c>
    </row>
    <row r="303" spans="1:22" x14ac:dyDescent="0.35">
      <c r="A303">
        <v>302</v>
      </c>
      <c r="B303" t="s">
        <v>87</v>
      </c>
      <c r="C303" t="s">
        <v>305</v>
      </c>
      <c r="D303">
        <v>2016</v>
      </c>
      <c r="E303" t="s">
        <v>31</v>
      </c>
      <c r="F303">
        <v>41.7</v>
      </c>
      <c r="G303" t="s">
        <v>348</v>
      </c>
      <c r="H303">
        <f>electric_vehicles_dataset[[#This Row],[Battery_Capacity_kWh]]/electric_vehicles_dataset[[#This Row],[Range_km]]</f>
        <v>0.27434210526315789</v>
      </c>
      <c r="I303">
        <v>152</v>
      </c>
      <c r="J303" t="s">
        <v>48</v>
      </c>
      <c r="K303">
        <v>1</v>
      </c>
      <c r="L303" s="1">
        <v>135442.92000000001</v>
      </c>
      <c r="M303" s="1" t="str" cm="1">
        <f t="array" ref="M30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3" t="s">
        <v>114</v>
      </c>
      <c r="O303" t="s">
        <v>67</v>
      </c>
      <c r="P303" s="2" t="s">
        <v>394</v>
      </c>
      <c r="Q303">
        <v>3</v>
      </c>
      <c r="R303" t="s">
        <v>397</v>
      </c>
      <c r="S303" s="1">
        <f>electric_vehicles_dataset[[#This Row],[Units_Sold_2024]]*electric_vehicles_dataset[[#This Row],[Price_USD]]</f>
        <v>461183142.60000002</v>
      </c>
      <c r="T303">
        <v>3</v>
      </c>
      <c r="U303">
        <v>3405</v>
      </c>
      <c r="V303">
        <v>4</v>
      </c>
    </row>
    <row r="304" spans="1:22" x14ac:dyDescent="0.35">
      <c r="A304">
        <v>303</v>
      </c>
      <c r="B304" t="s">
        <v>155</v>
      </c>
      <c r="C304" t="s">
        <v>156</v>
      </c>
      <c r="D304">
        <v>2016</v>
      </c>
      <c r="E304" t="s">
        <v>73</v>
      </c>
      <c r="F304">
        <v>141.1</v>
      </c>
      <c r="G304" t="s">
        <v>386</v>
      </c>
      <c r="H304">
        <f>electric_vehicles_dataset[[#This Row],[Battery_Capacity_kWh]]/electric_vehicles_dataset[[#This Row],[Range_km]]</f>
        <v>0.47190635451505014</v>
      </c>
      <c r="I304">
        <v>299</v>
      </c>
      <c r="J304" t="s">
        <v>54</v>
      </c>
      <c r="K304">
        <v>3</v>
      </c>
      <c r="L304" s="1">
        <v>118511.19</v>
      </c>
      <c r="M304" s="1" t="str" cm="1">
        <f t="array" ref="M30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4" t="s">
        <v>172</v>
      </c>
      <c r="O304" t="s">
        <v>150</v>
      </c>
      <c r="P304" s="2" t="s">
        <v>389</v>
      </c>
      <c r="Q304">
        <v>3</v>
      </c>
      <c r="R304" t="s">
        <v>397</v>
      </c>
      <c r="S304" s="1">
        <f>electric_vehicles_dataset[[#This Row],[Units_Sold_2024]]*electric_vehicles_dataset[[#This Row],[Price_USD]]</f>
        <v>1385632833.48</v>
      </c>
      <c r="T304">
        <v>4</v>
      </c>
      <c r="U304">
        <v>11692</v>
      </c>
      <c r="V304">
        <v>4</v>
      </c>
    </row>
    <row r="305" spans="1:22" x14ac:dyDescent="0.35">
      <c r="A305">
        <v>304</v>
      </c>
      <c r="B305" t="s">
        <v>173</v>
      </c>
      <c r="C305" t="s">
        <v>174</v>
      </c>
      <c r="D305">
        <v>2023</v>
      </c>
      <c r="E305" t="s">
        <v>53</v>
      </c>
      <c r="F305">
        <v>55.4</v>
      </c>
      <c r="G305" t="s">
        <v>348</v>
      </c>
      <c r="H305">
        <f>electric_vehicles_dataset[[#This Row],[Battery_Capacity_kWh]]/electric_vehicles_dataset[[#This Row],[Range_km]]</f>
        <v>0.16941896024464831</v>
      </c>
      <c r="I305">
        <v>327</v>
      </c>
      <c r="J305" t="s">
        <v>18</v>
      </c>
      <c r="K305">
        <v>12</v>
      </c>
      <c r="L305" s="1">
        <v>113714.75</v>
      </c>
      <c r="M305" s="1" t="str" cm="1">
        <f t="array" ref="M30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5" t="s">
        <v>229</v>
      </c>
      <c r="O305" t="s">
        <v>167</v>
      </c>
      <c r="P305" s="2" t="s">
        <v>394</v>
      </c>
      <c r="Q305">
        <v>5</v>
      </c>
      <c r="R305" t="s">
        <v>392</v>
      </c>
      <c r="S305" s="1">
        <f>electric_vehicles_dataset[[#This Row],[Units_Sold_2024]]*electric_vehicles_dataset[[#This Row],[Price_USD]]</f>
        <v>1950435392</v>
      </c>
      <c r="T305">
        <v>4</v>
      </c>
      <c r="U305">
        <v>17152</v>
      </c>
      <c r="V305">
        <v>5</v>
      </c>
    </row>
    <row r="306" spans="1:22" x14ac:dyDescent="0.35">
      <c r="A306">
        <v>305</v>
      </c>
      <c r="B306" t="s">
        <v>16</v>
      </c>
      <c r="C306" t="s">
        <v>347</v>
      </c>
      <c r="D306">
        <v>2020</v>
      </c>
      <c r="E306" t="s">
        <v>130</v>
      </c>
      <c r="F306">
        <v>90.2</v>
      </c>
      <c r="G306" t="s">
        <v>350</v>
      </c>
      <c r="H306">
        <f>electric_vehicles_dataset[[#This Row],[Battery_Capacity_kWh]]/electric_vehicles_dataset[[#This Row],[Range_km]]</f>
        <v>0.17617187500000001</v>
      </c>
      <c r="I306">
        <v>512</v>
      </c>
      <c r="J306" t="s">
        <v>364</v>
      </c>
      <c r="K306">
        <v>6</v>
      </c>
      <c r="L306" s="1">
        <v>73894</v>
      </c>
      <c r="M306" s="1" t="str" cm="1">
        <f t="array" ref="M30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06" t="s">
        <v>189</v>
      </c>
      <c r="O306" t="s">
        <v>44</v>
      </c>
      <c r="P306" s="2" t="s">
        <v>389</v>
      </c>
      <c r="Q306">
        <v>0</v>
      </c>
      <c r="R306" t="s">
        <v>390</v>
      </c>
      <c r="S306" s="1">
        <f>electric_vehicles_dataset[[#This Row],[Units_Sold_2024]]*electric_vehicles_dataset[[#This Row],[Price_USD]]</f>
        <v>832637592</v>
      </c>
      <c r="T306">
        <v>3</v>
      </c>
      <c r="U306">
        <v>11268</v>
      </c>
      <c r="V306">
        <v>4</v>
      </c>
    </row>
    <row r="307" spans="1:22" x14ac:dyDescent="0.35">
      <c r="A307">
        <v>306</v>
      </c>
      <c r="B307" t="s">
        <v>173</v>
      </c>
      <c r="C307" t="s">
        <v>306</v>
      </c>
      <c r="D307">
        <v>2015</v>
      </c>
      <c r="E307" t="s">
        <v>17</v>
      </c>
      <c r="F307">
        <v>139.9</v>
      </c>
      <c r="G307" t="s">
        <v>352</v>
      </c>
      <c r="H307">
        <f>electric_vehicles_dataset[[#This Row],[Battery_Capacity_kWh]]/electric_vehicles_dataset[[#This Row],[Range_km]]</f>
        <v>0.23955479452054795</v>
      </c>
      <c r="I307">
        <v>584</v>
      </c>
      <c r="J307" t="s">
        <v>356</v>
      </c>
      <c r="K307">
        <v>4</v>
      </c>
      <c r="L307" s="1">
        <v>121904.3</v>
      </c>
      <c r="M307" s="1" t="str" cm="1">
        <f t="array" ref="M30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7" t="s">
        <v>271</v>
      </c>
      <c r="O307" t="s">
        <v>265</v>
      </c>
      <c r="P307" s="2" t="s">
        <v>389</v>
      </c>
      <c r="Q307">
        <v>0</v>
      </c>
      <c r="R307" t="s">
        <v>390</v>
      </c>
      <c r="S307" s="1">
        <f>electric_vehicles_dataset[[#This Row],[Units_Sold_2024]]*electric_vehicles_dataset[[#This Row],[Price_USD]]</f>
        <v>1746035288.9000001</v>
      </c>
      <c r="T307">
        <v>5</v>
      </c>
      <c r="U307">
        <v>14323</v>
      </c>
      <c r="V307">
        <v>4</v>
      </c>
    </row>
    <row r="308" spans="1:22" x14ac:dyDescent="0.35">
      <c r="A308">
        <v>307</v>
      </c>
      <c r="B308" t="s">
        <v>87</v>
      </c>
      <c r="C308" t="s">
        <v>191</v>
      </c>
      <c r="D308">
        <v>2025</v>
      </c>
      <c r="E308" t="s">
        <v>42</v>
      </c>
      <c r="F308">
        <v>127.7</v>
      </c>
      <c r="G308" t="s">
        <v>352</v>
      </c>
      <c r="H308">
        <f>electric_vehicles_dataset[[#This Row],[Battery_Capacity_kWh]]/electric_vehicles_dataset[[#This Row],[Range_km]]</f>
        <v>0.60235849056603774</v>
      </c>
      <c r="I308">
        <v>212</v>
      </c>
      <c r="J308" t="s">
        <v>105</v>
      </c>
      <c r="K308">
        <v>1</v>
      </c>
      <c r="L308" s="1">
        <v>105038.76</v>
      </c>
      <c r="M308" s="1" t="str" cm="1">
        <f t="array" ref="M30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08" t="s">
        <v>212</v>
      </c>
      <c r="O308" t="s">
        <v>118</v>
      </c>
      <c r="P308" s="2" t="s">
        <v>389</v>
      </c>
      <c r="Q308">
        <v>5</v>
      </c>
      <c r="R308" t="s">
        <v>392</v>
      </c>
      <c r="S308" s="1">
        <f>electric_vehicles_dataset[[#This Row],[Units_Sold_2024]]*electric_vehicles_dataset[[#This Row],[Price_USD]]</f>
        <v>925181398.07999992</v>
      </c>
      <c r="T308">
        <v>5</v>
      </c>
      <c r="U308">
        <v>8808</v>
      </c>
      <c r="V308">
        <v>4</v>
      </c>
    </row>
    <row r="309" spans="1:22" x14ac:dyDescent="0.35">
      <c r="A309">
        <v>308</v>
      </c>
      <c r="B309" t="s">
        <v>112</v>
      </c>
      <c r="C309" t="s">
        <v>138</v>
      </c>
      <c r="D309">
        <v>2017</v>
      </c>
      <c r="E309" t="s">
        <v>101</v>
      </c>
      <c r="F309">
        <v>57.6</v>
      </c>
      <c r="G309" t="s">
        <v>348</v>
      </c>
      <c r="H309">
        <f>electric_vehicles_dataset[[#This Row],[Battery_Capacity_kWh]]/electric_vehicles_dataset[[#This Row],[Range_km]]</f>
        <v>0.13521126760563382</v>
      </c>
      <c r="I309">
        <v>426</v>
      </c>
      <c r="J309" t="s">
        <v>345</v>
      </c>
      <c r="K309">
        <v>8</v>
      </c>
      <c r="L309" s="1">
        <v>62656.1</v>
      </c>
      <c r="M309" s="1" t="str" cm="1">
        <f t="array" ref="M30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09" t="s">
        <v>217</v>
      </c>
      <c r="O309" t="s">
        <v>230</v>
      </c>
      <c r="P309" s="2" t="s">
        <v>389</v>
      </c>
      <c r="Q309">
        <v>0</v>
      </c>
      <c r="R309" t="s">
        <v>390</v>
      </c>
      <c r="S309" s="1">
        <f>electric_vehicles_dataset[[#This Row],[Units_Sold_2024]]*electric_vehicles_dataset[[#This Row],[Price_USD]]</f>
        <v>381700961.19999999</v>
      </c>
      <c r="T309">
        <v>3</v>
      </c>
      <c r="U309">
        <v>6092</v>
      </c>
      <c r="V309">
        <v>3</v>
      </c>
    </row>
    <row r="310" spans="1:22" x14ac:dyDescent="0.35">
      <c r="A310">
        <v>309</v>
      </c>
      <c r="B310" t="s">
        <v>176</v>
      </c>
      <c r="C310" t="s">
        <v>365</v>
      </c>
      <c r="D310">
        <v>2017</v>
      </c>
      <c r="E310" t="s">
        <v>17</v>
      </c>
      <c r="F310">
        <v>77</v>
      </c>
      <c r="G310" t="s">
        <v>351</v>
      </c>
      <c r="H310">
        <f>electric_vehicles_dataset[[#This Row],[Battery_Capacity_kWh]]/electric_vehicles_dataset[[#This Row],[Range_km]]</f>
        <v>0.74038461538461542</v>
      </c>
      <c r="I310">
        <v>104</v>
      </c>
      <c r="J310" t="s">
        <v>353</v>
      </c>
      <c r="K310">
        <v>2</v>
      </c>
      <c r="L310" s="1">
        <v>31766.98</v>
      </c>
      <c r="M310" s="1" t="str" cm="1">
        <f t="array" ref="M31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10" t="s">
        <v>205</v>
      </c>
      <c r="O310" t="s">
        <v>50</v>
      </c>
      <c r="P310" s="2" t="s">
        <v>396</v>
      </c>
      <c r="Q310">
        <v>3</v>
      </c>
      <c r="R310" t="s">
        <v>397</v>
      </c>
      <c r="S310" s="1">
        <f>electric_vehicles_dataset[[#This Row],[Units_Sold_2024]]*electric_vehicles_dataset[[#This Row],[Price_USD]]</f>
        <v>343750490.57999998</v>
      </c>
      <c r="T310">
        <v>3</v>
      </c>
      <c r="U310">
        <v>10821</v>
      </c>
      <c r="V310">
        <v>3</v>
      </c>
    </row>
    <row r="311" spans="1:22" x14ac:dyDescent="0.35">
      <c r="A311">
        <v>310</v>
      </c>
      <c r="B311" t="s">
        <v>51</v>
      </c>
      <c r="C311" t="s">
        <v>52</v>
      </c>
      <c r="D311">
        <v>2015</v>
      </c>
      <c r="E311" t="s">
        <v>133</v>
      </c>
      <c r="F311">
        <v>120.8</v>
      </c>
      <c r="G311" t="s">
        <v>352</v>
      </c>
      <c r="H311">
        <f>electric_vehicles_dataset[[#This Row],[Battery_Capacity_kWh]]/electric_vehicles_dataset[[#This Row],[Range_km]]</f>
        <v>0.88823529411764701</v>
      </c>
      <c r="I311">
        <v>136</v>
      </c>
      <c r="J311" t="s">
        <v>356</v>
      </c>
      <c r="K311">
        <v>3</v>
      </c>
      <c r="L311" s="1">
        <v>137483.88</v>
      </c>
      <c r="M311" s="1" t="str" cm="1">
        <f t="array" ref="M31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11" t="s">
        <v>189</v>
      </c>
      <c r="O311" t="s">
        <v>110</v>
      </c>
      <c r="P311" s="2" t="s">
        <v>394</v>
      </c>
      <c r="Q311">
        <v>0</v>
      </c>
      <c r="R311" t="s">
        <v>390</v>
      </c>
      <c r="S311" s="1">
        <f>electric_vehicles_dataset[[#This Row],[Units_Sold_2024]]*electric_vehicles_dataset[[#This Row],[Price_USD]]</f>
        <v>1995441034.3200002</v>
      </c>
      <c r="T311">
        <v>4</v>
      </c>
      <c r="U311">
        <v>14514</v>
      </c>
      <c r="V311">
        <v>3</v>
      </c>
    </row>
    <row r="312" spans="1:22" x14ac:dyDescent="0.35">
      <c r="A312">
        <v>311</v>
      </c>
      <c r="B312" t="s">
        <v>269</v>
      </c>
      <c r="C312" t="s">
        <v>307</v>
      </c>
      <c r="D312">
        <v>2018</v>
      </c>
      <c r="E312" t="s">
        <v>130</v>
      </c>
      <c r="F312">
        <v>115.6</v>
      </c>
      <c r="G312" t="s">
        <v>361</v>
      </c>
      <c r="H312">
        <f>electric_vehicles_dataset[[#This Row],[Battery_Capacity_kWh]]/electric_vehicles_dataset[[#This Row],[Range_km]]</f>
        <v>0.7810810810810811</v>
      </c>
      <c r="I312">
        <v>148</v>
      </c>
      <c r="J312" t="s">
        <v>359</v>
      </c>
      <c r="K312">
        <v>6</v>
      </c>
      <c r="L312" s="1">
        <v>111773.08</v>
      </c>
      <c r="M312" s="1" t="str" cm="1">
        <f t="array" ref="M31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12" t="s">
        <v>127</v>
      </c>
      <c r="O312" t="s">
        <v>89</v>
      </c>
      <c r="P312" s="2" t="s">
        <v>389</v>
      </c>
      <c r="Q312">
        <v>5</v>
      </c>
      <c r="R312" t="s">
        <v>392</v>
      </c>
      <c r="S312" s="1">
        <f>electric_vehicles_dataset[[#This Row],[Units_Sold_2024]]*electric_vehicles_dataset[[#This Row],[Price_USD]]</f>
        <v>447315866.16000003</v>
      </c>
      <c r="T312">
        <v>5</v>
      </c>
      <c r="U312">
        <v>4002</v>
      </c>
      <c r="V312">
        <v>4</v>
      </c>
    </row>
    <row r="313" spans="1:22" x14ac:dyDescent="0.35">
      <c r="A313">
        <v>312</v>
      </c>
      <c r="B313" t="s">
        <v>173</v>
      </c>
      <c r="C313" t="s">
        <v>306</v>
      </c>
      <c r="D313">
        <v>2019</v>
      </c>
      <c r="E313" t="s">
        <v>31</v>
      </c>
      <c r="F313">
        <v>66.900000000000006</v>
      </c>
      <c r="G313" t="s">
        <v>351</v>
      </c>
      <c r="H313">
        <f>electric_vehicles_dataset[[#This Row],[Battery_Capacity_kWh]]/electric_vehicles_dataset[[#This Row],[Range_km]]</f>
        <v>0.53095238095238095</v>
      </c>
      <c r="I313">
        <v>126</v>
      </c>
      <c r="J313" t="s">
        <v>359</v>
      </c>
      <c r="K313">
        <v>12</v>
      </c>
      <c r="L313" s="1">
        <v>58315.9</v>
      </c>
      <c r="M313" s="1" t="str" cm="1">
        <f t="array" ref="M3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13" t="s">
        <v>196</v>
      </c>
      <c r="O313" t="s">
        <v>89</v>
      </c>
      <c r="P313" s="2" t="s">
        <v>389</v>
      </c>
      <c r="Q313">
        <v>5</v>
      </c>
      <c r="R313" t="s">
        <v>392</v>
      </c>
      <c r="S313" s="1">
        <f>electric_vehicles_dataset[[#This Row],[Units_Sold_2024]]*electric_vehicles_dataset[[#This Row],[Price_USD]]</f>
        <v>464486143.5</v>
      </c>
      <c r="T313">
        <v>4</v>
      </c>
      <c r="U313">
        <v>7965</v>
      </c>
      <c r="V313">
        <v>3</v>
      </c>
    </row>
    <row r="314" spans="1:22" x14ac:dyDescent="0.35">
      <c r="A314">
        <v>313</v>
      </c>
      <c r="B314" t="s">
        <v>108</v>
      </c>
      <c r="C314" t="s">
        <v>308</v>
      </c>
      <c r="D314">
        <v>2022</v>
      </c>
      <c r="E314" t="s">
        <v>17</v>
      </c>
      <c r="F314">
        <v>97.5</v>
      </c>
      <c r="G314" t="s">
        <v>350</v>
      </c>
      <c r="H314">
        <f>electric_vehicles_dataset[[#This Row],[Battery_Capacity_kWh]]/electric_vehicles_dataset[[#This Row],[Range_km]]</f>
        <v>0.33620689655172414</v>
      </c>
      <c r="I314">
        <v>290</v>
      </c>
      <c r="J314" t="s">
        <v>364</v>
      </c>
      <c r="K314">
        <v>3</v>
      </c>
      <c r="L314" s="1">
        <v>89990.3</v>
      </c>
      <c r="M314" s="1" t="str" cm="1">
        <f t="array" ref="M31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14" t="s">
        <v>106</v>
      </c>
      <c r="O314" t="s">
        <v>118</v>
      </c>
      <c r="P314" s="2" t="s">
        <v>389</v>
      </c>
      <c r="Q314">
        <v>5</v>
      </c>
      <c r="R314" t="s">
        <v>392</v>
      </c>
      <c r="S314" s="1">
        <f>electric_vehicles_dataset[[#This Row],[Units_Sold_2024]]*electric_vehicles_dataset[[#This Row],[Price_USD]]</f>
        <v>1581579522.5</v>
      </c>
      <c r="T314">
        <v>3</v>
      </c>
      <c r="U314">
        <v>17575</v>
      </c>
      <c r="V314">
        <v>3</v>
      </c>
    </row>
    <row r="315" spans="1:22" x14ac:dyDescent="0.35">
      <c r="A315">
        <v>314</v>
      </c>
      <c r="B315" t="s">
        <v>60</v>
      </c>
      <c r="C315" t="s">
        <v>209</v>
      </c>
      <c r="D315">
        <v>2018</v>
      </c>
      <c r="E315" t="s">
        <v>104</v>
      </c>
      <c r="F315">
        <v>147.6</v>
      </c>
      <c r="G315" t="s">
        <v>386</v>
      </c>
      <c r="H315">
        <f>electric_vehicles_dataset[[#This Row],[Battery_Capacity_kWh]]/electric_vehicles_dataset[[#This Row],[Range_km]]</f>
        <v>0.2934393638170974</v>
      </c>
      <c r="I315">
        <v>503</v>
      </c>
      <c r="J315" t="s">
        <v>149</v>
      </c>
      <c r="K315">
        <v>10</v>
      </c>
      <c r="L315" s="1">
        <v>82646.27</v>
      </c>
      <c r="M315" s="1" t="str" cm="1">
        <f t="array" ref="M31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15" t="s">
        <v>55</v>
      </c>
      <c r="O315" t="s">
        <v>135</v>
      </c>
      <c r="P315" s="2" t="s">
        <v>389</v>
      </c>
      <c r="Q315">
        <v>2</v>
      </c>
      <c r="R315" t="s">
        <v>391</v>
      </c>
      <c r="S315" s="1">
        <f>electric_vehicles_dataset[[#This Row],[Units_Sold_2024]]*electric_vehicles_dataset[[#This Row],[Price_USD]]</f>
        <v>1314240985.54</v>
      </c>
      <c r="T315">
        <v>3</v>
      </c>
      <c r="U315">
        <v>15902</v>
      </c>
      <c r="V315">
        <v>5</v>
      </c>
    </row>
    <row r="316" spans="1:22" x14ac:dyDescent="0.35">
      <c r="A316">
        <v>315</v>
      </c>
      <c r="B316" t="s">
        <v>96</v>
      </c>
      <c r="C316" t="s">
        <v>97</v>
      </c>
      <c r="D316">
        <v>2019</v>
      </c>
      <c r="E316" t="s">
        <v>47</v>
      </c>
      <c r="F316">
        <v>110.6</v>
      </c>
      <c r="G316" t="s">
        <v>361</v>
      </c>
      <c r="H316">
        <f>electric_vehicles_dataset[[#This Row],[Battery_Capacity_kWh]]/electric_vehicles_dataset[[#This Row],[Range_km]]</f>
        <v>0.56142131979695431</v>
      </c>
      <c r="I316">
        <v>197</v>
      </c>
      <c r="J316" t="s">
        <v>85</v>
      </c>
      <c r="K316">
        <v>7</v>
      </c>
      <c r="L316" s="1">
        <v>68841.710000000006</v>
      </c>
      <c r="M316" s="1" t="str" cm="1">
        <f t="array" ref="M31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16" t="s">
        <v>32</v>
      </c>
      <c r="O316" t="s">
        <v>134</v>
      </c>
      <c r="P316" s="2" t="s">
        <v>389</v>
      </c>
      <c r="Q316">
        <v>4</v>
      </c>
      <c r="R316" t="s">
        <v>392</v>
      </c>
      <c r="S316" s="1">
        <f>electric_vehicles_dataset[[#This Row],[Units_Sold_2024]]*electric_vehicles_dataset[[#This Row],[Price_USD]]</f>
        <v>1198121120.8400002</v>
      </c>
      <c r="T316">
        <v>3</v>
      </c>
      <c r="U316">
        <v>17404</v>
      </c>
      <c r="V316">
        <v>3</v>
      </c>
    </row>
    <row r="317" spans="1:22" x14ac:dyDescent="0.35">
      <c r="A317">
        <v>316</v>
      </c>
      <c r="B317" t="s">
        <v>96</v>
      </c>
      <c r="C317" t="s">
        <v>116</v>
      </c>
      <c r="D317">
        <v>2019</v>
      </c>
      <c r="E317" t="s">
        <v>47</v>
      </c>
      <c r="F317">
        <v>67.7</v>
      </c>
      <c r="G317" t="s">
        <v>351</v>
      </c>
      <c r="H317">
        <f>electric_vehicles_dataset[[#This Row],[Battery_Capacity_kWh]]/electric_vehicles_dataset[[#This Row],[Range_km]]</f>
        <v>0.67700000000000005</v>
      </c>
      <c r="I317">
        <v>100</v>
      </c>
      <c r="J317" t="s">
        <v>34</v>
      </c>
      <c r="K317">
        <v>9</v>
      </c>
      <c r="L317" s="1">
        <v>135951.88</v>
      </c>
      <c r="M317" s="1" t="str" cm="1">
        <f t="array" ref="M31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17" t="s">
        <v>217</v>
      </c>
      <c r="O317" t="s">
        <v>33</v>
      </c>
      <c r="P317" s="2" t="s">
        <v>393</v>
      </c>
      <c r="Q317">
        <v>1</v>
      </c>
      <c r="R317" t="s">
        <v>391</v>
      </c>
      <c r="S317" s="1">
        <f>electric_vehicles_dataset[[#This Row],[Units_Sold_2024]]*electric_vehicles_dataset[[#This Row],[Price_USD]]</f>
        <v>2400910200.8000002</v>
      </c>
      <c r="T317">
        <v>4</v>
      </c>
      <c r="U317">
        <v>17660</v>
      </c>
      <c r="V317">
        <v>4</v>
      </c>
    </row>
    <row r="318" spans="1:22" x14ac:dyDescent="0.35">
      <c r="A318">
        <v>317</v>
      </c>
      <c r="B318" t="s">
        <v>112</v>
      </c>
      <c r="C318" t="s">
        <v>237</v>
      </c>
      <c r="D318">
        <v>2025</v>
      </c>
      <c r="E318" t="s">
        <v>130</v>
      </c>
      <c r="F318">
        <v>119.5</v>
      </c>
      <c r="G318" t="s">
        <v>361</v>
      </c>
      <c r="H318">
        <f>electric_vehicles_dataset[[#This Row],[Battery_Capacity_kWh]]/electric_vehicles_dataset[[#This Row],[Range_km]]</f>
        <v>0.6713483146067416</v>
      </c>
      <c r="I318">
        <v>178</v>
      </c>
      <c r="J318" t="s">
        <v>54</v>
      </c>
      <c r="K318">
        <v>4</v>
      </c>
      <c r="L318" s="1">
        <v>106908.47</v>
      </c>
      <c r="M318" s="1" t="str" cm="1">
        <f t="array" ref="M31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18" t="s">
        <v>43</v>
      </c>
      <c r="O318" t="s">
        <v>93</v>
      </c>
      <c r="P318" s="2" t="s">
        <v>389</v>
      </c>
      <c r="Q318">
        <v>0</v>
      </c>
      <c r="R318" t="s">
        <v>390</v>
      </c>
      <c r="S318" s="1">
        <f>electric_vehicles_dataset[[#This Row],[Units_Sold_2024]]*electric_vehicles_dataset[[#This Row],[Price_USD]]</f>
        <v>109474273.28</v>
      </c>
      <c r="T318">
        <v>3</v>
      </c>
      <c r="U318">
        <v>1024</v>
      </c>
      <c r="V318">
        <v>3</v>
      </c>
    </row>
    <row r="319" spans="1:22" x14ac:dyDescent="0.35">
      <c r="A319">
        <v>318</v>
      </c>
      <c r="B319" t="s">
        <v>184</v>
      </c>
      <c r="C319" t="s">
        <v>309</v>
      </c>
      <c r="D319">
        <v>2018</v>
      </c>
      <c r="E319" t="s">
        <v>58</v>
      </c>
      <c r="F319">
        <v>24.1</v>
      </c>
      <c r="G319" t="s">
        <v>357</v>
      </c>
      <c r="H319">
        <f>electric_vehicles_dataset[[#This Row],[Battery_Capacity_kWh]]/electric_vehicles_dataset[[#This Row],[Range_km]]</f>
        <v>5.6308411214953273E-2</v>
      </c>
      <c r="I319">
        <v>428</v>
      </c>
      <c r="J319" t="s">
        <v>34</v>
      </c>
      <c r="K319">
        <v>8</v>
      </c>
      <c r="L319" s="1">
        <v>93098.559999999998</v>
      </c>
      <c r="M319" s="1" t="str" cm="1">
        <f t="array" ref="M31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19" t="s">
        <v>35</v>
      </c>
      <c r="O319" t="s">
        <v>167</v>
      </c>
      <c r="P319" s="2" t="s">
        <v>394</v>
      </c>
      <c r="Q319">
        <v>2</v>
      </c>
      <c r="R319" t="s">
        <v>391</v>
      </c>
      <c r="S319" s="1">
        <f>electric_vehicles_dataset[[#This Row],[Units_Sold_2024]]*electric_vehicles_dataset[[#This Row],[Price_USD]]</f>
        <v>636701051.84000003</v>
      </c>
      <c r="T319">
        <v>3</v>
      </c>
      <c r="U319">
        <v>6839</v>
      </c>
      <c r="V319">
        <v>5</v>
      </c>
    </row>
    <row r="320" spans="1:22" x14ac:dyDescent="0.35">
      <c r="A320">
        <v>319</v>
      </c>
      <c r="B320" t="s">
        <v>262</v>
      </c>
      <c r="C320" t="s">
        <v>263</v>
      </c>
      <c r="D320">
        <v>2022</v>
      </c>
      <c r="E320" t="s">
        <v>183</v>
      </c>
      <c r="F320">
        <v>103.1</v>
      </c>
      <c r="G320" t="s">
        <v>361</v>
      </c>
      <c r="H320">
        <f>electric_vehicles_dataset[[#This Row],[Battery_Capacity_kWh]]/electric_vehicles_dataset[[#This Row],[Range_km]]</f>
        <v>0.36302816901408447</v>
      </c>
      <c r="I320">
        <v>284</v>
      </c>
      <c r="J320" t="s">
        <v>358</v>
      </c>
      <c r="K320">
        <v>10</v>
      </c>
      <c r="L320" s="1">
        <v>125309.95</v>
      </c>
      <c r="M320" s="1" t="str" cm="1">
        <f t="array" ref="M32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20" t="s">
        <v>279</v>
      </c>
      <c r="O320" t="s">
        <v>118</v>
      </c>
      <c r="P320" s="2" t="s">
        <v>389</v>
      </c>
      <c r="Q320">
        <v>0</v>
      </c>
      <c r="R320" t="s">
        <v>390</v>
      </c>
      <c r="S320" s="1">
        <f>electric_vehicles_dataset[[#This Row],[Units_Sold_2024]]*electric_vehicles_dataset[[#This Row],[Price_USD]]</f>
        <v>886442586.29999995</v>
      </c>
      <c r="T320">
        <v>3</v>
      </c>
      <c r="U320">
        <v>7074</v>
      </c>
      <c r="V320">
        <v>5</v>
      </c>
    </row>
    <row r="321" spans="1:22" x14ac:dyDescent="0.35">
      <c r="A321">
        <v>320</v>
      </c>
      <c r="B321" t="s">
        <v>184</v>
      </c>
      <c r="C321" t="s">
        <v>185</v>
      </c>
      <c r="D321">
        <v>2018</v>
      </c>
      <c r="E321" t="s">
        <v>47</v>
      </c>
      <c r="F321">
        <v>70.099999999999994</v>
      </c>
      <c r="G321" t="s">
        <v>351</v>
      </c>
      <c r="H321">
        <f>electric_vehicles_dataset[[#This Row],[Battery_Capacity_kWh]]/electric_vehicles_dataset[[#This Row],[Range_km]]</f>
        <v>0.35404040404040399</v>
      </c>
      <c r="I321">
        <v>198</v>
      </c>
      <c r="J321" t="s">
        <v>353</v>
      </c>
      <c r="K321">
        <v>7</v>
      </c>
      <c r="L321" s="1">
        <v>143700.4</v>
      </c>
      <c r="M321" s="1" t="str" cm="1">
        <f t="array" ref="M32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21" t="s">
        <v>114</v>
      </c>
      <c r="O321" t="s">
        <v>354</v>
      </c>
      <c r="P321" s="2" t="s">
        <v>394</v>
      </c>
      <c r="Q321">
        <v>0</v>
      </c>
      <c r="R321" t="s">
        <v>390</v>
      </c>
      <c r="S321" s="1">
        <f>electric_vehicles_dataset[[#This Row],[Units_Sold_2024]]*electric_vehicles_dataset[[#This Row],[Price_USD]]</f>
        <v>2159960712.4000001</v>
      </c>
      <c r="T321">
        <v>5</v>
      </c>
      <c r="U321">
        <v>15031</v>
      </c>
      <c r="V321">
        <v>5</v>
      </c>
    </row>
    <row r="322" spans="1:22" x14ac:dyDescent="0.35">
      <c r="A322">
        <v>321</v>
      </c>
      <c r="B322" t="s">
        <v>68</v>
      </c>
      <c r="C322" t="s">
        <v>69</v>
      </c>
      <c r="D322">
        <v>2016</v>
      </c>
      <c r="E322" t="s">
        <v>101</v>
      </c>
      <c r="F322">
        <v>123</v>
      </c>
      <c r="G322" t="s">
        <v>352</v>
      </c>
      <c r="H322">
        <f>electric_vehicles_dataset[[#This Row],[Battery_Capacity_kWh]]/electric_vehicles_dataset[[#This Row],[Range_km]]</f>
        <v>0.32283464566929132</v>
      </c>
      <c r="I322">
        <v>381</v>
      </c>
      <c r="J322" t="s">
        <v>34</v>
      </c>
      <c r="K322">
        <v>6</v>
      </c>
      <c r="L322" s="1">
        <v>108903.83</v>
      </c>
      <c r="M322" s="1" t="str" cm="1">
        <f t="array" ref="M32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22" t="s">
        <v>19</v>
      </c>
      <c r="O322" t="s">
        <v>139</v>
      </c>
      <c r="P322" s="2" t="s">
        <v>389</v>
      </c>
      <c r="Q322">
        <v>2</v>
      </c>
      <c r="R322" t="s">
        <v>391</v>
      </c>
      <c r="S322" s="1">
        <f>electric_vehicles_dataset[[#This Row],[Units_Sold_2024]]*electric_vehicles_dataset[[#This Row],[Price_USD]]</f>
        <v>1326448649.4000001</v>
      </c>
      <c r="T322">
        <v>4</v>
      </c>
      <c r="U322">
        <v>12180</v>
      </c>
      <c r="V322">
        <v>4</v>
      </c>
    </row>
    <row r="323" spans="1:22" x14ac:dyDescent="0.35">
      <c r="A323">
        <v>322</v>
      </c>
      <c r="B323" t="s">
        <v>51</v>
      </c>
      <c r="C323" t="s">
        <v>162</v>
      </c>
      <c r="D323">
        <v>2021</v>
      </c>
      <c r="E323" t="s">
        <v>26</v>
      </c>
      <c r="F323">
        <v>114.4</v>
      </c>
      <c r="G323" t="s">
        <v>361</v>
      </c>
      <c r="H323">
        <f>electric_vehicles_dataset[[#This Row],[Battery_Capacity_kWh]]/electric_vehicles_dataset[[#This Row],[Range_km]]</f>
        <v>0.27834549878345499</v>
      </c>
      <c r="I323">
        <v>411</v>
      </c>
      <c r="J323" t="s">
        <v>353</v>
      </c>
      <c r="K323">
        <v>7</v>
      </c>
      <c r="L323" s="1">
        <v>55671.38</v>
      </c>
      <c r="M323" s="1" t="str" cm="1">
        <f t="array" ref="M32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23" t="s">
        <v>168</v>
      </c>
      <c r="O323" t="s">
        <v>354</v>
      </c>
      <c r="P323" s="2" t="s">
        <v>394</v>
      </c>
      <c r="Q323">
        <v>2</v>
      </c>
      <c r="R323" t="s">
        <v>391</v>
      </c>
      <c r="S323" s="1">
        <f>electric_vehicles_dataset[[#This Row],[Units_Sold_2024]]*electric_vehicles_dataset[[#This Row],[Price_USD]]</f>
        <v>334028.27999999997</v>
      </c>
      <c r="T323">
        <v>4</v>
      </c>
      <c r="U323">
        <v>6</v>
      </c>
      <c r="V323">
        <v>5</v>
      </c>
    </row>
    <row r="324" spans="1:22" x14ac:dyDescent="0.35">
      <c r="A324">
        <v>323</v>
      </c>
      <c r="B324" t="s">
        <v>108</v>
      </c>
      <c r="C324" t="s">
        <v>369</v>
      </c>
      <c r="D324">
        <v>2024</v>
      </c>
      <c r="E324" t="s">
        <v>84</v>
      </c>
      <c r="F324">
        <v>87.3</v>
      </c>
      <c r="G324" t="s">
        <v>350</v>
      </c>
      <c r="H324">
        <f>electric_vehicles_dataset[[#This Row],[Battery_Capacity_kWh]]/electric_vehicles_dataset[[#This Row],[Range_km]]</f>
        <v>0.1572972972972973</v>
      </c>
      <c r="I324">
        <v>555</v>
      </c>
      <c r="J324" t="s">
        <v>54</v>
      </c>
      <c r="K324">
        <v>1</v>
      </c>
      <c r="L324" s="1">
        <v>148127.32999999999</v>
      </c>
      <c r="M324" s="1" t="str" cm="1">
        <f t="array" ref="M32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24" t="s">
        <v>205</v>
      </c>
      <c r="O324" t="s">
        <v>89</v>
      </c>
      <c r="P324" s="2" t="s">
        <v>389</v>
      </c>
      <c r="Q324">
        <v>2</v>
      </c>
      <c r="R324" t="s">
        <v>391</v>
      </c>
      <c r="S324" s="1">
        <f>electric_vehicles_dataset[[#This Row],[Units_Sold_2024]]*electric_vehicles_dataset[[#This Row],[Price_USD]]</f>
        <v>2687326020.8599997</v>
      </c>
      <c r="T324">
        <v>4</v>
      </c>
      <c r="U324">
        <v>18142</v>
      </c>
      <c r="V324">
        <v>5</v>
      </c>
    </row>
    <row r="325" spans="1:22" x14ac:dyDescent="0.35">
      <c r="A325">
        <v>324</v>
      </c>
      <c r="B325" t="s">
        <v>21</v>
      </c>
      <c r="C325" t="s">
        <v>349</v>
      </c>
      <c r="D325">
        <v>2016</v>
      </c>
      <c r="E325" t="s">
        <v>84</v>
      </c>
      <c r="F325">
        <v>79.8</v>
      </c>
      <c r="G325" t="s">
        <v>351</v>
      </c>
      <c r="H325">
        <f>electric_vehicles_dataset[[#This Row],[Battery_Capacity_kWh]]/electric_vehicles_dataset[[#This Row],[Range_km]]</f>
        <v>0.44581005586592176</v>
      </c>
      <c r="I325">
        <v>179</v>
      </c>
      <c r="J325" t="s">
        <v>18</v>
      </c>
      <c r="K325">
        <v>4</v>
      </c>
      <c r="L325" s="1">
        <v>136755.04</v>
      </c>
      <c r="M325" s="1" t="str" cm="1">
        <f t="array" ref="M32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25" t="s">
        <v>100</v>
      </c>
      <c r="O325" t="s">
        <v>159</v>
      </c>
      <c r="P325" s="2" t="s">
        <v>389</v>
      </c>
      <c r="Q325">
        <v>2</v>
      </c>
      <c r="R325" t="s">
        <v>391</v>
      </c>
      <c r="S325" s="1">
        <f>electric_vehicles_dataset[[#This Row],[Units_Sold_2024]]*electric_vehicles_dataset[[#This Row],[Price_USD]]</f>
        <v>345853496.16000003</v>
      </c>
      <c r="T325">
        <v>3</v>
      </c>
      <c r="U325">
        <v>2529</v>
      </c>
      <c r="V325">
        <v>5</v>
      </c>
    </row>
    <row r="326" spans="1:22" x14ac:dyDescent="0.35">
      <c r="A326">
        <v>325</v>
      </c>
      <c r="B326" t="s">
        <v>56</v>
      </c>
      <c r="C326" t="s">
        <v>57</v>
      </c>
      <c r="D326">
        <v>2017</v>
      </c>
      <c r="E326" t="s">
        <v>130</v>
      </c>
      <c r="F326">
        <v>127.3</v>
      </c>
      <c r="G326" t="s">
        <v>352</v>
      </c>
      <c r="H326">
        <f>electric_vehicles_dataset[[#This Row],[Battery_Capacity_kWh]]/electric_vehicles_dataset[[#This Row],[Range_km]]</f>
        <v>0.28101545253863136</v>
      </c>
      <c r="I326">
        <v>453</v>
      </c>
      <c r="J326" t="s">
        <v>48</v>
      </c>
      <c r="K326">
        <v>7</v>
      </c>
      <c r="L326" s="1">
        <v>66047.19</v>
      </c>
      <c r="M326" s="1" t="str" cm="1">
        <f t="array" ref="M32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26" t="s">
        <v>254</v>
      </c>
      <c r="O326" t="s">
        <v>182</v>
      </c>
      <c r="P326" s="2" t="s">
        <v>394</v>
      </c>
      <c r="Q326">
        <v>0</v>
      </c>
      <c r="R326" t="s">
        <v>390</v>
      </c>
      <c r="S326" s="1">
        <f>electric_vehicles_dataset[[#This Row],[Units_Sold_2024]]*electric_vehicles_dataset[[#This Row],[Price_USD]]</f>
        <v>901412049.12</v>
      </c>
      <c r="T326">
        <v>4</v>
      </c>
      <c r="U326">
        <v>13648</v>
      </c>
      <c r="V326">
        <v>3</v>
      </c>
    </row>
    <row r="327" spans="1:22" x14ac:dyDescent="0.35">
      <c r="A327">
        <v>326</v>
      </c>
      <c r="B327" t="s">
        <v>193</v>
      </c>
      <c r="C327" t="s">
        <v>194</v>
      </c>
      <c r="D327">
        <v>2025</v>
      </c>
      <c r="E327" t="s">
        <v>26</v>
      </c>
      <c r="F327">
        <v>98.3</v>
      </c>
      <c r="G327" t="s">
        <v>350</v>
      </c>
      <c r="H327">
        <f>electric_vehicles_dataset[[#This Row],[Battery_Capacity_kWh]]/electric_vehicles_dataset[[#This Row],[Range_km]]</f>
        <v>0.93619047619047613</v>
      </c>
      <c r="I327">
        <v>105</v>
      </c>
      <c r="J327" t="s">
        <v>34</v>
      </c>
      <c r="K327">
        <v>1</v>
      </c>
      <c r="L327" s="1">
        <v>92926</v>
      </c>
      <c r="M327" s="1" t="str" cm="1">
        <f t="array" ref="M32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27" t="s">
        <v>146</v>
      </c>
      <c r="O327" t="s">
        <v>107</v>
      </c>
      <c r="P327" s="2" t="s">
        <v>394</v>
      </c>
      <c r="Q327">
        <v>2</v>
      </c>
      <c r="R327" t="s">
        <v>391</v>
      </c>
      <c r="S327" s="1">
        <f>electric_vehicles_dataset[[#This Row],[Units_Sold_2024]]*electric_vehicles_dataset[[#This Row],[Price_USD]]</f>
        <v>1196236398</v>
      </c>
      <c r="T327">
        <v>3</v>
      </c>
      <c r="U327">
        <v>12873</v>
      </c>
      <c r="V327">
        <v>4</v>
      </c>
    </row>
    <row r="328" spans="1:22" x14ac:dyDescent="0.35">
      <c r="A328">
        <v>327</v>
      </c>
      <c r="B328" t="s">
        <v>51</v>
      </c>
      <c r="C328" t="s">
        <v>162</v>
      </c>
      <c r="D328">
        <v>2024</v>
      </c>
      <c r="E328" t="s">
        <v>47</v>
      </c>
      <c r="F328">
        <v>31.7</v>
      </c>
      <c r="G328" t="s">
        <v>357</v>
      </c>
      <c r="H328">
        <f>electric_vehicles_dataset[[#This Row],[Battery_Capacity_kWh]]/electric_vehicles_dataset[[#This Row],[Range_km]]</f>
        <v>9.8753894080996885E-2</v>
      </c>
      <c r="I328">
        <v>321</v>
      </c>
      <c r="J328" t="s">
        <v>54</v>
      </c>
      <c r="K328">
        <v>10</v>
      </c>
      <c r="L328" s="1">
        <v>47761.49</v>
      </c>
      <c r="M328" s="1" t="str" cm="1">
        <f t="array" ref="M32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28" t="s">
        <v>219</v>
      </c>
      <c r="O328" t="s">
        <v>20</v>
      </c>
      <c r="P328" s="2" t="s">
        <v>389</v>
      </c>
      <c r="Q328">
        <v>5</v>
      </c>
      <c r="R328" t="s">
        <v>392</v>
      </c>
      <c r="S328" s="1">
        <f>electric_vehicles_dataset[[#This Row],[Units_Sold_2024]]*electric_vehicles_dataset[[#This Row],[Price_USD]]</f>
        <v>623669536.41999996</v>
      </c>
      <c r="T328">
        <v>3</v>
      </c>
      <c r="U328">
        <v>13058</v>
      </c>
      <c r="V328">
        <v>5</v>
      </c>
    </row>
    <row r="329" spans="1:22" x14ac:dyDescent="0.35">
      <c r="A329">
        <v>328</v>
      </c>
      <c r="B329" t="s">
        <v>222</v>
      </c>
      <c r="C329" t="s">
        <v>231</v>
      </c>
      <c r="D329">
        <v>2017</v>
      </c>
      <c r="E329" t="s">
        <v>130</v>
      </c>
      <c r="F329">
        <v>92.7</v>
      </c>
      <c r="G329" t="s">
        <v>350</v>
      </c>
      <c r="H329">
        <f>electric_vehicles_dataset[[#This Row],[Battery_Capacity_kWh]]/electric_vehicles_dataset[[#This Row],[Range_km]]</f>
        <v>0.26561604584527221</v>
      </c>
      <c r="I329">
        <v>349</v>
      </c>
      <c r="J329" t="s">
        <v>34</v>
      </c>
      <c r="K329">
        <v>8</v>
      </c>
      <c r="L329" s="1">
        <v>53531.92</v>
      </c>
      <c r="M329" s="1" t="str" cm="1">
        <f t="array" ref="M3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29" t="s">
        <v>217</v>
      </c>
      <c r="O329" t="s">
        <v>121</v>
      </c>
      <c r="P329" s="2" t="s">
        <v>398</v>
      </c>
      <c r="Q329">
        <v>0</v>
      </c>
      <c r="R329" t="s">
        <v>390</v>
      </c>
      <c r="S329" s="1">
        <f>electric_vehicles_dataset[[#This Row],[Units_Sold_2024]]*electric_vehicles_dataset[[#This Row],[Price_USD]]</f>
        <v>1010361458.0799999</v>
      </c>
      <c r="T329">
        <v>5</v>
      </c>
      <c r="U329">
        <v>18874</v>
      </c>
      <c r="V329">
        <v>3</v>
      </c>
    </row>
    <row r="330" spans="1:22" x14ac:dyDescent="0.35">
      <c r="A330">
        <v>329</v>
      </c>
      <c r="B330" t="s">
        <v>64</v>
      </c>
      <c r="C330" t="s">
        <v>65</v>
      </c>
      <c r="D330">
        <v>2021</v>
      </c>
      <c r="E330" t="s">
        <v>104</v>
      </c>
      <c r="F330">
        <v>65.3</v>
      </c>
      <c r="G330" t="s">
        <v>351</v>
      </c>
      <c r="H330">
        <f>electric_vehicles_dataset[[#This Row],[Battery_Capacity_kWh]]/electric_vehicles_dataset[[#This Row],[Range_km]]</f>
        <v>0.24734848484848485</v>
      </c>
      <c r="I330">
        <v>264</v>
      </c>
      <c r="J330" t="s">
        <v>149</v>
      </c>
      <c r="K330">
        <v>7</v>
      </c>
      <c r="L330" s="1">
        <v>32904.82</v>
      </c>
      <c r="M330" s="1" t="str" cm="1">
        <f t="array" ref="M33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30" t="s">
        <v>127</v>
      </c>
      <c r="O330" t="s">
        <v>23</v>
      </c>
      <c r="P330" s="2" t="s">
        <v>389</v>
      </c>
      <c r="Q330">
        <v>4</v>
      </c>
      <c r="R330" t="s">
        <v>392</v>
      </c>
      <c r="S330" s="1">
        <f>electric_vehicles_dataset[[#This Row],[Units_Sold_2024]]*electric_vehicles_dataset[[#This Row],[Price_USD]]</f>
        <v>157219229.96000001</v>
      </c>
      <c r="T330">
        <v>5</v>
      </c>
      <c r="U330">
        <v>4778</v>
      </c>
      <c r="V330">
        <v>4</v>
      </c>
    </row>
    <row r="331" spans="1:22" x14ac:dyDescent="0.35">
      <c r="A331">
        <v>330</v>
      </c>
      <c r="B331" t="s">
        <v>108</v>
      </c>
      <c r="C331" t="s">
        <v>119</v>
      </c>
      <c r="D331">
        <v>2018</v>
      </c>
      <c r="E331" t="s">
        <v>73</v>
      </c>
      <c r="F331">
        <v>68.599999999999994</v>
      </c>
      <c r="G331" t="s">
        <v>351</v>
      </c>
      <c r="H331">
        <f>electric_vehicles_dataset[[#This Row],[Battery_Capacity_kWh]]/electric_vehicles_dataset[[#This Row],[Range_km]]</f>
        <v>0.1408624229979466</v>
      </c>
      <c r="I331">
        <v>487</v>
      </c>
      <c r="J331" t="s">
        <v>364</v>
      </c>
      <c r="K331">
        <v>2</v>
      </c>
      <c r="L331" s="1">
        <v>36544.559999999998</v>
      </c>
      <c r="M331" s="1" t="str" cm="1">
        <f t="array" ref="M33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31" t="s">
        <v>217</v>
      </c>
      <c r="O331" t="s">
        <v>44</v>
      </c>
      <c r="P331" s="2" t="s">
        <v>389</v>
      </c>
      <c r="Q331">
        <v>2</v>
      </c>
      <c r="R331" t="s">
        <v>391</v>
      </c>
      <c r="S331" s="1">
        <f>electric_vehicles_dataset[[#This Row],[Units_Sold_2024]]*electric_vehicles_dataset[[#This Row],[Price_USD]]</f>
        <v>365372510.88</v>
      </c>
      <c r="T331">
        <v>3</v>
      </c>
      <c r="U331">
        <v>9998</v>
      </c>
      <c r="V331">
        <v>4</v>
      </c>
    </row>
    <row r="332" spans="1:22" x14ac:dyDescent="0.35">
      <c r="A332">
        <v>331</v>
      </c>
      <c r="B332" t="s">
        <v>173</v>
      </c>
      <c r="C332" t="s">
        <v>249</v>
      </c>
      <c r="D332">
        <v>2020</v>
      </c>
      <c r="E332" t="s">
        <v>31</v>
      </c>
      <c r="F332">
        <v>116.2</v>
      </c>
      <c r="G332" t="s">
        <v>361</v>
      </c>
      <c r="H332">
        <f>electric_vehicles_dataset[[#This Row],[Battery_Capacity_kWh]]/electric_vehicles_dataset[[#This Row],[Range_km]]</f>
        <v>0.55865384615384617</v>
      </c>
      <c r="I332">
        <v>208</v>
      </c>
      <c r="J332" t="s">
        <v>359</v>
      </c>
      <c r="K332">
        <v>7</v>
      </c>
      <c r="L332" s="1">
        <v>120042.62</v>
      </c>
      <c r="M332" s="1" t="str" cm="1">
        <f t="array" ref="M33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32" t="s">
        <v>114</v>
      </c>
      <c r="O332" t="s">
        <v>226</v>
      </c>
      <c r="P332" s="2" t="s">
        <v>395</v>
      </c>
      <c r="Q332">
        <v>1</v>
      </c>
      <c r="R332" t="s">
        <v>391</v>
      </c>
      <c r="S332" s="1">
        <f>electric_vehicles_dataset[[#This Row],[Units_Sold_2024]]*electric_vehicles_dataset[[#This Row],[Price_USD]]</f>
        <v>2293174169.8600001</v>
      </c>
      <c r="T332">
        <v>4</v>
      </c>
      <c r="U332">
        <v>19103</v>
      </c>
      <c r="V332">
        <v>5</v>
      </c>
    </row>
    <row r="333" spans="1:22" x14ac:dyDescent="0.35">
      <c r="A333">
        <v>332</v>
      </c>
      <c r="B333" t="s">
        <v>207</v>
      </c>
      <c r="C333" t="s">
        <v>304</v>
      </c>
      <c r="D333">
        <v>2019</v>
      </c>
      <c r="E333" t="s">
        <v>101</v>
      </c>
      <c r="F333">
        <v>27.8</v>
      </c>
      <c r="G333" t="s">
        <v>357</v>
      </c>
      <c r="H333">
        <f>electric_vehicles_dataset[[#This Row],[Battery_Capacity_kWh]]/electric_vehicles_dataset[[#This Row],[Range_km]]</f>
        <v>0.13762376237623763</v>
      </c>
      <c r="I333">
        <v>202</v>
      </c>
      <c r="J333" t="s">
        <v>105</v>
      </c>
      <c r="K333">
        <v>1</v>
      </c>
      <c r="L333" s="1">
        <v>108570.94</v>
      </c>
      <c r="M333" s="1" t="str" cm="1">
        <f t="array" ref="M33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33" t="s">
        <v>22</v>
      </c>
      <c r="O333" t="s">
        <v>92</v>
      </c>
      <c r="P333" s="2" t="s">
        <v>394</v>
      </c>
      <c r="Q333">
        <v>2</v>
      </c>
      <c r="R333" t="s">
        <v>391</v>
      </c>
      <c r="S333" s="1">
        <f>electric_vehicles_dataset[[#This Row],[Units_Sold_2024]]*electric_vehicles_dataset[[#This Row],[Price_USD]]</f>
        <v>383798272.90000004</v>
      </c>
      <c r="T333">
        <v>4</v>
      </c>
      <c r="U333">
        <v>3535</v>
      </c>
      <c r="V333">
        <v>3</v>
      </c>
    </row>
    <row r="334" spans="1:22" x14ac:dyDescent="0.35">
      <c r="A334">
        <v>333</v>
      </c>
      <c r="B334" t="s">
        <v>176</v>
      </c>
      <c r="C334" t="s">
        <v>365</v>
      </c>
      <c r="D334">
        <v>2018</v>
      </c>
      <c r="E334" t="s">
        <v>42</v>
      </c>
      <c r="F334">
        <v>86.1</v>
      </c>
      <c r="G334" t="s">
        <v>350</v>
      </c>
      <c r="H334">
        <f>electric_vehicles_dataset[[#This Row],[Battery_Capacity_kWh]]/electric_vehicles_dataset[[#This Row],[Range_km]]</f>
        <v>0.18596112311015117</v>
      </c>
      <c r="I334">
        <v>463</v>
      </c>
      <c r="J334" t="s">
        <v>48</v>
      </c>
      <c r="K334">
        <v>11</v>
      </c>
      <c r="L334" s="1">
        <v>88159.46</v>
      </c>
      <c r="M334" s="1" t="str" cm="1">
        <f t="array" ref="M3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34" t="s">
        <v>160</v>
      </c>
      <c r="O334" t="s">
        <v>107</v>
      </c>
      <c r="P334" s="2" t="s">
        <v>394</v>
      </c>
      <c r="Q334">
        <v>2</v>
      </c>
      <c r="R334" t="s">
        <v>391</v>
      </c>
      <c r="S334" s="1">
        <f>electric_vehicles_dataset[[#This Row],[Units_Sold_2024]]*electric_vehicles_dataset[[#This Row],[Price_USD]]</f>
        <v>62064259.840000004</v>
      </c>
      <c r="T334">
        <v>5</v>
      </c>
      <c r="U334">
        <v>704</v>
      </c>
      <c r="V334">
        <v>3</v>
      </c>
    </row>
    <row r="335" spans="1:22" x14ac:dyDescent="0.35">
      <c r="A335">
        <v>334</v>
      </c>
      <c r="B335" t="s">
        <v>87</v>
      </c>
      <c r="C335" t="s">
        <v>305</v>
      </c>
      <c r="D335">
        <v>2020</v>
      </c>
      <c r="E335" t="s">
        <v>130</v>
      </c>
      <c r="F335">
        <v>71.099999999999994</v>
      </c>
      <c r="G335" t="s">
        <v>351</v>
      </c>
      <c r="H335">
        <f>electric_vehicles_dataset[[#This Row],[Battery_Capacity_kWh]]/electric_vehicles_dataset[[#This Row],[Range_km]]</f>
        <v>0.39499999999999996</v>
      </c>
      <c r="I335">
        <v>180</v>
      </c>
      <c r="J335" t="s">
        <v>76</v>
      </c>
      <c r="K335">
        <v>5</v>
      </c>
      <c r="L335" s="1">
        <v>72229.570000000007</v>
      </c>
      <c r="M335" s="1" t="str" cm="1">
        <f t="array" ref="M33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35" t="s">
        <v>238</v>
      </c>
      <c r="O335" t="s">
        <v>111</v>
      </c>
      <c r="P335" s="2" t="s">
        <v>389</v>
      </c>
      <c r="Q335">
        <v>4</v>
      </c>
      <c r="R335" t="s">
        <v>392</v>
      </c>
      <c r="S335" s="1">
        <f>electric_vehicles_dataset[[#This Row],[Units_Sold_2024]]*electric_vehicles_dataset[[#This Row],[Price_USD]]</f>
        <v>609834259.51000011</v>
      </c>
      <c r="T335">
        <v>4</v>
      </c>
      <c r="U335">
        <v>8443</v>
      </c>
      <c r="V335">
        <v>4</v>
      </c>
    </row>
    <row r="336" spans="1:22" x14ac:dyDescent="0.35">
      <c r="A336">
        <v>335</v>
      </c>
      <c r="B336" t="s">
        <v>241</v>
      </c>
      <c r="C336" t="s">
        <v>286</v>
      </c>
      <c r="D336">
        <v>2023</v>
      </c>
      <c r="E336" t="s">
        <v>133</v>
      </c>
      <c r="F336">
        <v>49.3</v>
      </c>
      <c r="G336" t="s">
        <v>348</v>
      </c>
      <c r="H336">
        <f>electric_vehicles_dataset[[#This Row],[Battery_Capacity_kWh]]/electric_vehicles_dataset[[#This Row],[Range_km]]</f>
        <v>0.17992700729927005</v>
      </c>
      <c r="I336">
        <v>274</v>
      </c>
      <c r="J336" t="s">
        <v>34</v>
      </c>
      <c r="K336">
        <v>8</v>
      </c>
      <c r="L336" s="1">
        <v>40535.4</v>
      </c>
      <c r="M336" s="1" t="str" cm="1">
        <f t="array" ref="M3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36" t="s">
        <v>28</v>
      </c>
      <c r="O336" t="s">
        <v>121</v>
      </c>
      <c r="P336" s="2" t="s">
        <v>398</v>
      </c>
      <c r="Q336">
        <v>4</v>
      </c>
      <c r="R336" t="s">
        <v>392</v>
      </c>
      <c r="S336" s="1">
        <f>electric_vehicles_dataset[[#This Row],[Units_Sold_2024]]*electric_vehicles_dataset[[#This Row],[Price_USD]]</f>
        <v>319256810.40000004</v>
      </c>
      <c r="T336">
        <v>4</v>
      </c>
      <c r="U336">
        <v>7876</v>
      </c>
      <c r="V336">
        <v>5</v>
      </c>
    </row>
    <row r="337" spans="1:22" x14ac:dyDescent="0.35">
      <c r="A337">
        <v>336</v>
      </c>
      <c r="B337" t="s">
        <v>153</v>
      </c>
      <c r="C337" t="s">
        <v>310</v>
      </c>
      <c r="D337">
        <v>2019</v>
      </c>
      <c r="E337" t="s">
        <v>53</v>
      </c>
      <c r="F337">
        <v>98.7</v>
      </c>
      <c r="G337" t="s">
        <v>350</v>
      </c>
      <c r="H337">
        <f>electric_vehicles_dataset[[#This Row],[Battery_Capacity_kWh]]/electric_vehicles_dataset[[#This Row],[Range_km]]</f>
        <v>0.3</v>
      </c>
      <c r="I337">
        <v>329</v>
      </c>
      <c r="J337" t="s">
        <v>18</v>
      </c>
      <c r="K337">
        <v>3</v>
      </c>
      <c r="L337" s="1">
        <v>46629.18</v>
      </c>
      <c r="M337" s="1" t="str" cm="1">
        <f t="array" ref="M3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37" t="s">
        <v>19</v>
      </c>
      <c r="O337" t="s">
        <v>63</v>
      </c>
      <c r="P337" s="2" t="s">
        <v>389</v>
      </c>
      <c r="Q337">
        <v>2</v>
      </c>
      <c r="R337" t="s">
        <v>391</v>
      </c>
      <c r="S337" s="1">
        <f>electric_vehicles_dataset[[#This Row],[Units_Sold_2024]]*electric_vehicles_dataset[[#This Row],[Price_USD]]</f>
        <v>657098404.56000006</v>
      </c>
      <c r="T337">
        <v>3</v>
      </c>
      <c r="U337">
        <v>14092</v>
      </c>
      <c r="V337">
        <v>3</v>
      </c>
    </row>
    <row r="338" spans="1:22" x14ac:dyDescent="0.35">
      <c r="A338">
        <v>337</v>
      </c>
      <c r="B338" t="s">
        <v>224</v>
      </c>
      <c r="C338" t="s">
        <v>297</v>
      </c>
      <c r="D338">
        <v>2020</v>
      </c>
      <c r="E338" t="s">
        <v>58</v>
      </c>
      <c r="F338">
        <v>92.5</v>
      </c>
      <c r="G338" t="s">
        <v>350</v>
      </c>
      <c r="H338">
        <f>electric_vehicles_dataset[[#This Row],[Battery_Capacity_kWh]]/electric_vehicles_dataset[[#This Row],[Range_km]]</f>
        <v>0.15811965811965811</v>
      </c>
      <c r="I338">
        <v>585</v>
      </c>
      <c r="J338" t="s">
        <v>48</v>
      </c>
      <c r="K338">
        <v>3</v>
      </c>
      <c r="L338" s="1">
        <v>130742.7</v>
      </c>
      <c r="M338" s="1" t="str" cm="1">
        <f t="array" ref="M33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38" t="s">
        <v>240</v>
      </c>
      <c r="O338" t="s">
        <v>135</v>
      </c>
      <c r="P338" s="2" t="s">
        <v>389</v>
      </c>
      <c r="Q338">
        <v>3</v>
      </c>
      <c r="R338" t="s">
        <v>397</v>
      </c>
      <c r="S338" s="1">
        <f>electric_vehicles_dataset[[#This Row],[Units_Sold_2024]]*electric_vehicles_dataset[[#This Row],[Price_USD]]</f>
        <v>1172892761.7</v>
      </c>
      <c r="T338">
        <v>5</v>
      </c>
      <c r="U338">
        <v>8971</v>
      </c>
      <c r="V338">
        <v>3</v>
      </c>
    </row>
    <row r="339" spans="1:22" x14ac:dyDescent="0.35">
      <c r="A339">
        <v>338</v>
      </c>
      <c r="B339" t="s">
        <v>193</v>
      </c>
      <c r="C339" t="s">
        <v>194</v>
      </c>
      <c r="D339">
        <v>2016</v>
      </c>
      <c r="E339" t="s">
        <v>101</v>
      </c>
      <c r="F339">
        <v>44</v>
      </c>
      <c r="G339" t="s">
        <v>348</v>
      </c>
      <c r="H339">
        <f>electric_vehicles_dataset[[#This Row],[Battery_Capacity_kWh]]/electric_vehicles_dataset[[#This Row],[Range_km]]</f>
        <v>8.9795918367346933E-2</v>
      </c>
      <c r="I339">
        <v>490</v>
      </c>
      <c r="J339" t="s">
        <v>105</v>
      </c>
      <c r="K339">
        <v>8</v>
      </c>
      <c r="L339" s="1">
        <v>103483.44</v>
      </c>
      <c r="M339" s="1" t="str" cm="1">
        <f t="array" ref="M33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39" t="s">
        <v>160</v>
      </c>
      <c r="O339" t="s">
        <v>159</v>
      </c>
      <c r="P339" s="2" t="s">
        <v>389</v>
      </c>
      <c r="Q339">
        <v>0</v>
      </c>
      <c r="R339" t="s">
        <v>390</v>
      </c>
      <c r="S339" s="1">
        <f>electric_vehicles_dataset[[#This Row],[Units_Sold_2024]]*electric_vehicles_dataset[[#This Row],[Price_USD]]</f>
        <v>454602751.92000002</v>
      </c>
      <c r="T339">
        <v>4</v>
      </c>
      <c r="U339">
        <v>4393</v>
      </c>
      <c r="V339">
        <v>5</v>
      </c>
    </row>
    <row r="340" spans="1:22" x14ac:dyDescent="0.35">
      <c r="A340">
        <v>339</v>
      </c>
      <c r="B340" t="s">
        <v>157</v>
      </c>
      <c r="C340" t="s">
        <v>158</v>
      </c>
      <c r="D340">
        <v>2025</v>
      </c>
      <c r="E340" t="s">
        <v>104</v>
      </c>
      <c r="F340">
        <v>43.9</v>
      </c>
      <c r="G340" t="s">
        <v>348</v>
      </c>
      <c r="H340">
        <f>electric_vehicles_dataset[[#This Row],[Battery_Capacity_kWh]]/electric_vehicles_dataset[[#This Row],[Range_km]]</f>
        <v>0.14731543624161073</v>
      </c>
      <c r="I340">
        <v>298</v>
      </c>
      <c r="J340" t="s">
        <v>356</v>
      </c>
      <c r="K340">
        <v>6</v>
      </c>
      <c r="L340" s="1">
        <v>49654.37</v>
      </c>
      <c r="M340" s="1" t="str" cm="1">
        <f t="array" ref="M34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40" t="s">
        <v>102</v>
      </c>
      <c r="O340" t="s">
        <v>95</v>
      </c>
      <c r="P340" s="2" t="s">
        <v>394</v>
      </c>
      <c r="Q340">
        <v>0</v>
      </c>
      <c r="R340" t="s">
        <v>390</v>
      </c>
      <c r="S340" s="1">
        <f>electric_vehicles_dataset[[#This Row],[Units_Sold_2024]]*electric_vehicles_dataset[[#This Row],[Price_USD]]</f>
        <v>330002943.02000004</v>
      </c>
      <c r="T340">
        <v>3</v>
      </c>
      <c r="U340">
        <v>6646</v>
      </c>
      <c r="V340">
        <v>3</v>
      </c>
    </row>
    <row r="341" spans="1:22" x14ac:dyDescent="0.35">
      <c r="A341">
        <v>340</v>
      </c>
      <c r="B341" t="s">
        <v>29</v>
      </c>
      <c r="C341" t="s">
        <v>197</v>
      </c>
      <c r="D341">
        <v>2022</v>
      </c>
      <c r="E341" t="s">
        <v>26</v>
      </c>
      <c r="F341">
        <v>100.2</v>
      </c>
      <c r="G341" t="s">
        <v>361</v>
      </c>
      <c r="H341">
        <f>electric_vehicles_dataset[[#This Row],[Battery_Capacity_kWh]]/electric_vehicles_dataset[[#This Row],[Range_km]]</f>
        <v>0.22168141592920354</v>
      </c>
      <c r="I341">
        <v>452</v>
      </c>
      <c r="J341" t="s">
        <v>38</v>
      </c>
      <c r="K341">
        <v>11</v>
      </c>
      <c r="L341" s="1">
        <v>136510.43</v>
      </c>
      <c r="M341" s="1" t="str" cm="1">
        <f t="array" ref="M34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41" t="s">
        <v>196</v>
      </c>
      <c r="O341" t="s">
        <v>164</v>
      </c>
      <c r="P341" s="2" t="s">
        <v>394</v>
      </c>
      <c r="Q341">
        <v>4</v>
      </c>
      <c r="R341" t="s">
        <v>392</v>
      </c>
      <c r="S341" s="1">
        <f>electric_vehicles_dataset[[#This Row],[Units_Sold_2024]]*electric_vehicles_dataset[[#This Row],[Price_USD]]</f>
        <v>1763032203.4499998</v>
      </c>
      <c r="T341">
        <v>4</v>
      </c>
      <c r="U341">
        <v>12915</v>
      </c>
      <c r="V341">
        <v>5</v>
      </c>
    </row>
    <row r="342" spans="1:22" x14ac:dyDescent="0.35">
      <c r="A342">
        <v>341</v>
      </c>
      <c r="B342" t="s">
        <v>269</v>
      </c>
      <c r="C342" t="s">
        <v>307</v>
      </c>
      <c r="D342">
        <v>2023</v>
      </c>
      <c r="E342" t="s">
        <v>58</v>
      </c>
      <c r="F342">
        <v>78.7</v>
      </c>
      <c r="G342" t="s">
        <v>351</v>
      </c>
      <c r="H342">
        <f>electric_vehicles_dataset[[#This Row],[Battery_Capacity_kWh]]/electric_vehicles_dataset[[#This Row],[Range_km]]</f>
        <v>0.15047801147227535</v>
      </c>
      <c r="I342">
        <v>523</v>
      </c>
      <c r="J342" t="s">
        <v>27</v>
      </c>
      <c r="K342">
        <v>11</v>
      </c>
      <c r="L342" s="1">
        <v>59486.6</v>
      </c>
      <c r="M342" s="1" t="str" cm="1">
        <f t="array" ref="M34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42" t="s">
        <v>19</v>
      </c>
      <c r="O342" t="s">
        <v>164</v>
      </c>
      <c r="P342" s="2" t="s">
        <v>394</v>
      </c>
      <c r="Q342">
        <v>0</v>
      </c>
      <c r="R342" t="s">
        <v>390</v>
      </c>
      <c r="S342" s="1">
        <f>electric_vehicles_dataset[[#This Row],[Units_Sold_2024]]*electric_vehicles_dataset[[#This Row],[Price_USD]]</f>
        <v>96070859</v>
      </c>
      <c r="T342">
        <v>5</v>
      </c>
      <c r="U342">
        <v>1615</v>
      </c>
      <c r="V342">
        <v>3</v>
      </c>
    </row>
    <row r="343" spans="1:22" x14ac:dyDescent="0.35">
      <c r="A343">
        <v>342</v>
      </c>
      <c r="B343" t="s">
        <v>176</v>
      </c>
      <c r="C343" t="s">
        <v>365</v>
      </c>
      <c r="D343">
        <v>2021</v>
      </c>
      <c r="E343" t="s">
        <v>53</v>
      </c>
      <c r="F343">
        <v>59.6</v>
      </c>
      <c r="G343" t="s">
        <v>348</v>
      </c>
      <c r="H343">
        <f>electric_vehicles_dataset[[#This Row],[Battery_Capacity_kWh]]/electric_vehicles_dataset[[#This Row],[Range_km]]</f>
        <v>0.11395793499043977</v>
      </c>
      <c r="I343">
        <v>523</v>
      </c>
      <c r="J343" t="s">
        <v>54</v>
      </c>
      <c r="K343">
        <v>6</v>
      </c>
      <c r="L343" s="1">
        <v>80695.460000000006</v>
      </c>
      <c r="M343" s="1" t="str" cm="1">
        <f t="array" ref="M34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43" t="s">
        <v>217</v>
      </c>
      <c r="O343" t="s">
        <v>67</v>
      </c>
      <c r="P343" s="2" t="s">
        <v>394</v>
      </c>
      <c r="Q343">
        <v>1</v>
      </c>
      <c r="R343" t="s">
        <v>391</v>
      </c>
      <c r="S343" s="1">
        <f>electric_vehicles_dataset[[#This Row],[Units_Sold_2024]]*electric_vehicles_dataset[[#This Row],[Price_USD]]</f>
        <v>1323809021.3000002</v>
      </c>
      <c r="T343">
        <v>3</v>
      </c>
      <c r="U343">
        <v>16405</v>
      </c>
      <c r="V343">
        <v>3</v>
      </c>
    </row>
    <row r="344" spans="1:22" x14ac:dyDescent="0.35">
      <c r="A344">
        <v>343</v>
      </c>
      <c r="B344" t="s">
        <v>120</v>
      </c>
      <c r="C344" t="s">
        <v>288</v>
      </c>
      <c r="D344">
        <v>2021</v>
      </c>
      <c r="E344" t="s">
        <v>42</v>
      </c>
      <c r="F344">
        <v>62</v>
      </c>
      <c r="G344" t="s">
        <v>351</v>
      </c>
      <c r="H344">
        <f>electric_vehicles_dataset[[#This Row],[Battery_Capacity_kWh]]/electric_vehicles_dataset[[#This Row],[Range_km]]</f>
        <v>0.5535714285714286</v>
      </c>
      <c r="I344">
        <v>112</v>
      </c>
      <c r="J344" t="s">
        <v>85</v>
      </c>
      <c r="K344">
        <v>6</v>
      </c>
      <c r="L344" s="1">
        <v>137594.1</v>
      </c>
      <c r="M344" s="1" t="str" cm="1">
        <f t="array" ref="M3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44" t="s">
        <v>55</v>
      </c>
      <c r="O344" t="s">
        <v>40</v>
      </c>
      <c r="P344" s="2" t="s">
        <v>395</v>
      </c>
      <c r="Q344">
        <v>1</v>
      </c>
      <c r="R344" t="s">
        <v>391</v>
      </c>
      <c r="S344" s="1">
        <f>electric_vehicles_dataset[[#This Row],[Units_Sold_2024]]*electric_vehicles_dataset[[#This Row],[Price_USD]]</f>
        <v>739293099.30000007</v>
      </c>
      <c r="T344">
        <v>5</v>
      </c>
      <c r="U344">
        <v>5373</v>
      </c>
      <c r="V344">
        <v>5</v>
      </c>
    </row>
    <row r="345" spans="1:22" x14ac:dyDescent="0.35">
      <c r="A345">
        <v>344</v>
      </c>
      <c r="B345" t="s">
        <v>259</v>
      </c>
      <c r="C345" t="s">
        <v>311</v>
      </c>
      <c r="D345">
        <v>2016</v>
      </c>
      <c r="E345" t="s">
        <v>58</v>
      </c>
      <c r="F345">
        <v>111.8</v>
      </c>
      <c r="G345" t="s">
        <v>361</v>
      </c>
      <c r="H345">
        <f>electric_vehicles_dataset[[#This Row],[Battery_Capacity_kWh]]/electric_vehicles_dataset[[#This Row],[Range_km]]</f>
        <v>0.26367924528301884</v>
      </c>
      <c r="I345">
        <v>424</v>
      </c>
      <c r="J345" t="s">
        <v>149</v>
      </c>
      <c r="K345">
        <v>2</v>
      </c>
      <c r="L345" s="1">
        <v>114873.49</v>
      </c>
      <c r="M345" s="1" t="str" cm="1">
        <f t="array" ref="M3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45" t="s">
        <v>254</v>
      </c>
      <c r="O345" t="s">
        <v>206</v>
      </c>
      <c r="P345" s="2" t="s">
        <v>394</v>
      </c>
      <c r="Q345">
        <v>1</v>
      </c>
      <c r="R345" t="s">
        <v>391</v>
      </c>
      <c r="S345" s="1">
        <f>electric_vehicles_dataset[[#This Row],[Units_Sold_2024]]*electric_vehicles_dataset[[#This Row],[Price_USD]]</f>
        <v>1261655540.6700001</v>
      </c>
      <c r="T345">
        <v>3</v>
      </c>
      <c r="U345">
        <v>10983</v>
      </c>
      <c r="V345">
        <v>5</v>
      </c>
    </row>
    <row r="346" spans="1:22" x14ac:dyDescent="0.35">
      <c r="A346">
        <v>345</v>
      </c>
      <c r="B346" t="s">
        <v>68</v>
      </c>
      <c r="C346" t="s">
        <v>103</v>
      </c>
      <c r="D346">
        <v>2017</v>
      </c>
      <c r="E346" t="s">
        <v>26</v>
      </c>
      <c r="F346">
        <v>38.799999999999997</v>
      </c>
      <c r="G346" t="s">
        <v>357</v>
      </c>
      <c r="H346">
        <f>electric_vehicles_dataset[[#This Row],[Battery_Capacity_kWh]]/electric_vehicles_dataset[[#This Row],[Range_km]]</f>
        <v>7.870182555780933E-2</v>
      </c>
      <c r="I346">
        <v>493</v>
      </c>
      <c r="J346" t="s">
        <v>27</v>
      </c>
      <c r="K346">
        <v>5</v>
      </c>
      <c r="L346" s="1">
        <v>67142.2</v>
      </c>
      <c r="M346" s="1" t="str" cm="1">
        <f t="array" ref="M3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46" t="s">
        <v>168</v>
      </c>
      <c r="O346" t="s">
        <v>236</v>
      </c>
      <c r="P346" s="2" t="s">
        <v>394</v>
      </c>
      <c r="Q346">
        <v>1</v>
      </c>
      <c r="R346" t="s">
        <v>391</v>
      </c>
      <c r="S346" s="1">
        <f>electric_vehicles_dataset[[#This Row],[Units_Sold_2024]]*electric_vehicles_dataset[[#This Row],[Price_USD]]</f>
        <v>7721353</v>
      </c>
      <c r="T346">
        <v>3</v>
      </c>
      <c r="U346">
        <v>115</v>
      </c>
      <c r="V346">
        <v>5</v>
      </c>
    </row>
    <row r="347" spans="1:22" x14ac:dyDescent="0.35">
      <c r="A347">
        <v>346</v>
      </c>
      <c r="B347" t="s">
        <v>51</v>
      </c>
      <c r="C347" t="s">
        <v>239</v>
      </c>
      <c r="D347">
        <v>2015</v>
      </c>
      <c r="E347" t="s">
        <v>130</v>
      </c>
      <c r="F347">
        <v>84.7</v>
      </c>
      <c r="G347" t="s">
        <v>350</v>
      </c>
      <c r="H347">
        <f>electric_vehicles_dataset[[#This Row],[Battery_Capacity_kWh]]/electric_vehicles_dataset[[#This Row],[Range_km]]</f>
        <v>0.23859154929577467</v>
      </c>
      <c r="I347">
        <v>355</v>
      </c>
      <c r="J347" t="s">
        <v>76</v>
      </c>
      <c r="K347">
        <v>8</v>
      </c>
      <c r="L347" s="1">
        <v>89216.02</v>
      </c>
      <c r="M347" s="1" t="str" cm="1">
        <f t="array" ref="M3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47" t="s">
        <v>205</v>
      </c>
      <c r="O347" t="s">
        <v>167</v>
      </c>
      <c r="P347" s="2" t="s">
        <v>394</v>
      </c>
      <c r="Q347">
        <v>3</v>
      </c>
      <c r="R347" t="s">
        <v>397</v>
      </c>
      <c r="S347" s="1">
        <f>electric_vehicles_dataset[[#This Row],[Units_Sold_2024]]*electric_vehicles_dataset[[#This Row],[Price_USD]]</f>
        <v>1754343817.28</v>
      </c>
      <c r="T347">
        <v>4</v>
      </c>
      <c r="U347">
        <v>19664</v>
      </c>
      <c r="V347">
        <v>3</v>
      </c>
    </row>
    <row r="348" spans="1:22" x14ac:dyDescent="0.35">
      <c r="A348">
        <v>347</v>
      </c>
      <c r="B348" t="s">
        <v>87</v>
      </c>
      <c r="C348" t="s">
        <v>305</v>
      </c>
      <c r="D348">
        <v>2024</v>
      </c>
      <c r="E348" t="s">
        <v>73</v>
      </c>
      <c r="F348">
        <v>92.5</v>
      </c>
      <c r="G348" t="s">
        <v>350</v>
      </c>
      <c r="H348">
        <f>electric_vehicles_dataset[[#This Row],[Battery_Capacity_kWh]]/electric_vehicles_dataset[[#This Row],[Range_km]]</f>
        <v>0.17720306513409961</v>
      </c>
      <c r="I348">
        <v>522</v>
      </c>
      <c r="J348" t="s">
        <v>359</v>
      </c>
      <c r="K348">
        <v>1</v>
      </c>
      <c r="L348" s="1">
        <v>47790.74</v>
      </c>
      <c r="M348" s="1" t="str" cm="1">
        <f t="array" ref="M3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48" t="s">
        <v>39</v>
      </c>
      <c r="O348" t="s">
        <v>202</v>
      </c>
      <c r="P348" s="2" t="s">
        <v>393</v>
      </c>
      <c r="Q348">
        <v>3</v>
      </c>
      <c r="R348" t="s">
        <v>397</v>
      </c>
      <c r="S348" s="1">
        <f>electric_vehicles_dataset[[#This Row],[Units_Sold_2024]]*electric_vehicles_dataset[[#This Row],[Price_USD]]</f>
        <v>467345646.45999998</v>
      </c>
      <c r="T348">
        <v>5</v>
      </c>
      <c r="U348">
        <v>9779</v>
      </c>
      <c r="V348">
        <v>4</v>
      </c>
    </row>
    <row r="349" spans="1:22" x14ac:dyDescent="0.35">
      <c r="A349">
        <v>348</v>
      </c>
      <c r="B349" t="s">
        <v>200</v>
      </c>
      <c r="C349" t="s">
        <v>201</v>
      </c>
      <c r="D349">
        <v>2016</v>
      </c>
      <c r="E349" t="s">
        <v>42</v>
      </c>
      <c r="F349">
        <v>149.19999999999999</v>
      </c>
      <c r="G349" t="s">
        <v>386</v>
      </c>
      <c r="H349">
        <f>electric_vehicles_dataset[[#This Row],[Battery_Capacity_kWh]]/electric_vehicles_dataset[[#This Row],[Range_km]]</f>
        <v>0.81978021978021975</v>
      </c>
      <c r="I349">
        <v>182</v>
      </c>
      <c r="J349" t="s">
        <v>54</v>
      </c>
      <c r="K349">
        <v>8</v>
      </c>
      <c r="L349" s="1">
        <v>112981.63</v>
      </c>
      <c r="M349" s="1" t="str" cm="1">
        <f t="array" ref="M34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49" t="s">
        <v>160</v>
      </c>
      <c r="O349" t="s">
        <v>182</v>
      </c>
      <c r="P349" s="2" t="s">
        <v>394</v>
      </c>
      <c r="Q349">
        <v>1</v>
      </c>
      <c r="R349" t="s">
        <v>391</v>
      </c>
      <c r="S349" s="1">
        <f>electric_vehicles_dataset[[#This Row],[Units_Sold_2024]]*electric_vehicles_dataset[[#This Row],[Price_USD]]</f>
        <v>132640433.62</v>
      </c>
      <c r="T349">
        <v>4</v>
      </c>
      <c r="U349">
        <v>1174</v>
      </c>
      <c r="V349">
        <v>3</v>
      </c>
    </row>
    <row r="350" spans="1:22" x14ac:dyDescent="0.35">
      <c r="A350">
        <v>349</v>
      </c>
      <c r="B350" t="s">
        <v>193</v>
      </c>
      <c r="C350" t="s">
        <v>312</v>
      </c>
      <c r="D350">
        <v>2020</v>
      </c>
      <c r="E350" t="s">
        <v>104</v>
      </c>
      <c r="F350">
        <v>136.69999999999999</v>
      </c>
      <c r="G350" t="s">
        <v>352</v>
      </c>
      <c r="H350">
        <f>electric_vehicles_dataset[[#This Row],[Battery_Capacity_kWh]]/electric_vehicles_dataset[[#This Row],[Range_km]]</f>
        <v>0.26339113680154141</v>
      </c>
      <c r="I350">
        <v>519</v>
      </c>
      <c r="J350" t="s">
        <v>364</v>
      </c>
      <c r="K350">
        <v>9</v>
      </c>
      <c r="L350" s="1">
        <v>131197.16</v>
      </c>
      <c r="M350" s="1" t="str" cm="1">
        <f t="array" ref="M35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50" t="s">
        <v>228</v>
      </c>
      <c r="O350" t="s">
        <v>265</v>
      </c>
      <c r="P350" s="2" t="s">
        <v>389</v>
      </c>
      <c r="Q350">
        <v>0</v>
      </c>
      <c r="R350" t="s">
        <v>390</v>
      </c>
      <c r="S350" s="1">
        <f>electric_vehicles_dataset[[#This Row],[Units_Sold_2024]]*electric_vehicles_dataset[[#This Row],[Price_USD]]</f>
        <v>1778771095.28</v>
      </c>
      <c r="T350">
        <v>5</v>
      </c>
      <c r="U350">
        <v>13558</v>
      </c>
      <c r="V350">
        <v>5</v>
      </c>
    </row>
    <row r="351" spans="1:22" x14ac:dyDescent="0.35">
      <c r="A351">
        <v>350</v>
      </c>
      <c r="B351" t="s">
        <v>192</v>
      </c>
      <c r="C351" t="s">
        <v>366</v>
      </c>
      <c r="D351">
        <v>2018</v>
      </c>
      <c r="E351" t="s">
        <v>90</v>
      </c>
      <c r="F351">
        <v>27.6</v>
      </c>
      <c r="G351" t="s">
        <v>357</v>
      </c>
      <c r="H351">
        <f>electric_vehicles_dataset[[#This Row],[Battery_Capacity_kWh]]/electric_vehicles_dataset[[#This Row],[Range_km]]</f>
        <v>7.040816326530612E-2</v>
      </c>
      <c r="I351">
        <v>392</v>
      </c>
      <c r="J351" t="s">
        <v>364</v>
      </c>
      <c r="K351">
        <v>6</v>
      </c>
      <c r="L351" s="1">
        <v>112638.51</v>
      </c>
      <c r="M351" s="1" t="str" cm="1">
        <f t="array" ref="M35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51" t="s">
        <v>81</v>
      </c>
      <c r="O351" t="s">
        <v>265</v>
      </c>
      <c r="P351" s="2" t="s">
        <v>389</v>
      </c>
      <c r="Q351">
        <v>2</v>
      </c>
      <c r="R351" t="s">
        <v>391</v>
      </c>
      <c r="S351" s="1">
        <f>electric_vehicles_dataset[[#This Row],[Units_Sold_2024]]*electric_vehicles_dataset[[#This Row],[Price_USD]]</f>
        <v>1306043523.45</v>
      </c>
      <c r="T351">
        <v>5</v>
      </c>
      <c r="U351">
        <v>11595</v>
      </c>
      <c r="V351">
        <v>3</v>
      </c>
    </row>
    <row r="352" spans="1:22" x14ac:dyDescent="0.35">
      <c r="A352">
        <v>351</v>
      </c>
      <c r="B352" t="s">
        <v>155</v>
      </c>
      <c r="C352" t="s">
        <v>190</v>
      </c>
      <c r="D352">
        <v>2023</v>
      </c>
      <c r="E352" t="s">
        <v>17</v>
      </c>
      <c r="F352">
        <v>102.1</v>
      </c>
      <c r="G352" t="s">
        <v>361</v>
      </c>
      <c r="H352">
        <f>electric_vehicles_dataset[[#This Row],[Battery_Capacity_kWh]]/electric_vehicles_dataset[[#This Row],[Range_km]]</f>
        <v>0.29005681818181817</v>
      </c>
      <c r="I352">
        <v>352</v>
      </c>
      <c r="J352" t="s">
        <v>85</v>
      </c>
      <c r="K352">
        <v>11</v>
      </c>
      <c r="L352" s="1">
        <v>57926.6</v>
      </c>
      <c r="M352" s="1" t="str" cm="1">
        <f t="array" ref="M35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52" t="s">
        <v>179</v>
      </c>
      <c r="O352" t="s">
        <v>63</v>
      </c>
      <c r="P352" s="2" t="s">
        <v>389</v>
      </c>
      <c r="Q352">
        <v>2</v>
      </c>
      <c r="R352" t="s">
        <v>391</v>
      </c>
      <c r="S352" s="1">
        <f>electric_vehicles_dataset[[#This Row],[Units_Sold_2024]]*electric_vehicles_dataset[[#This Row],[Price_USD]]</f>
        <v>393495393.80000001</v>
      </c>
      <c r="T352">
        <v>3</v>
      </c>
      <c r="U352">
        <v>6793</v>
      </c>
      <c r="V352">
        <v>5</v>
      </c>
    </row>
    <row r="353" spans="1:22" x14ac:dyDescent="0.35">
      <c r="A353">
        <v>352</v>
      </c>
      <c r="B353" t="s">
        <v>125</v>
      </c>
      <c r="C353" t="s">
        <v>126</v>
      </c>
      <c r="D353">
        <v>2015</v>
      </c>
      <c r="E353" t="s">
        <v>104</v>
      </c>
      <c r="F353">
        <v>65.5</v>
      </c>
      <c r="G353" t="s">
        <v>351</v>
      </c>
      <c r="H353">
        <f>electric_vehicles_dataset[[#This Row],[Battery_Capacity_kWh]]/electric_vehicles_dataset[[#This Row],[Range_km]]</f>
        <v>0.1279296875</v>
      </c>
      <c r="I353">
        <v>512</v>
      </c>
      <c r="J353" t="s">
        <v>359</v>
      </c>
      <c r="K353">
        <v>1</v>
      </c>
      <c r="L353" s="1">
        <v>54142.46</v>
      </c>
      <c r="M353" s="1" t="str" cm="1">
        <f t="array" ref="M35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53" t="s">
        <v>179</v>
      </c>
      <c r="O353" t="s">
        <v>161</v>
      </c>
      <c r="P353" s="2" t="s">
        <v>389</v>
      </c>
      <c r="Q353">
        <v>2</v>
      </c>
      <c r="R353" t="s">
        <v>391</v>
      </c>
      <c r="S353" s="1">
        <f>electric_vehicles_dataset[[#This Row],[Units_Sold_2024]]*electric_vehicles_dataset[[#This Row],[Price_USD]]</f>
        <v>201951375.79999998</v>
      </c>
      <c r="T353">
        <v>3</v>
      </c>
      <c r="U353">
        <v>3730</v>
      </c>
      <c r="V353">
        <v>5</v>
      </c>
    </row>
    <row r="354" spans="1:22" x14ac:dyDescent="0.35">
      <c r="A354">
        <v>353</v>
      </c>
      <c r="B354" t="s">
        <v>313</v>
      </c>
      <c r="C354" t="s">
        <v>314</v>
      </c>
      <c r="D354">
        <v>2021</v>
      </c>
      <c r="E354" t="s">
        <v>17</v>
      </c>
      <c r="F354">
        <v>94</v>
      </c>
      <c r="G354" t="s">
        <v>350</v>
      </c>
      <c r="H354">
        <f>electric_vehicles_dataset[[#This Row],[Battery_Capacity_kWh]]/electric_vehicles_dataset[[#This Row],[Range_km]]</f>
        <v>0.15905245346869712</v>
      </c>
      <c r="I354">
        <v>591</v>
      </c>
      <c r="J354" t="s">
        <v>76</v>
      </c>
      <c r="K354">
        <v>10</v>
      </c>
      <c r="L354" s="1">
        <v>53281.87</v>
      </c>
      <c r="M354" s="1" t="str" cm="1">
        <f t="array" ref="M3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54" t="s">
        <v>142</v>
      </c>
      <c r="O354" t="s">
        <v>50</v>
      </c>
      <c r="P354" s="2" t="s">
        <v>396</v>
      </c>
      <c r="Q354">
        <v>3</v>
      </c>
      <c r="R354" t="s">
        <v>397</v>
      </c>
      <c r="S354" s="1">
        <f>electric_vehicles_dataset[[#This Row],[Units_Sold_2024]]*electric_vehicles_dataset[[#This Row],[Price_USD]]</f>
        <v>236997757.76000002</v>
      </c>
      <c r="T354">
        <v>5</v>
      </c>
      <c r="U354">
        <v>4448</v>
      </c>
      <c r="V354">
        <v>4</v>
      </c>
    </row>
    <row r="355" spans="1:22" x14ac:dyDescent="0.35">
      <c r="A355">
        <v>354</v>
      </c>
      <c r="B355" t="s">
        <v>153</v>
      </c>
      <c r="C355" t="s">
        <v>310</v>
      </c>
      <c r="D355">
        <v>2023</v>
      </c>
      <c r="E355" t="s">
        <v>53</v>
      </c>
      <c r="F355">
        <v>63.6</v>
      </c>
      <c r="G355" t="s">
        <v>351</v>
      </c>
      <c r="H355">
        <f>electric_vehicles_dataset[[#This Row],[Battery_Capacity_kWh]]/electric_vehicles_dataset[[#This Row],[Range_km]]</f>
        <v>0.12694610778443113</v>
      </c>
      <c r="I355">
        <v>501</v>
      </c>
      <c r="J355" t="s">
        <v>358</v>
      </c>
      <c r="K355">
        <v>11</v>
      </c>
      <c r="L355" s="1">
        <v>36722.67</v>
      </c>
      <c r="M355" s="1" t="str" cm="1">
        <f t="array" ref="M35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55" t="s">
        <v>212</v>
      </c>
      <c r="O355" t="s">
        <v>111</v>
      </c>
      <c r="P355" s="2" t="s">
        <v>389</v>
      </c>
      <c r="Q355">
        <v>5</v>
      </c>
      <c r="R355" t="s">
        <v>392</v>
      </c>
      <c r="S355" s="1">
        <f>electric_vehicles_dataset[[#This Row],[Units_Sold_2024]]*electric_vehicles_dataset[[#This Row],[Price_USD]]</f>
        <v>694792916.39999998</v>
      </c>
      <c r="T355">
        <v>3</v>
      </c>
      <c r="U355">
        <v>18920</v>
      </c>
      <c r="V355">
        <v>5</v>
      </c>
    </row>
    <row r="356" spans="1:22" x14ac:dyDescent="0.35">
      <c r="A356">
        <v>355</v>
      </c>
      <c r="B356" t="s">
        <v>313</v>
      </c>
      <c r="C356" t="s">
        <v>314</v>
      </c>
      <c r="D356">
        <v>2016</v>
      </c>
      <c r="E356" t="s">
        <v>101</v>
      </c>
      <c r="F356">
        <v>56.5</v>
      </c>
      <c r="G356" t="s">
        <v>348</v>
      </c>
      <c r="H356">
        <f>electric_vehicles_dataset[[#This Row],[Battery_Capacity_kWh]]/electric_vehicles_dataset[[#This Row],[Range_km]]</f>
        <v>0.49130434782608695</v>
      </c>
      <c r="I356">
        <v>115</v>
      </c>
      <c r="J356" t="s">
        <v>38</v>
      </c>
      <c r="K356">
        <v>12</v>
      </c>
      <c r="L356" s="1">
        <v>105181.3</v>
      </c>
      <c r="M356" s="1" t="str" cm="1">
        <f t="array" ref="M3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56" t="s">
        <v>142</v>
      </c>
      <c r="O356" t="s">
        <v>23</v>
      </c>
      <c r="P356" s="2" t="s">
        <v>389</v>
      </c>
      <c r="Q356">
        <v>3</v>
      </c>
      <c r="R356" t="s">
        <v>397</v>
      </c>
      <c r="S356" s="1">
        <f>electric_vehicles_dataset[[#This Row],[Units_Sold_2024]]*electric_vehicles_dataset[[#This Row],[Price_USD]]</f>
        <v>1083893296.5</v>
      </c>
      <c r="T356">
        <v>4</v>
      </c>
      <c r="U356">
        <v>10305</v>
      </c>
      <c r="V356">
        <v>5</v>
      </c>
    </row>
    <row r="357" spans="1:22" x14ac:dyDescent="0.35">
      <c r="A357">
        <v>356</v>
      </c>
      <c r="B357" t="s">
        <v>108</v>
      </c>
      <c r="C357" t="s">
        <v>369</v>
      </c>
      <c r="D357">
        <v>2021</v>
      </c>
      <c r="E357" t="s">
        <v>58</v>
      </c>
      <c r="F357">
        <v>84.6</v>
      </c>
      <c r="G357" t="s">
        <v>350</v>
      </c>
      <c r="H357">
        <f>electric_vehicles_dataset[[#This Row],[Battery_Capacity_kWh]]/electric_vehicles_dataset[[#This Row],[Range_km]]</f>
        <v>0.38280542986425337</v>
      </c>
      <c r="I357">
        <v>221</v>
      </c>
      <c r="J357" t="s">
        <v>149</v>
      </c>
      <c r="K357">
        <v>6</v>
      </c>
      <c r="L357" s="1">
        <v>144087.21</v>
      </c>
      <c r="M357" s="1" t="str" cm="1">
        <f t="array" ref="M35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57" t="s">
        <v>205</v>
      </c>
      <c r="O357" t="s">
        <v>121</v>
      </c>
      <c r="P357" s="2" t="s">
        <v>398</v>
      </c>
      <c r="Q357">
        <v>0</v>
      </c>
      <c r="R357" t="s">
        <v>390</v>
      </c>
      <c r="S357" s="1">
        <f>electric_vehicles_dataset[[#This Row],[Units_Sold_2024]]*electric_vehicles_dataset[[#This Row],[Price_USD]]</f>
        <v>954145504.62</v>
      </c>
      <c r="T357">
        <v>4</v>
      </c>
      <c r="U357">
        <v>6622</v>
      </c>
      <c r="V357">
        <v>3</v>
      </c>
    </row>
    <row r="358" spans="1:22" x14ac:dyDescent="0.35">
      <c r="A358">
        <v>357</v>
      </c>
      <c r="B358" t="s">
        <v>96</v>
      </c>
      <c r="C358" t="s">
        <v>97</v>
      </c>
      <c r="D358">
        <v>2015</v>
      </c>
      <c r="E358" t="s">
        <v>183</v>
      </c>
      <c r="F358">
        <v>82.7</v>
      </c>
      <c r="G358" t="s">
        <v>350</v>
      </c>
      <c r="H358">
        <f>electric_vehicles_dataset[[#This Row],[Battery_Capacity_kWh]]/electric_vehicles_dataset[[#This Row],[Range_km]]</f>
        <v>0.23230337078651686</v>
      </c>
      <c r="I358">
        <v>356</v>
      </c>
      <c r="J358" t="s">
        <v>18</v>
      </c>
      <c r="K358">
        <v>3</v>
      </c>
      <c r="L358" s="1">
        <v>140836.41</v>
      </c>
      <c r="M358" s="1" t="str" cm="1">
        <f t="array" ref="M35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58" t="s">
        <v>254</v>
      </c>
      <c r="O358" t="s">
        <v>121</v>
      </c>
      <c r="P358" s="2" t="s">
        <v>398</v>
      </c>
      <c r="Q358">
        <v>2</v>
      </c>
      <c r="R358" t="s">
        <v>391</v>
      </c>
      <c r="S358" s="1">
        <f>electric_vehicles_dataset[[#This Row],[Units_Sold_2024]]*electric_vehicles_dataset[[#This Row],[Price_USD]]</f>
        <v>612356710.68000007</v>
      </c>
      <c r="T358">
        <v>5</v>
      </c>
      <c r="U358">
        <v>4348</v>
      </c>
      <c r="V358">
        <v>3</v>
      </c>
    </row>
    <row r="359" spans="1:22" x14ac:dyDescent="0.35">
      <c r="A359">
        <v>358</v>
      </c>
      <c r="B359" t="s">
        <v>259</v>
      </c>
      <c r="C359" t="s">
        <v>311</v>
      </c>
      <c r="D359">
        <v>2022</v>
      </c>
      <c r="E359" t="s">
        <v>42</v>
      </c>
      <c r="F359">
        <v>112.8</v>
      </c>
      <c r="G359" t="s">
        <v>361</v>
      </c>
      <c r="H359">
        <f>electric_vehicles_dataset[[#This Row],[Battery_Capacity_kWh]]/electric_vehicles_dataset[[#This Row],[Range_km]]</f>
        <v>0.30735694822888282</v>
      </c>
      <c r="I359">
        <v>367</v>
      </c>
      <c r="J359" t="s">
        <v>48</v>
      </c>
      <c r="K359">
        <v>1</v>
      </c>
      <c r="L359" s="1">
        <v>141880.48000000001</v>
      </c>
      <c r="M359" s="1" t="str" cm="1">
        <f t="array" ref="M35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59" t="s">
        <v>106</v>
      </c>
      <c r="O359" t="s">
        <v>139</v>
      </c>
      <c r="P359" s="2" t="s">
        <v>389</v>
      </c>
      <c r="Q359">
        <v>2</v>
      </c>
      <c r="R359" t="s">
        <v>391</v>
      </c>
      <c r="S359" s="1">
        <f>electric_vehicles_dataset[[#This Row],[Units_Sold_2024]]*electric_vehicles_dataset[[#This Row],[Price_USD]]</f>
        <v>2420197227.8400002</v>
      </c>
      <c r="T359">
        <v>4</v>
      </c>
      <c r="U359">
        <v>17058</v>
      </c>
      <c r="V359">
        <v>5</v>
      </c>
    </row>
    <row r="360" spans="1:22" x14ac:dyDescent="0.35">
      <c r="A360">
        <v>359</v>
      </c>
      <c r="B360" t="s">
        <v>269</v>
      </c>
      <c r="C360" t="s">
        <v>270</v>
      </c>
      <c r="D360">
        <v>2015</v>
      </c>
      <c r="E360" t="s">
        <v>90</v>
      </c>
      <c r="F360">
        <v>118.6</v>
      </c>
      <c r="G360" t="s">
        <v>361</v>
      </c>
      <c r="H360">
        <f>electric_vehicles_dataset[[#This Row],[Battery_Capacity_kWh]]/electric_vehicles_dataset[[#This Row],[Range_km]]</f>
        <v>0.27775175644028099</v>
      </c>
      <c r="I360">
        <v>427</v>
      </c>
      <c r="J360" t="s">
        <v>359</v>
      </c>
      <c r="K360">
        <v>4</v>
      </c>
      <c r="L360" s="1">
        <v>53105.48</v>
      </c>
      <c r="M360" s="1" t="str" cm="1">
        <f t="array" ref="M36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60" t="s">
        <v>49</v>
      </c>
      <c r="O360" t="s">
        <v>107</v>
      </c>
      <c r="P360" s="2" t="s">
        <v>394</v>
      </c>
      <c r="Q360">
        <v>3</v>
      </c>
      <c r="R360" t="s">
        <v>397</v>
      </c>
      <c r="S360" s="1">
        <f>electric_vehicles_dataset[[#This Row],[Units_Sold_2024]]*electric_vehicles_dataset[[#This Row],[Price_USD]]</f>
        <v>476143733.68000001</v>
      </c>
      <c r="T360">
        <v>3</v>
      </c>
      <c r="U360">
        <v>8966</v>
      </c>
      <c r="V360">
        <v>3</v>
      </c>
    </row>
    <row r="361" spans="1:22" x14ac:dyDescent="0.35">
      <c r="A361">
        <v>360</v>
      </c>
      <c r="B361" t="s">
        <v>79</v>
      </c>
      <c r="C361" t="s">
        <v>151</v>
      </c>
      <c r="D361">
        <v>2023</v>
      </c>
      <c r="E361" t="s">
        <v>47</v>
      </c>
      <c r="F361">
        <v>33.299999999999997</v>
      </c>
      <c r="G361" t="s">
        <v>357</v>
      </c>
      <c r="H361">
        <f>electric_vehicles_dataset[[#This Row],[Battery_Capacity_kWh]]/electric_vehicles_dataset[[#This Row],[Range_km]]</f>
        <v>8.832891246684349E-2</v>
      </c>
      <c r="I361">
        <v>377</v>
      </c>
      <c r="J361" t="s">
        <v>149</v>
      </c>
      <c r="K361">
        <v>7</v>
      </c>
      <c r="L361" s="1">
        <v>62526.25</v>
      </c>
      <c r="M361" s="1" t="str" cm="1">
        <f t="array" ref="M36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61" t="s">
        <v>66</v>
      </c>
      <c r="O361" t="s">
        <v>265</v>
      </c>
      <c r="P361" s="2" t="s">
        <v>389</v>
      </c>
      <c r="Q361">
        <v>1</v>
      </c>
      <c r="R361" t="s">
        <v>391</v>
      </c>
      <c r="S361" s="1">
        <f>electric_vehicles_dataset[[#This Row],[Units_Sold_2024]]*electric_vehicles_dataset[[#This Row],[Price_USD]]</f>
        <v>1107527466.25</v>
      </c>
      <c r="T361">
        <v>4</v>
      </c>
      <c r="U361">
        <v>17713</v>
      </c>
      <c r="V361">
        <v>4</v>
      </c>
    </row>
    <row r="362" spans="1:22" x14ac:dyDescent="0.35">
      <c r="A362">
        <v>361</v>
      </c>
      <c r="B362" t="s">
        <v>71</v>
      </c>
      <c r="C362" t="s">
        <v>315</v>
      </c>
      <c r="D362">
        <v>2015</v>
      </c>
      <c r="E362" t="s">
        <v>130</v>
      </c>
      <c r="F362">
        <v>137.4</v>
      </c>
      <c r="G362" t="s">
        <v>352</v>
      </c>
      <c r="H362">
        <f>electric_vehicles_dataset[[#This Row],[Battery_Capacity_kWh]]/electric_vehicles_dataset[[#This Row],[Range_km]]</f>
        <v>1.0992</v>
      </c>
      <c r="I362">
        <v>125</v>
      </c>
      <c r="J362" t="s">
        <v>48</v>
      </c>
      <c r="K362">
        <v>5</v>
      </c>
      <c r="L362" s="1">
        <v>40334.35</v>
      </c>
      <c r="M362" s="1" t="str" cm="1">
        <f t="array" ref="M36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62" t="s">
        <v>253</v>
      </c>
      <c r="O362" t="s">
        <v>86</v>
      </c>
      <c r="P362" s="2" t="s">
        <v>389</v>
      </c>
      <c r="Q362">
        <v>4</v>
      </c>
      <c r="R362" t="s">
        <v>392</v>
      </c>
      <c r="S362" s="1">
        <f>electric_vehicles_dataset[[#This Row],[Units_Sold_2024]]*electric_vehicles_dataset[[#This Row],[Price_USD]]</f>
        <v>470016180.55000001</v>
      </c>
      <c r="T362">
        <v>4</v>
      </c>
      <c r="U362">
        <v>11653</v>
      </c>
      <c r="V362">
        <v>4</v>
      </c>
    </row>
    <row r="363" spans="1:22" x14ac:dyDescent="0.35">
      <c r="A363">
        <v>362</v>
      </c>
      <c r="B363" t="s">
        <v>313</v>
      </c>
      <c r="C363" t="s">
        <v>314</v>
      </c>
      <c r="D363">
        <v>2025</v>
      </c>
      <c r="E363" t="s">
        <v>183</v>
      </c>
      <c r="F363">
        <v>89.4</v>
      </c>
      <c r="G363" t="s">
        <v>350</v>
      </c>
      <c r="H363">
        <f>electric_vehicles_dataset[[#This Row],[Battery_Capacity_kWh]]/electric_vehicles_dataset[[#This Row],[Range_km]]</f>
        <v>0.14949832775919733</v>
      </c>
      <c r="I363">
        <v>598</v>
      </c>
      <c r="J363" t="s">
        <v>345</v>
      </c>
      <c r="K363">
        <v>7</v>
      </c>
      <c r="L363" s="1">
        <v>41149.94</v>
      </c>
      <c r="M363" s="1" t="str" cm="1">
        <f t="array" ref="M36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63" t="s">
        <v>271</v>
      </c>
      <c r="O363" t="s">
        <v>40</v>
      </c>
      <c r="P363" s="2" t="s">
        <v>395</v>
      </c>
      <c r="Q363">
        <v>4</v>
      </c>
      <c r="R363" t="s">
        <v>392</v>
      </c>
      <c r="S363" s="1">
        <f>electric_vehicles_dataset[[#This Row],[Units_Sold_2024]]*electric_vehicles_dataset[[#This Row],[Price_USD]]</f>
        <v>634449774.92000008</v>
      </c>
      <c r="T363">
        <v>4</v>
      </c>
      <c r="U363">
        <v>15418</v>
      </c>
      <c r="V363">
        <v>3</v>
      </c>
    </row>
    <row r="364" spans="1:22" x14ac:dyDescent="0.35">
      <c r="A364">
        <v>363</v>
      </c>
      <c r="B364" t="s">
        <v>128</v>
      </c>
      <c r="C364" t="s">
        <v>268</v>
      </c>
      <c r="D364">
        <v>2024</v>
      </c>
      <c r="E364" t="s">
        <v>133</v>
      </c>
      <c r="F364">
        <v>138.69999999999999</v>
      </c>
      <c r="G364" t="s">
        <v>352</v>
      </c>
      <c r="H364">
        <f>electric_vehicles_dataset[[#This Row],[Battery_Capacity_kWh]]/electric_vehicles_dataset[[#This Row],[Range_km]]</f>
        <v>0.46233333333333332</v>
      </c>
      <c r="I364">
        <v>300</v>
      </c>
      <c r="J364" t="s">
        <v>85</v>
      </c>
      <c r="K364">
        <v>9</v>
      </c>
      <c r="L364" s="1">
        <v>109821.67</v>
      </c>
      <c r="M364" s="1" t="str" cm="1">
        <f t="array" ref="M36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64" t="s">
        <v>81</v>
      </c>
      <c r="O364" t="s">
        <v>89</v>
      </c>
      <c r="P364" s="2" t="s">
        <v>389</v>
      </c>
      <c r="Q364">
        <v>0</v>
      </c>
      <c r="R364" t="s">
        <v>390</v>
      </c>
      <c r="S364" s="1">
        <f>electric_vehicles_dataset[[#This Row],[Units_Sold_2024]]*electric_vehicles_dataset[[#This Row],[Price_USD]]</f>
        <v>1659734898.71</v>
      </c>
      <c r="T364">
        <v>4</v>
      </c>
      <c r="U364">
        <v>15113</v>
      </c>
      <c r="V364">
        <v>3</v>
      </c>
    </row>
    <row r="365" spans="1:22" x14ac:dyDescent="0.35">
      <c r="A365">
        <v>364</v>
      </c>
      <c r="B365" t="s">
        <v>176</v>
      </c>
      <c r="C365" t="s">
        <v>365</v>
      </c>
      <c r="D365">
        <v>2024</v>
      </c>
      <c r="E365" t="s">
        <v>90</v>
      </c>
      <c r="F365">
        <v>36.6</v>
      </c>
      <c r="G365" t="s">
        <v>357</v>
      </c>
      <c r="H365">
        <f>electric_vehicles_dataset[[#This Row],[Battery_Capacity_kWh]]/electric_vehicles_dataset[[#This Row],[Range_km]]</f>
        <v>0.24078947368421053</v>
      </c>
      <c r="I365">
        <v>152</v>
      </c>
      <c r="J365" t="s">
        <v>34</v>
      </c>
      <c r="K365">
        <v>10</v>
      </c>
      <c r="L365" s="1">
        <v>125610.93</v>
      </c>
      <c r="M365" s="1" t="str" cm="1">
        <f t="array" ref="M36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65" t="s">
        <v>146</v>
      </c>
      <c r="O365" t="s">
        <v>354</v>
      </c>
      <c r="P365" s="2" t="s">
        <v>394</v>
      </c>
      <c r="Q365">
        <v>2</v>
      </c>
      <c r="R365" t="s">
        <v>391</v>
      </c>
      <c r="S365" s="1">
        <f>electric_vehicles_dataset[[#This Row],[Units_Sold_2024]]*electric_vehicles_dataset[[#This Row],[Price_USD]]</f>
        <v>981900639.80999994</v>
      </c>
      <c r="T365">
        <v>4</v>
      </c>
      <c r="U365">
        <v>7817</v>
      </c>
      <c r="V365">
        <v>5</v>
      </c>
    </row>
    <row r="366" spans="1:22" x14ac:dyDescent="0.35">
      <c r="A366">
        <v>365</v>
      </c>
      <c r="B366" t="s">
        <v>87</v>
      </c>
      <c r="C366" t="s">
        <v>191</v>
      </c>
      <c r="D366">
        <v>2022</v>
      </c>
      <c r="E366" t="s">
        <v>42</v>
      </c>
      <c r="F366">
        <v>28.6</v>
      </c>
      <c r="G366" t="s">
        <v>357</v>
      </c>
      <c r="H366">
        <f>electric_vehicles_dataset[[#This Row],[Battery_Capacity_kWh]]/electric_vehicles_dataset[[#This Row],[Range_km]]</f>
        <v>0.1388349514563107</v>
      </c>
      <c r="I366">
        <v>206</v>
      </c>
      <c r="J366" t="s">
        <v>358</v>
      </c>
      <c r="K366">
        <v>10</v>
      </c>
      <c r="L366" s="1">
        <v>82242.44</v>
      </c>
      <c r="M366" s="1" t="str" cm="1">
        <f t="array" ref="M36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66" t="s">
        <v>81</v>
      </c>
      <c r="O366" t="s">
        <v>50</v>
      </c>
      <c r="P366" s="2" t="s">
        <v>396</v>
      </c>
      <c r="Q366">
        <v>1</v>
      </c>
      <c r="R366" t="s">
        <v>391</v>
      </c>
      <c r="S366" s="1">
        <f>electric_vehicles_dataset[[#This Row],[Units_Sold_2024]]*electric_vehicles_dataset[[#This Row],[Price_USD]]</f>
        <v>1547391508.6000001</v>
      </c>
      <c r="T366">
        <v>5</v>
      </c>
      <c r="U366">
        <v>18815</v>
      </c>
      <c r="V366">
        <v>4</v>
      </c>
    </row>
    <row r="367" spans="1:22" x14ac:dyDescent="0.35">
      <c r="A367">
        <v>366</v>
      </c>
      <c r="B367" t="s">
        <v>64</v>
      </c>
      <c r="C367" t="s">
        <v>65</v>
      </c>
      <c r="D367">
        <v>2020</v>
      </c>
      <c r="E367" t="s">
        <v>47</v>
      </c>
      <c r="F367">
        <v>32.700000000000003</v>
      </c>
      <c r="G367" t="s">
        <v>357</v>
      </c>
      <c r="H367">
        <f>electric_vehicles_dataset[[#This Row],[Battery_Capacity_kWh]]/electric_vehicles_dataset[[#This Row],[Range_km]]</f>
        <v>0.1</v>
      </c>
      <c r="I367">
        <v>327</v>
      </c>
      <c r="J367" t="s">
        <v>85</v>
      </c>
      <c r="K367">
        <v>4</v>
      </c>
      <c r="L367" s="1">
        <v>78695.240000000005</v>
      </c>
      <c r="M367" s="1" t="str" cm="1">
        <f t="array" ref="M36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67" t="s">
        <v>160</v>
      </c>
      <c r="O367" t="s">
        <v>93</v>
      </c>
      <c r="P367" s="2" t="s">
        <v>389</v>
      </c>
      <c r="Q367">
        <v>4</v>
      </c>
      <c r="R367" t="s">
        <v>392</v>
      </c>
      <c r="S367" s="1">
        <f>electric_vehicles_dataset[[#This Row],[Units_Sold_2024]]*electric_vehicles_dataset[[#This Row],[Price_USD]]</f>
        <v>158492213.36000001</v>
      </c>
      <c r="T367">
        <v>4</v>
      </c>
      <c r="U367">
        <v>2014</v>
      </c>
      <c r="V367">
        <v>3</v>
      </c>
    </row>
    <row r="368" spans="1:22" x14ac:dyDescent="0.35">
      <c r="A368">
        <v>367</v>
      </c>
      <c r="B368" t="s">
        <v>192</v>
      </c>
      <c r="C368" t="s">
        <v>316</v>
      </c>
      <c r="D368">
        <v>2024</v>
      </c>
      <c r="E368" t="s">
        <v>53</v>
      </c>
      <c r="F368">
        <v>118.1</v>
      </c>
      <c r="G368" t="s">
        <v>361</v>
      </c>
      <c r="H368">
        <f>electric_vehicles_dataset[[#This Row],[Battery_Capacity_kWh]]/electric_vehicles_dataset[[#This Row],[Range_km]]</f>
        <v>0.22976653696498053</v>
      </c>
      <c r="I368">
        <v>514</v>
      </c>
      <c r="J368" t="s">
        <v>76</v>
      </c>
      <c r="K368">
        <v>9</v>
      </c>
      <c r="L368" s="1">
        <v>109305.77</v>
      </c>
      <c r="M368" s="1" t="str" cm="1">
        <f t="array" ref="M36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68" t="s">
        <v>172</v>
      </c>
      <c r="O368" t="s">
        <v>107</v>
      </c>
      <c r="P368" s="2" t="s">
        <v>394</v>
      </c>
      <c r="Q368">
        <v>4</v>
      </c>
      <c r="R368" t="s">
        <v>392</v>
      </c>
      <c r="S368" s="1">
        <f>electric_vehicles_dataset[[#This Row],[Units_Sold_2024]]*electric_vehicles_dataset[[#This Row],[Price_USD]]</f>
        <v>1133938057.98</v>
      </c>
      <c r="T368">
        <v>5</v>
      </c>
      <c r="U368">
        <v>10374</v>
      </c>
      <c r="V368">
        <v>4</v>
      </c>
    </row>
    <row r="369" spans="1:22" x14ac:dyDescent="0.35">
      <c r="A369">
        <v>368</v>
      </c>
      <c r="B369" t="s">
        <v>261</v>
      </c>
      <c r="C369" t="s">
        <v>370</v>
      </c>
      <c r="D369">
        <v>2019</v>
      </c>
      <c r="E369" t="s">
        <v>53</v>
      </c>
      <c r="F369">
        <v>142.6</v>
      </c>
      <c r="G369" t="s">
        <v>386</v>
      </c>
      <c r="H369">
        <f>electric_vehicles_dataset[[#This Row],[Battery_Capacity_kWh]]/electric_vehicles_dataset[[#This Row],[Range_km]]</f>
        <v>0.44285714285714284</v>
      </c>
      <c r="I369">
        <v>322</v>
      </c>
      <c r="J369" t="s">
        <v>149</v>
      </c>
      <c r="K369">
        <v>12</v>
      </c>
      <c r="L369" s="1">
        <v>99927.24</v>
      </c>
      <c r="M369" s="1" t="str" cm="1">
        <f t="array" ref="M3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69" t="s">
        <v>217</v>
      </c>
      <c r="O369" t="s">
        <v>206</v>
      </c>
      <c r="P369" s="2" t="s">
        <v>394</v>
      </c>
      <c r="Q369">
        <v>1</v>
      </c>
      <c r="R369" t="s">
        <v>391</v>
      </c>
      <c r="S369" s="1">
        <f>electric_vehicles_dataset[[#This Row],[Units_Sold_2024]]*electric_vehicles_dataset[[#This Row],[Price_USD]]</f>
        <v>1797191411.4000001</v>
      </c>
      <c r="T369">
        <v>4</v>
      </c>
      <c r="U369">
        <v>17985</v>
      </c>
      <c r="V369">
        <v>3</v>
      </c>
    </row>
    <row r="370" spans="1:22" x14ac:dyDescent="0.35">
      <c r="A370">
        <v>369</v>
      </c>
      <c r="B370" t="s">
        <v>79</v>
      </c>
      <c r="C370" t="s">
        <v>376</v>
      </c>
      <c r="D370">
        <v>2023</v>
      </c>
      <c r="E370" t="s">
        <v>26</v>
      </c>
      <c r="F370">
        <v>147.19999999999999</v>
      </c>
      <c r="G370" t="s">
        <v>386</v>
      </c>
      <c r="H370">
        <f>electric_vehicles_dataset[[#This Row],[Battery_Capacity_kWh]]/electric_vehicles_dataset[[#This Row],[Range_km]]</f>
        <v>0.94358974358974357</v>
      </c>
      <c r="I370">
        <v>156</v>
      </c>
      <c r="J370" t="s">
        <v>54</v>
      </c>
      <c r="K370">
        <v>11</v>
      </c>
      <c r="L370" s="1">
        <v>58228.94</v>
      </c>
      <c r="M370" s="1" t="str" cm="1">
        <f t="array" ref="M37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70" t="s">
        <v>35</v>
      </c>
      <c r="O370" t="s">
        <v>167</v>
      </c>
      <c r="P370" s="2" t="s">
        <v>394</v>
      </c>
      <c r="Q370">
        <v>2</v>
      </c>
      <c r="R370" t="s">
        <v>391</v>
      </c>
      <c r="S370" s="1">
        <f>electric_vehicles_dataset[[#This Row],[Units_Sold_2024]]*electric_vehicles_dataset[[#This Row],[Price_USD]]</f>
        <v>1040085326.2800001</v>
      </c>
      <c r="T370">
        <v>4</v>
      </c>
      <c r="U370">
        <v>17862</v>
      </c>
      <c r="V370">
        <v>3</v>
      </c>
    </row>
    <row r="371" spans="1:22" x14ac:dyDescent="0.35">
      <c r="A371">
        <v>370</v>
      </c>
      <c r="B371" t="s">
        <v>68</v>
      </c>
      <c r="C371" t="s">
        <v>103</v>
      </c>
      <c r="D371">
        <v>2022</v>
      </c>
      <c r="E371" t="s">
        <v>101</v>
      </c>
      <c r="F371">
        <v>44.5</v>
      </c>
      <c r="G371" t="s">
        <v>348</v>
      </c>
      <c r="H371">
        <f>electric_vehicles_dataset[[#This Row],[Battery_Capacity_kWh]]/electric_vehicles_dataset[[#This Row],[Range_km]]</f>
        <v>0.15033783783783783</v>
      </c>
      <c r="I371">
        <v>296</v>
      </c>
      <c r="J371" t="s">
        <v>149</v>
      </c>
      <c r="K371">
        <v>10</v>
      </c>
      <c r="L371" s="1">
        <v>48512.07</v>
      </c>
      <c r="M371" s="1" t="str" cm="1">
        <f t="array" ref="M37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71" t="s">
        <v>117</v>
      </c>
      <c r="O371" t="s">
        <v>150</v>
      </c>
      <c r="P371" s="2" t="s">
        <v>389</v>
      </c>
      <c r="Q371">
        <v>2</v>
      </c>
      <c r="R371" t="s">
        <v>391</v>
      </c>
      <c r="S371" s="1">
        <f>electric_vehicles_dataset[[#This Row],[Units_Sold_2024]]*electric_vehicles_dataset[[#This Row],[Price_USD]]</f>
        <v>773670492.36000001</v>
      </c>
      <c r="T371">
        <v>4</v>
      </c>
      <c r="U371">
        <v>15948</v>
      </c>
      <c r="V371">
        <v>5</v>
      </c>
    </row>
    <row r="372" spans="1:22" x14ac:dyDescent="0.35">
      <c r="A372">
        <v>371</v>
      </c>
      <c r="B372" t="s">
        <v>222</v>
      </c>
      <c r="C372" t="s">
        <v>231</v>
      </c>
      <c r="D372">
        <v>2016</v>
      </c>
      <c r="E372" t="s">
        <v>101</v>
      </c>
      <c r="F372">
        <v>103.5</v>
      </c>
      <c r="G372" t="s">
        <v>361</v>
      </c>
      <c r="H372">
        <f>electric_vehicles_dataset[[#This Row],[Battery_Capacity_kWh]]/electric_vehicles_dataset[[#This Row],[Range_km]]</f>
        <v>0.33173076923076922</v>
      </c>
      <c r="I372">
        <v>312</v>
      </c>
      <c r="J372" t="s">
        <v>345</v>
      </c>
      <c r="K372">
        <v>11</v>
      </c>
      <c r="L372" s="1">
        <v>113446.86</v>
      </c>
      <c r="M372" s="1" t="str" cm="1">
        <f t="array" ref="M37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72" t="s">
        <v>196</v>
      </c>
      <c r="O372" t="s">
        <v>118</v>
      </c>
      <c r="P372" s="2" t="s">
        <v>389</v>
      </c>
      <c r="Q372">
        <v>4</v>
      </c>
      <c r="R372" t="s">
        <v>392</v>
      </c>
      <c r="S372" s="1">
        <f>electric_vehicles_dataset[[#This Row],[Units_Sold_2024]]*electric_vehicles_dataset[[#This Row],[Price_USD]]</f>
        <v>1320748344.1200001</v>
      </c>
      <c r="T372">
        <v>4</v>
      </c>
      <c r="U372">
        <v>11642</v>
      </c>
      <c r="V372">
        <v>3</v>
      </c>
    </row>
    <row r="373" spans="1:22" x14ac:dyDescent="0.35">
      <c r="A373">
        <v>372</v>
      </c>
      <c r="B373" t="s">
        <v>120</v>
      </c>
      <c r="C373" t="s">
        <v>362</v>
      </c>
      <c r="D373">
        <v>2024</v>
      </c>
      <c r="E373" t="s">
        <v>84</v>
      </c>
      <c r="F373">
        <v>95.1</v>
      </c>
      <c r="G373" t="s">
        <v>350</v>
      </c>
      <c r="H373">
        <f>electric_vehicles_dataset[[#This Row],[Battery_Capacity_kWh]]/electric_vehicles_dataset[[#This Row],[Range_km]]</f>
        <v>0.17842401500938085</v>
      </c>
      <c r="I373">
        <v>533</v>
      </c>
      <c r="J373" t="s">
        <v>353</v>
      </c>
      <c r="K373">
        <v>9</v>
      </c>
      <c r="L373" s="1">
        <v>62310.05</v>
      </c>
      <c r="M373" s="1" t="str" cm="1">
        <f t="array" ref="M37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73" t="s">
        <v>19</v>
      </c>
      <c r="O373" t="s">
        <v>182</v>
      </c>
      <c r="P373" s="2" t="s">
        <v>394</v>
      </c>
      <c r="Q373">
        <v>0</v>
      </c>
      <c r="R373" t="s">
        <v>390</v>
      </c>
      <c r="S373" s="1">
        <f>electric_vehicles_dataset[[#This Row],[Units_Sold_2024]]*electric_vehicles_dataset[[#This Row],[Price_USD]]</f>
        <v>1184763290.7</v>
      </c>
      <c r="T373">
        <v>3</v>
      </c>
      <c r="U373">
        <v>19014</v>
      </c>
      <c r="V373">
        <v>4</v>
      </c>
    </row>
    <row r="374" spans="1:22" x14ac:dyDescent="0.35">
      <c r="A374">
        <v>373</v>
      </c>
      <c r="B374" t="s">
        <v>136</v>
      </c>
      <c r="C374" t="s">
        <v>137</v>
      </c>
      <c r="D374">
        <v>2017</v>
      </c>
      <c r="E374" t="s">
        <v>17</v>
      </c>
      <c r="F374">
        <v>115.1</v>
      </c>
      <c r="G374" t="s">
        <v>361</v>
      </c>
      <c r="H374">
        <f>electric_vehicles_dataset[[#This Row],[Battery_Capacity_kWh]]/electric_vehicles_dataset[[#This Row],[Range_km]]</f>
        <v>0.21354359925788496</v>
      </c>
      <c r="I374">
        <v>539</v>
      </c>
      <c r="J374" t="s">
        <v>105</v>
      </c>
      <c r="K374">
        <v>6</v>
      </c>
      <c r="L374" s="1">
        <v>39388.15</v>
      </c>
      <c r="M374" s="1" t="str" cm="1">
        <f t="array" ref="M3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74" t="s">
        <v>217</v>
      </c>
      <c r="O374" t="s">
        <v>20</v>
      </c>
      <c r="P374" s="2" t="s">
        <v>389</v>
      </c>
      <c r="Q374">
        <v>5</v>
      </c>
      <c r="R374" t="s">
        <v>392</v>
      </c>
      <c r="S374" s="1">
        <f>electric_vehicles_dataset[[#This Row],[Units_Sold_2024]]*electric_vehicles_dataset[[#This Row],[Price_USD]]</f>
        <v>695909834.20000005</v>
      </c>
      <c r="T374">
        <v>3</v>
      </c>
      <c r="U374">
        <v>17668</v>
      </c>
      <c r="V374">
        <v>5</v>
      </c>
    </row>
    <row r="375" spans="1:22" x14ac:dyDescent="0.35">
      <c r="A375">
        <v>374</v>
      </c>
      <c r="B375" t="s">
        <v>234</v>
      </c>
      <c r="C375" t="s">
        <v>235</v>
      </c>
      <c r="D375">
        <v>2020</v>
      </c>
      <c r="E375" t="s">
        <v>47</v>
      </c>
      <c r="F375">
        <v>121.2</v>
      </c>
      <c r="G375" t="s">
        <v>352</v>
      </c>
      <c r="H375">
        <f>electric_vehicles_dataset[[#This Row],[Battery_Capacity_kWh]]/electric_vehicles_dataset[[#This Row],[Range_km]]</f>
        <v>0.35647058823529415</v>
      </c>
      <c r="I375">
        <v>340</v>
      </c>
      <c r="J375" t="s">
        <v>345</v>
      </c>
      <c r="K375">
        <v>6</v>
      </c>
      <c r="L375" s="1">
        <v>86307.89</v>
      </c>
      <c r="M375" s="1" t="str" cm="1">
        <f t="array" ref="M37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75" t="s">
        <v>254</v>
      </c>
      <c r="O375" t="s">
        <v>50</v>
      </c>
      <c r="P375" s="2" t="s">
        <v>396</v>
      </c>
      <c r="Q375">
        <v>2</v>
      </c>
      <c r="R375" t="s">
        <v>391</v>
      </c>
      <c r="S375" s="1">
        <f>electric_vehicles_dataset[[#This Row],[Units_Sold_2024]]*electric_vehicles_dataset[[#This Row],[Price_USD]]</f>
        <v>1690167409.8699999</v>
      </c>
      <c r="T375">
        <v>4</v>
      </c>
      <c r="U375">
        <v>19583</v>
      </c>
      <c r="V375">
        <v>5</v>
      </c>
    </row>
    <row r="376" spans="1:22" x14ac:dyDescent="0.35">
      <c r="A376">
        <v>375</v>
      </c>
      <c r="B376" t="s">
        <v>234</v>
      </c>
      <c r="C376" t="s">
        <v>235</v>
      </c>
      <c r="D376">
        <v>2015</v>
      </c>
      <c r="E376" t="s">
        <v>73</v>
      </c>
      <c r="F376">
        <v>81.5</v>
      </c>
      <c r="G376" t="s">
        <v>350</v>
      </c>
      <c r="H376">
        <f>electric_vehicles_dataset[[#This Row],[Battery_Capacity_kWh]]/electric_vehicles_dataset[[#This Row],[Range_km]]</f>
        <v>0.43817204301075269</v>
      </c>
      <c r="I376">
        <v>186</v>
      </c>
      <c r="J376" t="s">
        <v>27</v>
      </c>
      <c r="K376">
        <v>8</v>
      </c>
      <c r="L376" s="1">
        <v>65010.39</v>
      </c>
      <c r="M376" s="1" t="str" cm="1">
        <f t="array" ref="M37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76" t="s">
        <v>277</v>
      </c>
      <c r="O376" t="s">
        <v>118</v>
      </c>
      <c r="P376" s="2" t="s">
        <v>389</v>
      </c>
      <c r="Q376">
        <v>2</v>
      </c>
      <c r="R376" t="s">
        <v>391</v>
      </c>
      <c r="S376" s="1">
        <f>electric_vehicles_dataset[[#This Row],[Units_Sold_2024]]*electric_vehicles_dataset[[#This Row],[Price_USD]]</f>
        <v>591854590.55999994</v>
      </c>
      <c r="T376">
        <v>3</v>
      </c>
      <c r="U376">
        <v>9104</v>
      </c>
      <c r="V376">
        <v>4</v>
      </c>
    </row>
    <row r="377" spans="1:22" x14ac:dyDescent="0.35">
      <c r="A377">
        <v>376</v>
      </c>
      <c r="B377" t="s">
        <v>60</v>
      </c>
      <c r="C377" t="s">
        <v>248</v>
      </c>
      <c r="D377">
        <v>2019</v>
      </c>
      <c r="E377" t="s">
        <v>133</v>
      </c>
      <c r="F377">
        <v>131.5</v>
      </c>
      <c r="G377" t="s">
        <v>352</v>
      </c>
      <c r="H377">
        <f>electric_vehicles_dataset[[#This Row],[Battery_Capacity_kWh]]/electric_vehicles_dataset[[#This Row],[Range_km]]</f>
        <v>1.2289719626168225</v>
      </c>
      <c r="I377">
        <v>107</v>
      </c>
      <c r="J377" t="s">
        <v>48</v>
      </c>
      <c r="K377">
        <v>7</v>
      </c>
      <c r="L377" s="1">
        <v>139215.78</v>
      </c>
      <c r="M377" s="1" t="str" cm="1">
        <f t="array" ref="M37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77" t="s">
        <v>277</v>
      </c>
      <c r="O377" t="s">
        <v>44</v>
      </c>
      <c r="P377" s="2" t="s">
        <v>389</v>
      </c>
      <c r="Q377">
        <v>2</v>
      </c>
      <c r="R377" t="s">
        <v>391</v>
      </c>
      <c r="S377" s="1">
        <f>electric_vehicles_dataset[[#This Row],[Units_Sold_2024]]*electric_vehicles_dataset[[#This Row],[Price_USD]]</f>
        <v>1077390921.4200001</v>
      </c>
      <c r="T377">
        <v>5</v>
      </c>
      <c r="U377">
        <v>7739</v>
      </c>
      <c r="V377">
        <v>4</v>
      </c>
    </row>
    <row r="378" spans="1:22" x14ac:dyDescent="0.35">
      <c r="A378">
        <v>377</v>
      </c>
      <c r="B378" t="s">
        <v>120</v>
      </c>
      <c r="C378" t="s">
        <v>252</v>
      </c>
      <c r="D378">
        <v>2020</v>
      </c>
      <c r="E378" t="s">
        <v>58</v>
      </c>
      <c r="F378">
        <v>145.80000000000001</v>
      </c>
      <c r="G378" t="s">
        <v>386</v>
      </c>
      <c r="H378">
        <f>electric_vehicles_dataset[[#This Row],[Battery_Capacity_kWh]]/electric_vehicles_dataset[[#This Row],[Range_km]]</f>
        <v>0.36089108910891093</v>
      </c>
      <c r="I378">
        <v>404</v>
      </c>
      <c r="J378" t="s">
        <v>18</v>
      </c>
      <c r="K378">
        <v>10</v>
      </c>
      <c r="L378" s="1">
        <v>120331.36</v>
      </c>
      <c r="M378" s="1" t="str" cm="1">
        <f t="array" ref="M3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78" t="s">
        <v>70</v>
      </c>
      <c r="O378" t="s">
        <v>110</v>
      </c>
      <c r="P378" s="2" t="s">
        <v>394</v>
      </c>
      <c r="Q378">
        <v>3</v>
      </c>
      <c r="R378" t="s">
        <v>397</v>
      </c>
      <c r="S378" s="1">
        <f>electric_vehicles_dataset[[#This Row],[Units_Sold_2024]]*electric_vehicles_dataset[[#This Row],[Price_USD]]</f>
        <v>1360586687.52</v>
      </c>
      <c r="T378">
        <v>5</v>
      </c>
      <c r="U378">
        <v>11307</v>
      </c>
      <c r="V378">
        <v>3</v>
      </c>
    </row>
    <row r="379" spans="1:22" x14ac:dyDescent="0.35">
      <c r="A379">
        <v>378</v>
      </c>
      <c r="B379" t="s">
        <v>224</v>
      </c>
      <c r="C379" t="s">
        <v>225</v>
      </c>
      <c r="D379">
        <v>2016</v>
      </c>
      <c r="E379" t="s">
        <v>84</v>
      </c>
      <c r="F379">
        <v>41.8</v>
      </c>
      <c r="G379" t="s">
        <v>348</v>
      </c>
      <c r="H379">
        <f>electric_vehicles_dataset[[#This Row],[Battery_Capacity_kWh]]/electric_vehicles_dataset[[#This Row],[Range_km]]</f>
        <v>0.13749999999999998</v>
      </c>
      <c r="I379">
        <v>304</v>
      </c>
      <c r="J379" t="s">
        <v>356</v>
      </c>
      <c r="K379">
        <v>4</v>
      </c>
      <c r="L379" s="1">
        <v>119538.07</v>
      </c>
      <c r="M379" s="1" t="str" cm="1">
        <f t="array" ref="M37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79" t="s">
        <v>62</v>
      </c>
      <c r="O379" t="s">
        <v>107</v>
      </c>
      <c r="P379" s="2" t="s">
        <v>394</v>
      </c>
      <c r="Q379">
        <v>5</v>
      </c>
      <c r="R379" t="s">
        <v>392</v>
      </c>
      <c r="S379" s="1">
        <f>electric_vehicles_dataset[[#This Row],[Units_Sold_2024]]*electric_vehicles_dataset[[#This Row],[Price_USD]]</f>
        <v>2077691194.6700001</v>
      </c>
      <c r="T379">
        <v>3</v>
      </c>
      <c r="U379">
        <v>17381</v>
      </c>
      <c r="V379">
        <v>4</v>
      </c>
    </row>
    <row r="380" spans="1:22" x14ac:dyDescent="0.35">
      <c r="A380">
        <v>379</v>
      </c>
      <c r="B380" t="s">
        <v>79</v>
      </c>
      <c r="C380" t="s">
        <v>299</v>
      </c>
      <c r="D380">
        <v>2022</v>
      </c>
      <c r="E380" t="s">
        <v>42</v>
      </c>
      <c r="F380">
        <v>108.2</v>
      </c>
      <c r="G380" t="s">
        <v>361</v>
      </c>
      <c r="H380">
        <f>electric_vehicles_dataset[[#This Row],[Battery_Capacity_kWh]]/electric_vehicles_dataset[[#This Row],[Range_km]]</f>
        <v>0.18277027027027026</v>
      </c>
      <c r="I380">
        <v>592</v>
      </c>
      <c r="J380" t="s">
        <v>27</v>
      </c>
      <c r="K380">
        <v>2</v>
      </c>
      <c r="L380" s="1">
        <v>93755.199999999997</v>
      </c>
      <c r="M380" s="1" t="str" cm="1">
        <f t="array" ref="M38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80" t="s">
        <v>91</v>
      </c>
      <c r="O380" t="s">
        <v>199</v>
      </c>
      <c r="P380" s="2" t="s">
        <v>394</v>
      </c>
      <c r="Q380">
        <v>5</v>
      </c>
      <c r="R380" t="s">
        <v>392</v>
      </c>
      <c r="S380" s="1">
        <f>electric_vehicles_dataset[[#This Row],[Units_Sold_2024]]*electric_vehicles_dataset[[#This Row],[Price_USD]]</f>
        <v>301891744</v>
      </c>
      <c r="T380">
        <v>4</v>
      </c>
      <c r="U380">
        <v>3220</v>
      </c>
      <c r="V380">
        <v>4</v>
      </c>
    </row>
    <row r="381" spans="1:22" x14ac:dyDescent="0.35">
      <c r="A381">
        <v>380</v>
      </c>
      <c r="B381" t="s">
        <v>224</v>
      </c>
      <c r="C381" t="s">
        <v>303</v>
      </c>
      <c r="D381">
        <v>2022</v>
      </c>
      <c r="E381" t="s">
        <v>183</v>
      </c>
      <c r="F381">
        <v>107.8</v>
      </c>
      <c r="G381" t="s">
        <v>361</v>
      </c>
      <c r="H381">
        <f>electric_vehicles_dataset[[#This Row],[Battery_Capacity_kWh]]/electric_vehicles_dataset[[#This Row],[Range_km]]</f>
        <v>0.4834080717488789</v>
      </c>
      <c r="I381">
        <v>223</v>
      </c>
      <c r="J381" t="s">
        <v>359</v>
      </c>
      <c r="K381">
        <v>7</v>
      </c>
      <c r="L381" s="1">
        <v>111326.18</v>
      </c>
      <c r="M381" s="1" t="str" cm="1">
        <f t="array" ref="M38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81" t="s">
        <v>229</v>
      </c>
      <c r="O381" t="s">
        <v>89</v>
      </c>
      <c r="P381" s="2" t="s">
        <v>389</v>
      </c>
      <c r="Q381">
        <v>5</v>
      </c>
      <c r="R381" t="s">
        <v>392</v>
      </c>
      <c r="S381" s="1">
        <f>electric_vehicles_dataset[[#This Row],[Units_Sold_2024]]*electric_vehicles_dataset[[#This Row],[Price_USD]]</f>
        <v>1500120275.5</v>
      </c>
      <c r="T381">
        <v>4</v>
      </c>
      <c r="U381">
        <v>13475</v>
      </c>
      <c r="V381">
        <v>3</v>
      </c>
    </row>
    <row r="382" spans="1:22" x14ac:dyDescent="0.35">
      <c r="A382">
        <v>381</v>
      </c>
      <c r="B382" t="s">
        <v>207</v>
      </c>
      <c r="C382" t="s">
        <v>304</v>
      </c>
      <c r="D382">
        <v>2025</v>
      </c>
      <c r="E382" t="s">
        <v>130</v>
      </c>
      <c r="F382">
        <v>65.7</v>
      </c>
      <c r="G382" t="s">
        <v>351</v>
      </c>
      <c r="H382">
        <f>electric_vehicles_dataset[[#This Row],[Battery_Capacity_kWh]]/electric_vehicles_dataset[[#This Row],[Range_km]]</f>
        <v>0.13949044585987261</v>
      </c>
      <c r="I382">
        <v>471</v>
      </c>
      <c r="J382" t="s">
        <v>54</v>
      </c>
      <c r="K382">
        <v>3</v>
      </c>
      <c r="L382" s="1">
        <v>34085.01</v>
      </c>
      <c r="M382" s="1" t="str" cm="1">
        <f t="array" ref="M3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82" t="s">
        <v>217</v>
      </c>
      <c r="O382" t="s">
        <v>20</v>
      </c>
      <c r="P382" s="2" t="s">
        <v>389</v>
      </c>
      <c r="Q382">
        <v>5</v>
      </c>
      <c r="R382" t="s">
        <v>392</v>
      </c>
      <c r="S382" s="1">
        <f>electric_vehicles_dataset[[#This Row],[Units_Sold_2024]]*electric_vehicles_dataset[[#This Row],[Price_USD]]</f>
        <v>669429596.4000001</v>
      </c>
      <c r="T382">
        <v>3</v>
      </c>
      <c r="U382">
        <v>19640</v>
      </c>
      <c r="V382">
        <v>5</v>
      </c>
    </row>
    <row r="383" spans="1:22" x14ac:dyDescent="0.35">
      <c r="A383">
        <v>382</v>
      </c>
      <c r="B383" t="s">
        <v>64</v>
      </c>
      <c r="C383" t="s">
        <v>65</v>
      </c>
      <c r="D383">
        <v>2016</v>
      </c>
      <c r="E383" t="s">
        <v>26</v>
      </c>
      <c r="F383">
        <v>98.6</v>
      </c>
      <c r="G383" t="s">
        <v>350</v>
      </c>
      <c r="H383">
        <f>electric_vehicles_dataset[[#This Row],[Battery_Capacity_kWh]]/electric_vehicles_dataset[[#This Row],[Range_km]]</f>
        <v>0.3376712328767123</v>
      </c>
      <c r="I383">
        <v>292</v>
      </c>
      <c r="J383" t="s">
        <v>85</v>
      </c>
      <c r="K383">
        <v>11</v>
      </c>
      <c r="L383" s="1">
        <v>113478.44</v>
      </c>
      <c r="M383" s="1" t="str" cm="1">
        <f t="array" ref="M38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83" t="s">
        <v>189</v>
      </c>
      <c r="O383" t="s">
        <v>265</v>
      </c>
      <c r="P383" s="2" t="s">
        <v>389</v>
      </c>
      <c r="Q383">
        <v>0</v>
      </c>
      <c r="R383" t="s">
        <v>390</v>
      </c>
      <c r="S383" s="1">
        <f>electric_vehicles_dataset[[#This Row],[Units_Sold_2024]]*electric_vehicles_dataset[[#This Row],[Price_USD]]</f>
        <v>1587676854.04</v>
      </c>
      <c r="T383">
        <v>4</v>
      </c>
      <c r="U383">
        <v>13991</v>
      </c>
      <c r="V383">
        <v>5</v>
      </c>
    </row>
    <row r="384" spans="1:22" x14ac:dyDescent="0.35">
      <c r="A384">
        <v>383</v>
      </c>
      <c r="B384" t="s">
        <v>68</v>
      </c>
      <c r="C384" t="s">
        <v>69</v>
      </c>
      <c r="D384">
        <v>2019</v>
      </c>
      <c r="E384" t="s">
        <v>101</v>
      </c>
      <c r="F384">
        <v>121.5</v>
      </c>
      <c r="G384" t="s">
        <v>352</v>
      </c>
      <c r="H384">
        <f>electric_vehicles_dataset[[#This Row],[Battery_Capacity_kWh]]/electric_vehicles_dataset[[#This Row],[Range_km]]</f>
        <v>0.50414937759336098</v>
      </c>
      <c r="I384">
        <v>241</v>
      </c>
      <c r="J384" t="s">
        <v>27</v>
      </c>
      <c r="K384">
        <v>5</v>
      </c>
      <c r="L384" s="1">
        <v>69918.570000000007</v>
      </c>
      <c r="M384" s="1" t="str" cm="1">
        <f t="array" ref="M38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84" t="s">
        <v>279</v>
      </c>
      <c r="O384" t="s">
        <v>161</v>
      </c>
      <c r="P384" s="2" t="s">
        <v>389</v>
      </c>
      <c r="Q384">
        <v>2</v>
      </c>
      <c r="R384" t="s">
        <v>391</v>
      </c>
      <c r="S384" s="1">
        <f>electric_vehicles_dataset[[#This Row],[Units_Sold_2024]]*electric_vehicles_dataset[[#This Row],[Price_USD]]</f>
        <v>459714597.75000006</v>
      </c>
      <c r="T384">
        <v>4</v>
      </c>
      <c r="U384">
        <v>6575</v>
      </c>
      <c r="V384">
        <v>5</v>
      </c>
    </row>
    <row r="385" spans="1:22" x14ac:dyDescent="0.35">
      <c r="A385">
        <v>384</v>
      </c>
      <c r="B385" t="s">
        <v>36</v>
      </c>
      <c r="C385" t="s">
        <v>317</v>
      </c>
      <c r="D385">
        <v>2025</v>
      </c>
      <c r="E385" t="s">
        <v>130</v>
      </c>
      <c r="F385">
        <v>34.1</v>
      </c>
      <c r="G385" t="s">
        <v>357</v>
      </c>
      <c r="H385">
        <f>electric_vehicles_dataset[[#This Row],[Battery_Capacity_kWh]]/electric_vehicles_dataset[[#This Row],[Range_km]]</f>
        <v>9.0691489361702127E-2</v>
      </c>
      <c r="I385">
        <v>376</v>
      </c>
      <c r="J385" t="s">
        <v>358</v>
      </c>
      <c r="K385">
        <v>3</v>
      </c>
      <c r="L385" s="1">
        <v>107200.58</v>
      </c>
      <c r="M385" s="1" t="str" cm="1">
        <f t="array" ref="M38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85" t="s">
        <v>172</v>
      </c>
      <c r="O385" t="s">
        <v>161</v>
      </c>
      <c r="P385" s="2" t="s">
        <v>389</v>
      </c>
      <c r="Q385">
        <v>2</v>
      </c>
      <c r="R385" t="s">
        <v>391</v>
      </c>
      <c r="S385" s="1">
        <f>electric_vehicles_dataset[[#This Row],[Units_Sold_2024]]*electric_vehicles_dataset[[#This Row],[Price_USD]]</f>
        <v>1566200473.8</v>
      </c>
      <c r="T385">
        <v>4</v>
      </c>
      <c r="U385">
        <v>14610</v>
      </c>
      <c r="V385">
        <v>3</v>
      </c>
    </row>
    <row r="386" spans="1:22" x14ac:dyDescent="0.35">
      <c r="A386">
        <v>385</v>
      </c>
      <c r="B386" t="s">
        <v>262</v>
      </c>
      <c r="C386" t="s">
        <v>263</v>
      </c>
      <c r="D386">
        <v>2025</v>
      </c>
      <c r="E386" t="s">
        <v>73</v>
      </c>
      <c r="F386">
        <v>20.100000000000001</v>
      </c>
      <c r="G386" t="s">
        <v>357</v>
      </c>
      <c r="H386">
        <f>electric_vehicles_dataset[[#This Row],[Battery_Capacity_kWh]]/electric_vehicles_dataset[[#This Row],[Range_km]]</f>
        <v>0.16890756302521009</v>
      </c>
      <c r="I386">
        <v>119</v>
      </c>
      <c r="J386" t="s">
        <v>34</v>
      </c>
      <c r="K386">
        <v>4</v>
      </c>
      <c r="L386" s="1">
        <v>114006.62</v>
      </c>
      <c r="M386" s="1" t="str" cm="1">
        <f t="array" ref="M38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86" t="s">
        <v>253</v>
      </c>
      <c r="O386" t="s">
        <v>182</v>
      </c>
      <c r="P386" s="2" t="s">
        <v>394</v>
      </c>
      <c r="Q386">
        <v>2</v>
      </c>
      <c r="R386" t="s">
        <v>391</v>
      </c>
      <c r="S386" s="1">
        <f>electric_vehicles_dataset[[#This Row],[Units_Sold_2024]]*electric_vehicles_dataset[[#This Row],[Price_USD]]</f>
        <v>1628926586.5599999</v>
      </c>
      <c r="T386">
        <v>4</v>
      </c>
      <c r="U386">
        <v>14288</v>
      </c>
      <c r="V386">
        <v>4</v>
      </c>
    </row>
    <row r="387" spans="1:22" x14ac:dyDescent="0.35">
      <c r="A387">
        <v>386</v>
      </c>
      <c r="B387" t="s">
        <v>259</v>
      </c>
      <c r="C387" t="s">
        <v>311</v>
      </c>
      <c r="D387">
        <v>2023</v>
      </c>
      <c r="E387" t="s">
        <v>31</v>
      </c>
      <c r="F387">
        <v>20.399999999999999</v>
      </c>
      <c r="G387" t="s">
        <v>357</v>
      </c>
      <c r="H387">
        <f>electric_vehicles_dataset[[#This Row],[Battery_Capacity_kWh]]/electric_vehicles_dataset[[#This Row],[Range_km]]</f>
        <v>3.4693877551020408E-2</v>
      </c>
      <c r="I387">
        <v>588</v>
      </c>
      <c r="J387" t="s">
        <v>356</v>
      </c>
      <c r="K387">
        <v>2</v>
      </c>
      <c r="L387" s="1">
        <v>94236.49</v>
      </c>
      <c r="M387" s="1" t="str" cm="1">
        <f t="array" ref="M38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87" t="s">
        <v>91</v>
      </c>
      <c r="O387" t="s">
        <v>50</v>
      </c>
      <c r="P387" s="2" t="s">
        <v>396</v>
      </c>
      <c r="Q387">
        <v>3</v>
      </c>
      <c r="R387" t="s">
        <v>397</v>
      </c>
      <c r="S387" s="1">
        <f>electric_vehicles_dataset[[#This Row],[Units_Sold_2024]]*electric_vehicles_dataset[[#This Row],[Price_USD]]</f>
        <v>279882375.30000001</v>
      </c>
      <c r="T387">
        <v>5</v>
      </c>
      <c r="U387">
        <v>2970</v>
      </c>
      <c r="V387">
        <v>4</v>
      </c>
    </row>
    <row r="388" spans="1:22" x14ac:dyDescent="0.35">
      <c r="A388">
        <v>387</v>
      </c>
      <c r="B388" t="s">
        <v>82</v>
      </c>
      <c r="C388" t="s">
        <v>281</v>
      </c>
      <c r="D388">
        <v>2016</v>
      </c>
      <c r="E388" t="s">
        <v>26</v>
      </c>
      <c r="F388">
        <v>79.8</v>
      </c>
      <c r="G388" t="s">
        <v>351</v>
      </c>
      <c r="H388">
        <f>electric_vehicles_dataset[[#This Row],[Battery_Capacity_kWh]]/electric_vehicles_dataset[[#This Row],[Range_km]]</f>
        <v>0.16219512195121952</v>
      </c>
      <c r="I388">
        <v>492</v>
      </c>
      <c r="J388" t="s">
        <v>54</v>
      </c>
      <c r="K388">
        <v>8</v>
      </c>
      <c r="L388" s="1">
        <v>51194.2</v>
      </c>
      <c r="M388" s="1" t="str" cm="1">
        <f t="array" ref="M3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88" t="s">
        <v>210</v>
      </c>
      <c r="O388" t="s">
        <v>110</v>
      </c>
      <c r="P388" s="2" t="s">
        <v>394</v>
      </c>
      <c r="Q388">
        <v>2</v>
      </c>
      <c r="R388" t="s">
        <v>391</v>
      </c>
      <c r="S388" s="1">
        <f>electric_vehicles_dataset[[#This Row],[Units_Sold_2024]]*electric_vehicles_dataset[[#This Row],[Price_USD]]</f>
        <v>602658122.39999998</v>
      </c>
      <c r="T388">
        <v>5</v>
      </c>
      <c r="U388">
        <v>11772</v>
      </c>
      <c r="V388">
        <v>4</v>
      </c>
    </row>
    <row r="389" spans="1:22" x14ac:dyDescent="0.35">
      <c r="A389">
        <v>388</v>
      </c>
      <c r="B389" t="s">
        <v>200</v>
      </c>
      <c r="C389" t="s">
        <v>368</v>
      </c>
      <c r="D389">
        <v>2018</v>
      </c>
      <c r="E389" t="s">
        <v>101</v>
      </c>
      <c r="F389">
        <v>24.6</v>
      </c>
      <c r="G389" t="s">
        <v>357</v>
      </c>
      <c r="H389">
        <f>electric_vehicles_dataset[[#This Row],[Battery_Capacity_kWh]]/electric_vehicles_dataset[[#This Row],[Range_km]]</f>
        <v>0.21964285714285717</v>
      </c>
      <c r="I389">
        <v>112</v>
      </c>
      <c r="J389" t="s">
        <v>353</v>
      </c>
      <c r="K389">
        <v>6</v>
      </c>
      <c r="L389" s="1">
        <v>37559.120000000003</v>
      </c>
      <c r="M389" s="1" t="str" cm="1">
        <f t="array" ref="M38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89" t="s">
        <v>19</v>
      </c>
      <c r="O389" t="s">
        <v>111</v>
      </c>
      <c r="P389" s="2" t="s">
        <v>389</v>
      </c>
      <c r="Q389">
        <v>3</v>
      </c>
      <c r="R389" t="s">
        <v>397</v>
      </c>
      <c r="S389" s="1">
        <f>electric_vehicles_dataset[[#This Row],[Units_Sold_2024]]*electric_vehicles_dataset[[#This Row],[Price_USD]]</f>
        <v>417544737.04000002</v>
      </c>
      <c r="T389">
        <v>4</v>
      </c>
      <c r="U389">
        <v>11117</v>
      </c>
      <c r="V389">
        <v>3</v>
      </c>
    </row>
    <row r="390" spans="1:22" x14ac:dyDescent="0.35">
      <c r="A390">
        <v>389</v>
      </c>
      <c r="B390" t="s">
        <v>313</v>
      </c>
      <c r="C390" t="s">
        <v>314</v>
      </c>
      <c r="D390">
        <v>2021</v>
      </c>
      <c r="E390" t="s">
        <v>58</v>
      </c>
      <c r="F390">
        <v>47.5</v>
      </c>
      <c r="G390" t="s">
        <v>348</v>
      </c>
      <c r="H390">
        <f>electric_vehicles_dataset[[#This Row],[Battery_Capacity_kWh]]/electric_vehicles_dataset[[#This Row],[Range_km]]</f>
        <v>0.10944700460829493</v>
      </c>
      <c r="I390">
        <v>434</v>
      </c>
      <c r="J390" t="s">
        <v>345</v>
      </c>
      <c r="K390">
        <v>11</v>
      </c>
      <c r="L390" s="1">
        <v>134424</v>
      </c>
      <c r="M390" s="1" t="str" cm="1">
        <f t="array" ref="M39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90" t="s">
        <v>19</v>
      </c>
      <c r="O390" t="s">
        <v>44</v>
      </c>
      <c r="P390" s="2" t="s">
        <v>389</v>
      </c>
      <c r="Q390">
        <v>1</v>
      </c>
      <c r="R390" t="s">
        <v>391</v>
      </c>
      <c r="S390" s="1">
        <f>electric_vehicles_dataset[[#This Row],[Units_Sold_2024]]*electric_vehicles_dataset[[#This Row],[Price_USD]]</f>
        <v>623592936</v>
      </c>
      <c r="T390">
        <v>4</v>
      </c>
      <c r="U390">
        <v>4639</v>
      </c>
      <c r="V390">
        <v>4</v>
      </c>
    </row>
    <row r="391" spans="1:22" x14ac:dyDescent="0.35">
      <c r="A391">
        <v>390</v>
      </c>
      <c r="B391" t="s">
        <v>224</v>
      </c>
      <c r="C391" t="s">
        <v>280</v>
      </c>
      <c r="D391">
        <v>2022</v>
      </c>
      <c r="E391" t="s">
        <v>53</v>
      </c>
      <c r="F391">
        <v>139.30000000000001</v>
      </c>
      <c r="G391" t="s">
        <v>352</v>
      </c>
      <c r="H391">
        <f>electric_vehicles_dataset[[#This Row],[Battery_Capacity_kWh]]/electric_vehicles_dataset[[#This Row],[Range_km]]</f>
        <v>1.1325203252032521</v>
      </c>
      <c r="I391">
        <v>123</v>
      </c>
      <c r="J391" t="s">
        <v>353</v>
      </c>
      <c r="K391">
        <v>9</v>
      </c>
      <c r="L391" s="1">
        <v>45664.53</v>
      </c>
      <c r="M391" s="1" t="str" cm="1">
        <f t="array" ref="M39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91" t="s">
        <v>229</v>
      </c>
      <c r="O391" t="s">
        <v>67</v>
      </c>
      <c r="P391" s="2" t="s">
        <v>394</v>
      </c>
      <c r="Q391">
        <v>0</v>
      </c>
      <c r="R391" t="s">
        <v>390</v>
      </c>
      <c r="S391" s="1">
        <f>electric_vehicles_dataset[[#This Row],[Units_Sold_2024]]*electric_vehicles_dataset[[#This Row],[Price_USD]]</f>
        <v>95667190.349999994</v>
      </c>
      <c r="T391">
        <v>5</v>
      </c>
      <c r="U391">
        <v>2095</v>
      </c>
      <c r="V391">
        <v>3</v>
      </c>
    </row>
    <row r="392" spans="1:22" x14ac:dyDescent="0.35">
      <c r="A392">
        <v>391</v>
      </c>
      <c r="B392" t="s">
        <v>64</v>
      </c>
      <c r="C392" t="s">
        <v>65</v>
      </c>
      <c r="D392">
        <v>2024</v>
      </c>
      <c r="E392" t="s">
        <v>183</v>
      </c>
      <c r="F392">
        <v>100</v>
      </c>
      <c r="G392" t="s">
        <v>350</v>
      </c>
      <c r="H392">
        <f>electric_vehicles_dataset[[#This Row],[Battery_Capacity_kWh]]/electric_vehicles_dataset[[#This Row],[Range_km]]</f>
        <v>0.75757575757575757</v>
      </c>
      <c r="I392">
        <v>132</v>
      </c>
      <c r="J392" t="s">
        <v>359</v>
      </c>
      <c r="K392">
        <v>5</v>
      </c>
      <c r="L392" s="1">
        <v>127382.52</v>
      </c>
      <c r="M392" s="1" t="str" cm="1">
        <f t="array" ref="M3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92" t="s">
        <v>277</v>
      </c>
      <c r="O392" t="s">
        <v>164</v>
      </c>
      <c r="P392" s="2" t="s">
        <v>394</v>
      </c>
      <c r="Q392">
        <v>5</v>
      </c>
      <c r="R392" t="s">
        <v>392</v>
      </c>
      <c r="S392" s="1">
        <f>electric_vehicles_dataset[[#This Row],[Units_Sold_2024]]*electric_vehicles_dataset[[#This Row],[Price_USD]]</f>
        <v>190182102.36000001</v>
      </c>
      <c r="T392">
        <v>3</v>
      </c>
      <c r="U392">
        <v>1493</v>
      </c>
      <c r="V392">
        <v>5</v>
      </c>
    </row>
    <row r="393" spans="1:22" x14ac:dyDescent="0.35">
      <c r="A393">
        <v>392</v>
      </c>
      <c r="B393" t="s">
        <v>120</v>
      </c>
      <c r="C393" t="s">
        <v>195</v>
      </c>
      <c r="D393">
        <v>2016</v>
      </c>
      <c r="E393" t="s">
        <v>58</v>
      </c>
      <c r="F393">
        <v>55.6</v>
      </c>
      <c r="G393" t="s">
        <v>348</v>
      </c>
      <c r="H393">
        <f>electric_vehicles_dataset[[#This Row],[Battery_Capacity_kWh]]/electric_vehicles_dataset[[#This Row],[Range_km]]</f>
        <v>0.11416837782340862</v>
      </c>
      <c r="I393">
        <v>487</v>
      </c>
      <c r="J393" t="s">
        <v>358</v>
      </c>
      <c r="K393">
        <v>2</v>
      </c>
      <c r="L393" s="1">
        <v>74391.28</v>
      </c>
      <c r="M393" s="1" t="str" cm="1">
        <f t="array" ref="M39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93" t="s">
        <v>177</v>
      </c>
      <c r="O393" t="s">
        <v>236</v>
      </c>
      <c r="P393" s="2" t="s">
        <v>394</v>
      </c>
      <c r="Q393">
        <v>4</v>
      </c>
      <c r="R393" t="s">
        <v>392</v>
      </c>
      <c r="S393" s="1">
        <f>electric_vehicles_dataset[[#This Row],[Units_Sold_2024]]*electric_vehicles_dataset[[#This Row],[Price_USD]]</f>
        <v>916872526</v>
      </c>
      <c r="T393">
        <v>4</v>
      </c>
      <c r="U393">
        <v>12325</v>
      </c>
      <c r="V393">
        <v>3</v>
      </c>
    </row>
    <row r="394" spans="1:22" x14ac:dyDescent="0.35">
      <c r="A394">
        <v>393</v>
      </c>
      <c r="B394" t="s">
        <v>144</v>
      </c>
      <c r="C394" t="s">
        <v>145</v>
      </c>
      <c r="D394">
        <v>2016</v>
      </c>
      <c r="E394" t="s">
        <v>84</v>
      </c>
      <c r="F394">
        <v>20.9</v>
      </c>
      <c r="G394" t="s">
        <v>357</v>
      </c>
      <c r="H394">
        <f>electric_vehicles_dataset[[#This Row],[Battery_Capacity_kWh]]/electric_vehicles_dataset[[#This Row],[Range_km]]</f>
        <v>3.6411149825783973E-2</v>
      </c>
      <c r="I394">
        <v>574</v>
      </c>
      <c r="J394" t="s">
        <v>364</v>
      </c>
      <c r="K394">
        <v>9</v>
      </c>
      <c r="L394" s="1">
        <v>101247.66</v>
      </c>
      <c r="M394" s="1" t="str" cm="1">
        <f t="array" ref="M39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94" t="s">
        <v>179</v>
      </c>
      <c r="O394" t="s">
        <v>169</v>
      </c>
      <c r="P394" s="2" t="s">
        <v>394</v>
      </c>
      <c r="Q394">
        <v>3</v>
      </c>
      <c r="R394" t="s">
        <v>397</v>
      </c>
      <c r="S394" s="1">
        <f>electric_vehicles_dataset[[#This Row],[Units_Sold_2024]]*electric_vehicles_dataset[[#This Row],[Price_USD]]</f>
        <v>898876725.48000002</v>
      </c>
      <c r="T394">
        <v>5</v>
      </c>
      <c r="U394">
        <v>8878</v>
      </c>
      <c r="V394">
        <v>5</v>
      </c>
    </row>
    <row r="395" spans="1:22" x14ac:dyDescent="0.35">
      <c r="A395">
        <v>394</v>
      </c>
      <c r="B395" t="s">
        <v>96</v>
      </c>
      <c r="C395" t="s">
        <v>116</v>
      </c>
      <c r="D395">
        <v>2018</v>
      </c>
      <c r="E395" t="s">
        <v>101</v>
      </c>
      <c r="F395">
        <v>99.4</v>
      </c>
      <c r="G395" t="s">
        <v>350</v>
      </c>
      <c r="H395">
        <f>electric_vehicles_dataset[[#This Row],[Battery_Capacity_kWh]]/electric_vehicles_dataset[[#This Row],[Range_km]]</f>
        <v>0.83529411764705885</v>
      </c>
      <c r="I395">
        <v>119</v>
      </c>
      <c r="J395" t="s">
        <v>85</v>
      </c>
      <c r="K395">
        <v>9</v>
      </c>
      <c r="L395" s="1">
        <v>103445.98</v>
      </c>
      <c r="M395" s="1" t="str" cm="1">
        <f t="array" ref="M3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95" t="s">
        <v>143</v>
      </c>
      <c r="O395" t="s">
        <v>111</v>
      </c>
      <c r="P395" s="2" t="s">
        <v>389</v>
      </c>
      <c r="Q395">
        <v>0</v>
      </c>
      <c r="R395" t="s">
        <v>390</v>
      </c>
      <c r="S395" s="1">
        <f>electric_vehicles_dataset[[#This Row],[Units_Sold_2024]]*electric_vehicles_dataset[[#This Row],[Price_USD]]</f>
        <v>324303147.30000001</v>
      </c>
      <c r="T395">
        <v>5</v>
      </c>
      <c r="U395">
        <v>3135</v>
      </c>
      <c r="V395">
        <v>5</v>
      </c>
    </row>
    <row r="396" spans="1:22" x14ac:dyDescent="0.35">
      <c r="A396">
        <v>395</v>
      </c>
      <c r="B396" t="s">
        <v>187</v>
      </c>
      <c r="C396" t="s">
        <v>318</v>
      </c>
      <c r="D396">
        <v>2023</v>
      </c>
      <c r="E396" t="s">
        <v>31</v>
      </c>
      <c r="F396">
        <v>80.3</v>
      </c>
      <c r="G396" t="s">
        <v>350</v>
      </c>
      <c r="H396">
        <f>electric_vehicles_dataset[[#This Row],[Battery_Capacity_kWh]]/electric_vehicles_dataset[[#This Row],[Range_km]]</f>
        <v>0.19119047619047619</v>
      </c>
      <c r="I396">
        <v>420</v>
      </c>
      <c r="J396" t="s">
        <v>359</v>
      </c>
      <c r="K396">
        <v>4</v>
      </c>
      <c r="L396" s="1">
        <v>53246.28</v>
      </c>
      <c r="M396" s="1" t="str" cm="1">
        <f t="array" ref="M39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96" t="s">
        <v>81</v>
      </c>
      <c r="O396" t="s">
        <v>44</v>
      </c>
      <c r="P396" s="2" t="s">
        <v>389</v>
      </c>
      <c r="Q396">
        <v>3</v>
      </c>
      <c r="R396" t="s">
        <v>397</v>
      </c>
      <c r="S396" s="1">
        <f>electric_vehicles_dataset[[#This Row],[Units_Sold_2024]]*electric_vehicles_dataset[[#This Row],[Price_USD]]</f>
        <v>94245915.599999994</v>
      </c>
      <c r="T396">
        <v>3</v>
      </c>
      <c r="U396">
        <v>1770</v>
      </c>
      <c r="V396">
        <v>5</v>
      </c>
    </row>
    <row r="397" spans="1:22" x14ac:dyDescent="0.35">
      <c r="A397">
        <v>396</v>
      </c>
      <c r="B397" t="s">
        <v>187</v>
      </c>
      <c r="C397" t="s">
        <v>319</v>
      </c>
      <c r="D397">
        <v>2018</v>
      </c>
      <c r="E397" t="s">
        <v>42</v>
      </c>
      <c r="F397">
        <v>52.7</v>
      </c>
      <c r="G397" t="s">
        <v>348</v>
      </c>
      <c r="H397">
        <f>electric_vehicles_dataset[[#This Row],[Battery_Capacity_kWh]]/electric_vehicles_dataset[[#This Row],[Range_km]]</f>
        <v>0.12698795180722891</v>
      </c>
      <c r="I397">
        <v>415</v>
      </c>
      <c r="J397" t="s">
        <v>345</v>
      </c>
      <c r="K397">
        <v>1</v>
      </c>
      <c r="L397" s="1">
        <v>118850.03</v>
      </c>
      <c r="M397" s="1" t="str" cm="1">
        <f t="array" ref="M39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97" t="s">
        <v>19</v>
      </c>
      <c r="O397" t="s">
        <v>86</v>
      </c>
      <c r="P397" s="2" t="s">
        <v>389</v>
      </c>
      <c r="Q397">
        <v>0</v>
      </c>
      <c r="R397" t="s">
        <v>390</v>
      </c>
      <c r="S397" s="1">
        <f>electric_vehicles_dataset[[#This Row],[Units_Sold_2024]]*electric_vehicles_dataset[[#This Row],[Price_USD]]</f>
        <v>1732239187.25</v>
      </c>
      <c r="T397">
        <v>3</v>
      </c>
      <c r="U397">
        <v>14575</v>
      </c>
      <c r="V397">
        <v>5</v>
      </c>
    </row>
    <row r="398" spans="1:22" x14ac:dyDescent="0.35">
      <c r="A398">
        <v>397</v>
      </c>
      <c r="B398" t="s">
        <v>41</v>
      </c>
      <c r="C398" t="s">
        <v>148</v>
      </c>
      <c r="D398">
        <v>2021</v>
      </c>
      <c r="E398" t="s">
        <v>31</v>
      </c>
      <c r="F398">
        <v>117.1</v>
      </c>
      <c r="G398" t="s">
        <v>361</v>
      </c>
      <c r="H398">
        <f>electric_vehicles_dataset[[#This Row],[Battery_Capacity_kWh]]/electric_vehicles_dataset[[#This Row],[Range_km]]</f>
        <v>0.20948121645796064</v>
      </c>
      <c r="I398">
        <v>559</v>
      </c>
      <c r="J398" t="s">
        <v>38</v>
      </c>
      <c r="K398">
        <v>3</v>
      </c>
      <c r="L398" s="1">
        <v>43215.94</v>
      </c>
      <c r="M398" s="1" t="str" cm="1">
        <f t="array" ref="M39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98" t="s">
        <v>102</v>
      </c>
      <c r="O398" t="s">
        <v>93</v>
      </c>
      <c r="P398" s="2" t="s">
        <v>389</v>
      </c>
      <c r="Q398">
        <v>3</v>
      </c>
      <c r="R398" t="s">
        <v>397</v>
      </c>
      <c r="S398" s="1">
        <f>electric_vehicles_dataset[[#This Row],[Units_Sold_2024]]*electric_vehicles_dataset[[#This Row],[Price_USD]]</f>
        <v>104107199.46000001</v>
      </c>
      <c r="T398">
        <v>3</v>
      </c>
      <c r="U398">
        <v>2409</v>
      </c>
      <c r="V398">
        <v>4</v>
      </c>
    </row>
    <row r="399" spans="1:22" x14ac:dyDescent="0.35">
      <c r="A399">
        <v>398</v>
      </c>
      <c r="B399" t="s">
        <v>41</v>
      </c>
      <c r="C399" t="s">
        <v>355</v>
      </c>
      <c r="D399">
        <v>2015</v>
      </c>
      <c r="E399" t="s">
        <v>53</v>
      </c>
      <c r="F399">
        <v>76.7</v>
      </c>
      <c r="G399" t="s">
        <v>351</v>
      </c>
      <c r="H399">
        <f>electric_vehicles_dataset[[#This Row],[Battery_Capacity_kWh]]/electric_vehicles_dataset[[#This Row],[Range_km]]</f>
        <v>0.36523809523809525</v>
      </c>
      <c r="I399">
        <v>210</v>
      </c>
      <c r="J399" t="s">
        <v>345</v>
      </c>
      <c r="K399">
        <v>3</v>
      </c>
      <c r="L399" s="1">
        <v>74818.210000000006</v>
      </c>
      <c r="M399" s="1" t="str" cm="1">
        <f t="array" ref="M39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99" t="s">
        <v>32</v>
      </c>
      <c r="O399" t="s">
        <v>63</v>
      </c>
      <c r="P399" s="2" t="s">
        <v>389</v>
      </c>
      <c r="Q399">
        <v>2</v>
      </c>
      <c r="R399" t="s">
        <v>391</v>
      </c>
      <c r="S399" s="1">
        <f>electric_vehicles_dataset[[#This Row],[Units_Sold_2024]]*electric_vehicles_dataset[[#This Row],[Price_USD]]</f>
        <v>1394162525.1400001</v>
      </c>
      <c r="T399">
        <v>5</v>
      </c>
      <c r="U399">
        <v>18634</v>
      </c>
      <c r="V399">
        <v>3</v>
      </c>
    </row>
    <row r="400" spans="1:22" x14ac:dyDescent="0.35">
      <c r="A400">
        <v>399</v>
      </c>
      <c r="B400" t="s">
        <v>122</v>
      </c>
      <c r="C400" t="s">
        <v>186</v>
      </c>
      <c r="D400">
        <v>2016</v>
      </c>
      <c r="E400" t="s">
        <v>26</v>
      </c>
      <c r="F400">
        <v>80.5</v>
      </c>
      <c r="G400" t="s">
        <v>350</v>
      </c>
      <c r="H400">
        <f>electric_vehicles_dataset[[#This Row],[Battery_Capacity_kWh]]/electric_vehicles_dataset[[#This Row],[Range_km]]</f>
        <v>0.25636942675159236</v>
      </c>
      <c r="I400">
        <v>314</v>
      </c>
      <c r="J400" t="s">
        <v>85</v>
      </c>
      <c r="K400">
        <v>9</v>
      </c>
      <c r="L400" s="1">
        <v>56382.43</v>
      </c>
      <c r="M400" s="1" t="str" cm="1">
        <f t="array" ref="M40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00" t="s">
        <v>179</v>
      </c>
      <c r="O400" t="s">
        <v>139</v>
      </c>
      <c r="P400" s="2" t="s">
        <v>389</v>
      </c>
      <c r="Q400">
        <v>5</v>
      </c>
      <c r="R400" t="s">
        <v>392</v>
      </c>
      <c r="S400" s="1">
        <f>electric_vehicles_dataset[[#This Row],[Units_Sold_2024]]*electric_vehicles_dataset[[#This Row],[Price_USD]]</f>
        <v>1021198572.16</v>
      </c>
      <c r="T400">
        <v>5</v>
      </c>
      <c r="U400">
        <v>18112</v>
      </c>
      <c r="V400">
        <v>3</v>
      </c>
    </row>
    <row r="401" spans="1:22" x14ac:dyDescent="0.35">
      <c r="A401">
        <v>400</v>
      </c>
      <c r="B401" t="s">
        <v>200</v>
      </c>
      <c r="C401" t="s">
        <v>368</v>
      </c>
      <c r="D401">
        <v>2023</v>
      </c>
      <c r="E401" t="s">
        <v>130</v>
      </c>
      <c r="F401">
        <v>132.1</v>
      </c>
      <c r="G401" t="s">
        <v>352</v>
      </c>
      <c r="H401">
        <f>electric_vehicles_dataset[[#This Row],[Battery_Capacity_kWh]]/electric_vehicles_dataset[[#This Row],[Range_km]]</f>
        <v>0.62904761904761897</v>
      </c>
      <c r="I401">
        <v>210</v>
      </c>
      <c r="J401" t="s">
        <v>356</v>
      </c>
      <c r="K401">
        <v>10</v>
      </c>
      <c r="L401" s="1">
        <v>63500.51</v>
      </c>
      <c r="M401" s="1" t="str" cm="1">
        <f t="array" ref="M40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01" t="s">
        <v>254</v>
      </c>
      <c r="O401" t="s">
        <v>199</v>
      </c>
      <c r="P401" s="2" t="s">
        <v>394</v>
      </c>
      <c r="Q401">
        <v>1</v>
      </c>
      <c r="R401" t="s">
        <v>391</v>
      </c>
      <c r="S401" s="1">
        <f>electric_vehicles_dataset[[#This Row],[Units_Sold_2024]]*electric_vehicles_dataset[[#This Row],[Price_USD]]</f>
        <v>1231338389.4100001</v>
      </c>
      <c r="T401">
        <v>3</v>
      </c>
      <c r="U401">
        <v>19391</v>
      </c>
      <c r="V401">
        <v>3</v>
      </c>
    </row>
    <row r="402" spans="1:22" x14ac:dyDescent="0.35">
      <c r="A402">
        <v>401</v>
      </c>
      <c r="B402" t="s">
        <v>261</v>
      </c>
      <c r="C402" t="s">
        <v>372</v>
      </c>
      <c r="D402">
        <v>2021</v>
      </c>
      <c r="E402" t="s">
        <v>84</v>
      </c>
      <c r="F402">
        <v>25.2</v>
      </c>
      <c r="G402" t="s">
        <v>357</v>
      </c>
      <c r="H402">
        <f>electric_vehicles_dataset[[#This Row],[Battery_Capacity_kWh]]/electric_vehicles_dataset[[#This Row],[Range_km]]</f>
        <v>7.4117647058823524E-2</v>
      </c>
      <c r="I402">
        <v>340</v>
      </c>
      <c r="J402" t="s">
        <v>27</v>
      </c>
      <c r="K402">
        <v>5</v>
      </c>
      <c r="L402" s="1">
        <v>77318.42</v>
      </c>
      <c r="M402" s="1" t="str" cm="1">
        <f t="array" ref="M4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02" t="s">
        <v>271</v>
      </c>
      <c r="O402" t="s">
        <v>93</v>
      </c>
      <c r="P402" s="2" t="s">
        <v>389</v>
      </c>
      <c r="Q402">
        <v>1</v>
      </c>
      <c r="R402" t="s">
        <v>391</v>
      </c>
      <c r="S402" s="1">
        <f>electric_vehicles_dataset[[#This Row],[Units_Sold_2024]]*electric_vehicles_dataset[[#This Row],[Price_USD]]</f>
        <v>1030190628.0799999</v>
      </c>
      <c r="T402">
        <v>5</v>
      </c>
      <c r="U402">
        <v>13324</v>
      </c>
      <c r="V402">
        <v>3</v>
      </c>
    </row>
    <row r="403" spans="1:22" x14ac:dyDescent="0.35">
      <c r="A403">
        <v>402</v>
      </c>
      <c r="B403" t="s">
        <v>60</v>
      </c>
      <c r="C403" t="s">
        <v>166</v>
      </c>
      <c r="D403">
        <v>2019</v>
      </c>
      <c r="E403" t="s">
        <v>31</v>
      </c>
      <c r="F403">
        <v>104.2</v>
      </c>
      <c r="G403" t="s">
        <v>361</v>
      </c>
      <c r="H403">
        <f>electric_vehicles_dataset[[#This Row],[Battery_Capacity_kWh]]/electric_vehicles_dataset[[#This Row],[Range_km]]</f>
        <v>0.71369863013698631</v>
      </c>
      <c r="I403">
        <v>146</v>
      </c>
      <c r="J403" t="s">
        <v>76</v>
      </c>
      <c r="K403">
        <v>6</v>
      </c>
      <c r="L403" s="1">
        <v>66580.39</v>
      </c>
      <c r="M403" s="1" t="str" cm="1">
        <f t="array" ref="M40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03" t="s">
        <v>66</v>
      </c>
      <c r="O403" t="s">
        <v>40</v>
      </c>
      <c r="P403" s="2" t="s">
        <v>395</v>
      </c>
      <c r="Q403">
        <v>5</v>
      </c>
      <c r="R403" t="s">
        <v>392</v>
      </c>
      <c r="S403" s="1">
        <f>electric_vehicles_dataset[[#This Row],[Units_Sold_2024]]*electric_vehicles_dataset[[#This Row],[Price_USD]]</f>
        <v>302408131.38</v>
      </c>
      <c r="T403">
        <v>4</v>
      </c>
      <c r="U403">
        <v>4542</v>
      </c>
      <c r="V403">
        <v>5</v>
      </c>
    </row>
    <row r="404" spans="1:22" x14ac:dyDescent="0.35">
      <c r="A404">
        <v>403</v>
      </c>
      <c r="B404" t="s">
        <v>36</v>
      </c>
      <c r="C404" t="s">
        <v>317</v>
      </c>
      <c r="D404">
        <v>2020</v>
      </c>
      <c r="E404" t="s">
        <v>73</v>
      </c>
      <c r="F404">
        <v>80.400000000000006</v>
      </c>
      <c r="G404" t="s">
        <v>350</v>
      </c>
      <c r="H404">
        <f>electric_vehicles_dataset[[#This Row],[Battery_Capacity_kWh]]/electric_vehicles_dataset[[#This Row],[Range_km]]</f>
        <v>0.18962264150943398</v>
      </c>
      <c r="I404">
        <v>424</v>
      </c>
      <c r="J404" t="s">
        <v>76</v>
      </c>
      <c r="K404">
        <v>10</v>
      </c>
      <c r="L404" s="1">
        <v>38483.83</v>
      </c>
      <c r="M404" s="1" t="str" cm="1">
        <f t="array" ref="M40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04" t="s">
        <v>35</v>
      </c>
      <c r="O404" t="s">
        <v>50</v>
      </c>
      <c r="P404" s="2" t="s">
        <v>396</v>
      </c>
      <c r="Q404">
        <v>2</v>
      </c>
      <c r="R404" t="s">
        <v>391</v>
      </c>
      <c r="S404" s="1">
        <f>electric_vehicles_dataset[[#This Row],[Units_Sold_2024]]*electric_vehicles_dataset[[#This Row],[Price_USD]]</f>
        <v>684011594.42000008</v>
      </c>
      <c r="T404">
        <v>5</v>
      </c>
      <c r="U404">
        <v>17774</v>
      </c>
      <c r="V404">
        <v>5</v>
      </c>
    </row>
    <row r="405" spans="1:22" x14ac:dyDescent="0.35">
      <c r="A405">
        <v>404</v>
      </c>
      <c r="B405" t="s">
        <v>170</v>
      </c>
      <c r="C405" t="s">
        <v>171</v>
      </c>
      <c r="D405">
        <v>2025</v>
      </c>
      <c r="E405" t="s">
        <v>58</v>
      </c>
      <c r="F405">
        <v>100.7</v>
      </c>
      <c r="G405" t="s">
        <v>361</v>
      </c>
      <c r="H405">
        <f>electric_vehicles_dataset[[#This Row],[Battery_Capacity_kWh]]/electric_vehicles_dataset[[#This Row],[Range_km]]</f>
        <v>0.37158671586715869</v>
      </c>
      <c r="I405">
        <v>271</v>
      </c>
      <c r="J405" t="s">
        <v>27</v>
      </c>
      <c r="K405">
        <v>6</v>
      </c>
      <c r="L405" s="1">
        <v>139200.49</v>
      </c>
      <c r="M405" s="1" t="str" cm="1">
        <f t="array" ref="M40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05" t="s">
        <v>165</v>
      </c>
      <c r="O405" t="s">
        <v>67</v>
      </c>
      <c r="P405" s="2" t="s">
        <v>394</v>
      </c>
      <c r="Q405">
        <v>2</v>
      </c>
      <c r="R405" t="s">
        <v>391</v>
      </c>
      <c r="S405" s="1">
        <f>electric_vehicles_dataset[[#This Row],[Units_Sold_2024]]*electric_vehicles_dataset[[#This Row],[Price_USD]]</f>
        <v>1671380283.4299998</v>
      </c>
      <c r="T405">
        <v>4</v>
      </c>
      <c r="U405">
        <v>12007</v>
      </c>
      <c r="V405">
        <v>3</v>
      </c>
    </row>
    <row r="406" spans="1:22" x14ac:dyDescent="0.35">
      <c r="A406">
        <v>405</v>
      </c>
      <c r="B406" t="s">
        <v>224</v>
      </c>
      <c r="C406" t="s">
        <v>280</v>
      </c>
      <c r="D406">
        <v>2023</v>
      </c>
      <c r="E406" t="s">
        <v>17</v>
      </c>
      <c r="F406">
        <v>120.6</v>
      </c>
      <c r="G406" t="s">
        <v>352</v>
      </c>
      <c r="H406">
        <f>electric_vehicles_dataset[[#This Row],[Battery_Capacity_kWh]]/electric_vehicles_dataset[[#This Row],[Range_km]]</f>
        <v>0.7094117647058823</v>
      </c>
      <c r="I406">
        <v>170</v>
      </c>
      <c r="J406" t="s">
        <v>38</v>
      </c>
      <c r="K406">
        <v>3</v>
      </c>
      <c r="L406" s="1">
        <v>43626.92</v>
      </c>
      <c r="M406" s="1" t="str" cm="1">
        <f t="array" ref="M40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06" t="s">
        <v>152</v>
      </c>
      <c r="O406" t="s">
        <v>167</v>
      </c>
      <c r="P406" s="2" t="s">
        <v>394</v>
      </c>
      <c r="Q406">
        <v>5</v>
      </c>
      <c r="R406" t="s">
        <v>392</v>
      </c>
      <c r="S406" s="1">
        <f>electric_vehicles_dataset[[#This Row],[Units_Sold_2024]]*electric_vehicles_dataset[[#This Row],[Price_USD]]</f>
        <v>458082660</v>
      </c>
      <c r="T406">
        <v>3</v>
      </c>
      <c r="U406">
        <v>10500</v>
      </c>
      <c r="V406">
        <v>4</v>
      </c>
    </row>
    <row r="407" spans="1:22" x14ac:dyDescent="0.35">
      <c r="A407">
        <v>406</v>
      </c>
      <c r="B407" t="s">
        <v>122</v>
      </c>
      <c r="C407" t="s">
        <v>250</v>
      </c>
      <c r="D407">
        <v>2025</v>
      </c>
      <c r="E407" t="s">
        <v>42</v>
      </c>
      <c r="F407">
        <v>56</v>
      </c>
      <c r="G407" t="s">
        <v>348</v>
      </c>
      <c r="H407">
        <f>electric_vehicles_dataset[[#This Row],[Battery_Capacity_kWh]]/electric_vehicles_dataset[[#This Row],[Range_km]]</f>
        <v>0.42424242424242425</v>
      </c>
      <c r="I407">
        <v>132</v>
      </c>
      <c r="J407" t="s">
        <v>149</v>
      </c>
      <c r="K407">
        <v>5</v>
      </c>
      <c r="L407" s="1">
        <v>88347.23</v>
      </c>
      <c r="M407" s="1" t="str" cm="1">
        <f t="array" ref="M4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07" t="s">
        <v>212</v>
      </c>
      <c r="O407" t="s">
        <v>147</v>
      </c>
      <c r="P407" s="2" t="s">
        <v>396</v>
      </c>
      <c r="Q407">
        <v>4</v>
      </c>
      <c r="R407" t="s">
        <v>392</v>
      </c>
      <c r="S407" s="1">
        <f>electric_vehicles_dataset[[#This Row],[Units_Sold_2024]]*electric_vehicles_dataset[[#This Row],[Price_USD]]</f>
        <v>1308422476.3</v>
      </c>
      <c r="T407">
        <v>4</v>
      </c>
      <c r="U407">
        <v>14810</v>
      </c>
      <c r="V407">
        <v>5</v>
      </c>
    </row>
    <row r="408" spans="1:22" x14ac:dyDescent="0.35">
      <c r="A408">
        <v>407</v>
      </c>
      <c r="B408" t="s">
        <v>187</v>
      </c>
      <c r="C408" t="s">
        <v>320</v>
      </c>
      <c r="D408">
        <v>2016</v>
      </c>
      <c r="E408" t="s">
        <v>31</v>
      </c>
      <c r="F408">
        <v>135.9</v>
      </c>
      <c r="G408" t="s">
        <v>352</v>
      </c>
      <c r="H408">
        <f>electric_vehicles_dataset[[#This Row],[Battery_Capacity_kWh]]/electric_vehicles_dataset[[#This Row],[Range_km]]</f>
        <v>0.40688622754491022</v>
      </c>
      <c r="I408">
        <v>334</v>
      </c>
      <c r="J408" t="s">
        <v>364</v>
      </c>
      <c r="K408">
        <v>1</v>
      </c>
      <c r="L408" s="1">
        <v>137753.5</v>
      </c>
      <c r="M408" s="1" t="str" cm="1">
        <f t="array" ref="M4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08" t="s">
        <v>179</v>
      </c>
      <c r="O408" t="s">
        <v>92</v>
      </c>
      <c r="P408" s="2" t="s">
        <v>394</v>
      </c>
      <c r="Q408">
        <v>4</v>
      </c>
      <c r="R408" t="s">
        <v>392</v>
      </c>
      <c r="S408" s="1">
        <f>electric_vehicles_dataset[[#This Row],[Units_Sold_2024]]*electric_vehicles_dataset[[#This Row],[Price_USD]]</f>
        <v>679262508.5</v>
      </c>
      <c r="T408">
        <v>4</v>
      </c>
      <c r="U408">
        <v>4931</v>
      </c>
      <c r="V408">
        <v>3</v>
      </c>
    </row>
    <row r="409" spans="1:22" x14ac:dyDescent="0.35">
      <c r="A409">
        <v>408</v>
      </c>
      <c r="B409" t="s">
        <v>207</v>
      </c>
      <c r="C409" t="s">
        <v>208</v>
      </c>
      <c r="D409">
        <v>2015</v>
      </c>
      <c r="E409" t="s">
        <v>133</v>
      </c>
      <c r="F409">
        <v>74.099999999999994</v>
      </c>
      <c r="G409" t="s">
        <v>351</v>
      </c>
      <c r="H409">
        <f>electric_vehicles_dataset[[#This Row],[Battery_Capacity_kWh]]/electric_vehicles_dataset[[#This Row],[Range_km]]</f>
        <v>0.16503340757238305</v>
      </c>
      <c r="I409">
        <v>449</v>
      </c>
      <c r="J409" t="s">
        <v>18</v>
      </c>
      <c r="K409">
        <v>6</v>
      </c>
      <c r="L409" s="1">
        <v>80415.600000000006</v>
      </c>
      <c r="M409" s="1" t="str" cm="1">
        <f t="array" ref="M40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09" t="s">
        <v>277</v>
      </c>
      <c r="O409" t="s">
        <v>135</v>
      </c>
      <c r="P409" s="2" t="s">
        <v>389</v>
      </c>
      <c r="Q409">
        <v>0</v>
      </c>
      <c r="R409" t="s">
        <v>390</v>
      </c>
      <c r="S409" s="1">
        <f>electric_vehicles_dataset[[#This Row],[Units_Sold_2024]]*electric_vehicles_dataset[[#This Row],[Price_USD]]</f>
        <v>885054093.60000002</v>
      </c>
      <c r="T409">
        <v>5</v>
      </c>
      <c r="U409">
        <v>11006</v>
      </c>
      <c r="V409">
        <v>4</v>
      </c>
    </row>
    <row r="410" spans="1:22" x14ac:dyDescent="0.35">
      <c r="A410">
        <v>409</v>
      </c>
      <c r="B410" t="s">
        <v>41</v>
      </c>
      <c r="C410" t="s">
        <v>148</v>
      </c>
      <c r="D410">
        <v>2025</v>
      </c>
      <c r="E410" t="s">
        <v>73</v>
      </c>
      <c r="F410">
        <v>122.3</v>
      </c>
      <c r="G410" t="s">
        <v>352</v>
      </c>
      <c r="H410">
        <f>electric_vehicles_dataset[[#This Row],[Battery_Capacity_kWh]]/electric_vehicles_dataset[[#This Row],[Range_km]]</f>
        <v>0.35143678160919539</v>
      </c>
      <c r="I410">
        <v>348</v>
      </c>
      <c r="J410" t="s">
        <v>345</v>
      </c>
      <c r="K410">
        <v>6</v>
      </c>
      <c r="L410" s="1">
        <v>98070.2</v>
      </c>
      <c r="M410" s="1" t="str" cm="1">
        <f t="array" ref="M41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10" t="s">
        <v>81</v>
      </c>
      <c r="O410" t="s">
        <v>111</v>
      </c>
      <c r="P410" s="2" t="s">
        <v>389</v>
      </c>
      <c r="Q410">
        <v>2</v>
      </c>
      <c r="R410" t="s">
        <v>391</v>
      </c>
      <c r="S410" s="1">
        <f>electric_vehicles_dataset[[#This Row],[Units_Sold_2024]]*electric_vehicles_dataset[[#This Row],[Price_USD]]</f>
        <v>152008810</v>
      </c>
      <c r="T410">
        <v>4</v>
      </c>
      <c r="U410">
        <v>1550</v>
      </c>
      <c r="V410">
        <v>3</v>
      </c>
    </row>
    <row r="411" spans="1:22" x14ac:dyDescent="0.35">
      <c r="A411">
        <v>410</v>
      </c>
      <c r="B411" t="s">
        <v>243</v>
      </c>
      <c r="C411" t="s">
        <v>371</v>
      </c>
      <c r="D411">
        <v>2022</v>
      </c>
      <c r="E411" t="s">
        <v>101</v>
      </c>
      <c r="F411">
        <v>100.4</v>
      </c>
      <c r="G411" t="s">
        <v>361</v>
      </c>
      <c r="H411">
        <f>electric_vehicles_dataset[[#This Row],[Battery_Capacity_kWh]]/electric_vehicles_dataset[[#This Row],[Range_km]]</f>
        <v>0.55164835164835169</v>
      </c>
      <c r="I411">
        <v>182</v>
      </c>
      <c r="J411" t="s">
        <v>54</v>
      </c>
      <c r="K411">
        <v>3</v>
      </c>
      <c r="L411" s="1">
        <v>51043.12</v>
      </c>
      <c r="M411" s="1" t="str" cm="1">
        <f t="array" ref="M4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11" t="s">
        <v>66</v>
      </c>
      <c r="O411" t="s">
        <v>44</v>
      </c>
      <c r="P411" s="2" t="s">
        <v>389</v>
      </c>
      <c r="Q411">
        <v>0</v>
      </c>
      <c r="R411" t="s">
        <v>390</v>
      </c>
      <c r="S411" s="1">
        <f>electric_vehicles_dataset[[#This Row],[Units_Sold_2024]]*electric_vehicles_dataset[[#This Row],[Price_USD]]</f>
        <v>737419954.63999999</v>
      </c>
      <c r="T411">
        <v>3</v>
      </c>
      <c r="U411">
        <v>14447</v>
      </c>
      <c r="V411">
        <v>4</v>
      </c>
    </row>
    <row r="412" spans="1:22" x14ac:dyDescent="0.35">
      <c r="A412">
        <v>411</v>
      </c>
      <c r="B412" t="s">
        <v>187</v>
      </c>
      <c r="C412" t="s">
        <v>302</v>
      </c>
      <c r="D412">
        <v>2018</v>
      </c>
      <c r="E412" t="s">
        <v>47</v>
      </c>
      <c r="F412">
        <v>111.9</v>
      </c>
      <c r="G412" t="s">
        <v>361</v>
      </c>
      <c r="H412">
        <f>electric_vehicles_dataset[[#This Row],[Battery_Capacity_kWh]]/electric_vehicles_dataset[[#This Row],[Range_km]]</f>
        <v>0.25431818181818183</v>
      </c>
      <c r="I412">
        <v>440</v>
      </c>
      <c r="J412" t="s">
        <v>38</v>
      </c>
      <c r="K412">
        <v>12</v>
      </c>
      <c r="L412" s="1">
        <v>47753.31</v>
      </c>
      <c r="M412" s="1" t="str" cm="1">
        <f t="array" ref="M41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12" t="s">
        <v>172</v>
      </c>
      <c r="O412" t="s">
        <v>107</v>
      </c>
      <c r="P412" s="2" t="s">
        <v>394</v>
      </c>
      <c r="Q412">
        <v>4</v>
      </c>
      <c r="R412" t="s">
        <v>392</v>
      </c>
      <c r="S412" s="1">
        <f>electric_vehicles_dataset[[#This Row],[Units_Sold_2024]]*electric_vehicles_dataset[[#This Row],[Price_USD]]</f>
        <v>781435164.83999991</v>
      </c>
      <c r="T412">
        <v>4</v>
      </c>
      <c r="U412">
        <v>16364</v>
      </c>
      <c r="V412">
        <v>3</v>
      </c>
    </row>
    <row r="413" spans="1:22" x14ac:dyDescent="0.35">
      <c r="A413">
        <v>412</v>
      </c>
      <c r="B413" t="s">
        <v>45</v>
      </c>
      <c r="C413" t="s">
        <v>283</v>
      </c>
      <c r="D413">
        <v>2017</v>
      </c>
      <c r="E413" t="s">
        <v>84</v>
      </c>
      <c r="F413">
        <v>146.1</v>
      </c>
      <c r="G413" t="s">
        <v>386</v>
      </c>
      <c r="H413">
        <f>electric_vehicles_dataset[[#This Row],[Battery_Capacity_kWh]]/electric_vehicles_dataset[[#This Row],[Range_km]]</f>
        <v>0.3854881266490765</v>
      </c>
      <c r="I413">
        <v>379</v>
      </c>
      <c r="J413" t="s">
        <v>38</v>
      </c>
      <c r="K413">
        <v>8</v>
      </c>
      <c r="L413" s="1">
        <v>65466.82</v>
      </c>
      <c r="M413" s="1" t="str" cm="1">
        <f t="array" ref="M4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13" t="s">
        <v>179</v>
      </c>
      <c r="O413" t="s">
        <v>182</v>
      </c>
      <c r="P413" s="2" t="s">
        <v>394</v>
      </c>
      <c r="Q413">
        <v>4</v>
      </c>
      <c r="R413" t="s">
        <v>392</v>
      </c>
      <c r="S413" s="1">
        <f>electric_vehicles_dataset[[#This Row],[Units_Sold_2024]]*electric_vehicles_dataset[[#This Row],[Price_USD]]</f>
        <v>240917897.59999999</v>
      </c>
      <c r="T413">
        <v>4</v>
      </c>
      <c r="U413">
        <v>3680</v>
      </c>
      <c r="V413">
        <v>5</v>
      </c>
    </row>
    <row r="414" spans="1:22" x14ac:dyDescent="0.35">
      <c r="A414">
        <v>413</v>
      </c>
      <c r="B414" t="s">
        <v>173</v>
      </c>
      <c r="C414" t="s">
        <v>249</v>
      </c>
      <c r="D414">
        <v>2017</v>
      </c>
      <c r="E414" t="s">
        <v>73</v>
      </c>
      <c r="F414">
        <v>91.6</v>
      </c>
      <c r="G414" t="s">
        <v>350</v>
      </c>
      <c r="H414">
        <f>electric_vehicles_dataset[[#This Row],[Battery_Capacity_kWh]]/electric_vehicles_dataset[[#This Row],[Range_km]]</f>
        <v>0.35642023346303497</v>
      </c>
      <c r="I414">
        <v>257</v>
      </c>
      <c r="J414" t="s">
        <v>76</v>
      </c>
      <c r="K414">
        <v>5</v>
      </c>
      <c r="L414" s="1">
        <v>130905.23</v>
      </c>
      <c r="M414" s="1" t="str" cm="1">
        <f t="array" ref="M41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14" t="s">
        <v>172</v>
      </c>
      <c r="O414" t="s">
        <v>202</v>
      </c>
      <c r="P414" s="2" t="s">
        <v>393</v>
      </c>
      <c r="Q414">
        <v>4</v>
      </c>
      <c r="R414" t="s">
        <v>392</v>
      </c>
      <c r="S414" s="1">
        <f>electric_vehicles_dataset[[#This Row],[Units_Sold_2024]]*electric_vehicles_dataset[[#This Row],[Price_USD]]</f>
        <v>2258115217.5</v>
      </c>
      <c r="T414">
        <v>5</v>
      </c>
      <c r="U414">
        <v>17250</v>
      </c>
      <c r="V414">
        <v>3</v>
      </c>
    </row>
    <row r="415" spans="1:22" x14ac:dyDescent="0.35">
      <c r="A415">
        <v>414</v>
      </c>
      <c r="B415" t="s">
        <v>170</v>
      </c>
      <c r="C415" t="s">
        <v>218</v>
      </c>
      <c r="D415">
        <v>2018</v>
      </c>
      <c r="E415" t="s">
        <v>84</v>
      </c>
      <c r="F415">
        <v>30.9</v>
      </c>
      <c r="G415" t="s">
        <v>357</v>
      </c>
      <c r="H415">
        <f>electric_vehicles_dataset[[#This Row],[Battery_Capacity_kWh]]/electric_vehicles_dataset[[#This Row],[Range_km]]</f>
        <v>5.7865168539325842E-2</v>
      </c>
      <c r="I415">
        <v>534</v>
      </c>
      <c r="J415" t="s">
        <v>345</v>
      </c>
      <c r="K415">
        <v>8</v>
      </c>
      <c r="L415" s="1">
        <v>144914.84</v>
      </c>
      <c r="M415" s="1" t="str" cm="1">
        <f t="array" ref="M41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15" t="s">
        <v>246</v>
      </c>
      <c r="O415" t="s">
        <v>164</v>
      </c>
      <c r="P415" s="2" t="s">
        <v>394</v>
      </c>
      <c r="Q415">
        <v>2</v>
      </c>
      <c r="R415" t="s">
        <v>391</v>
      </c>
      <c r="S415" s="1">
        <f>electric_vehicles_dataset[[#This Row],[Units_Sold_2024]]*electric_vehicles_dataset[[#This Row],[Price_USD]]</f>
        <v>1714487472.04</v>
      </c>
      <c r="T415">
        <v>3</v>
      </c>
      <c r="U415">
        <v>11831</v>
      </c>
      <c r="V415">
        <v>4</v>
      </c>
    </row>
    <row r="416" spans="1:22" x14ac:dyDescent="0.35">
      <c r="A416">
        <v>415</v>
      </c>
      <c r="B416" t="s">
        <v>153</v>
      </c>
      <c r="C416" t="s">
        <v>310</v>
      </c>
      <c r="D416">
        <v>2020</v>
      </c>
      <c r="E416" t="s">
        <v>42</v>
      </c>
      <c r="F416">
        <v>68.5</v>
      </c>
      <c r="G416" t="s">
        <v>351</v>
      </c>
      <c r="H416">
        <f>electric_vehicles_dataset[[#This Row],[Battery_Capacity_kWh]]/electric_vehicles_dataset[[#This Row],[Range_km]]</f>
        <v>0.2795918367346939</v>
      </c>
      <c r="I416">
        <v>245</v>
      </c>
      <c r="J416" t="s">
        <v>149</v>
      </c>
      <c r="K416">
        <v>5</v>
      </c>
      <c r="L416" s="1">
        <v>147302.84</v>
      </c>
      <c r="M416" s="1" t="str" cm="1">
        <f t="array" ref="M41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16" t="s">
        <v>114</v>
      </c>
      <c r="O416" t="s">
        <v>20</v>
      </c>
      <c r="P416" s="2" t="s">
        <v>389</v>
      </c>
      <c r="Q416">
        <v>3</v>
      </c>
      <c r="R416" t="s">
        <v>397</v>
      </c>
      <c r="S416" s="1">
        <f>electric_vehicles_dataset[[#This Row],[Units_Sold_2024]]*electric_vehicles_dataset[[#This Row],[Price_USD]]</f>
        <v>1393042957.8799999</v>
      </c>
      <c r="T416">
        <v>4</v>
      </c>
      <c r="U416">
        <v>9457</v>
      </c>
      <c r="V416">
        <v>3</v>
      </c>
    </row>
    <row r="417" spans="1:22" x14ac:dyDescent="0.35">
      <c r="A417">
        <v>416</v>
      </c>
      <c r="B417" t="s">
        <v>74</v>
      </c>
      <c r="C417" t="s">
        <v>75</v>
      </c>
      <c r="D417">
        <v>2021</v>
      </c>
      <c r="E417" t="s">
        <v>101</v>
      </c>
      <c r="F417">
        <v>128.6</v>
      </c>
      <c r="G417" t="s">
        <v>352</v>
      </c>
      <c r="H417">
        <f>electric_vehicles_dataset[[#This Row],[Battery_Capacity_kWh]]/electric_vehicles_dataset[[#This Row],[Range_km]]</f>
        <v>0.31674876847290639</v>
      </c>
      <c r="I417">
        <v>406</v>
      </c>
      <c r="J417" t="s">
        <v>364</v>
      </c>
      <c r="K417">
        <v>2</v>
      </c>
      <c r="L417" s="1">
        <v>66387.740000000005</v>
      </c>
      <c r="M417" s="1" t="str" cm="1">
        <f t="array" ref="M41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17" t="s">
        <v>212</v>
      </c>
      <c r="O417" t="s">
        <v>50</v>
      </c>
      <c r="P417" s="2" t="s">
        <v>396</v>
      </c>
      <c r="Q417">
        <v>3</v>
      </c>
      <c r="R417" t="s">
        <v>397</v>
      </c>
      <c r="S417" s="1">
        <f>electric_vehicles_dataset[[#This Row],[Units_Sold_2024]]*electric_vehicles_dataset[[#This Row],[Price_USD]]</f>
        <v>14339751.840000002</v>
      </c>
      <c r="T417">
        <v>3</v>
      </c>
      <c r="U417">
        <v>216</v>
      </c>
      <c r="V417">
        <v>4</v>
      </c>
    </row>
    <row r="418" spans="1:22" x14ac:dyDescent="0.35">
      <c r="A418">
        <v>417</v>
      </c>
      <c r="B418" t="s">
        <v>16</v>
      </c>
      <c r="C418" t="s">
        <v>347</v>
      </c>
      <c r="D418">
        <v>2021</v>
      </c>
      <c r="E418" t="s">
        <v>101</v>
      </c>
      <c r="F418">
        <v>92.3</v>
      </c>
      <c r="G418" t="s">
        <v>350</v>
      </c>
      <c r="H418">
        <f>electric_vehicles_dataset[[#This Row],[Battery_Capacity_kWh]]/electric_vehicles_dataset[[#This Row],[Range_km]]</f>
        <v>0.19935205183585314</v>
      </c>
      <c r="I418">
        <v>463</v>
      </c>
      <c r="J418" t="s">
        <v>18</v>
      </c>
      <c r="K418">
        <v>3</v>
      </c>
      <c r="L418" s="1">
        <v>129874.05</v>
      </c>
      <c r="M418" s="1" t="str" cm="1">
        <f t="array" ref="M4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18" t="s">
        <v>179</v>
      </c>
      <c r="O418" t="s">
        <v>354</v>
      </c>
      <c r="P418" s="2" t="s">
        <v>394</v>
      </c>
      <c r="Q418">
        <v>2</v>
      </c>
      <c r="R418" t="s">
        <v>391</v>
      </c>
      <c r="S418" s="1">
        <f>electric_vehicles_dataset[[#This Row],[Units_Sold_2024]]*electric_vehicles_dataset[[#This Row],[Price_USD]]</f>
        <v>1972267323.3</v>
      </c>
      <c r="T418">
        <v>5</v>
      </c>
      <c r="U418">
        <v>15186</v>
      </c>
      <c r="V418">
        <v>3</v>
      </c>
    </row>
    <row r="419" spans="1:22" x14ac:dyDescent="0.35">
      <c r="A419">
        <v>418</v>
      </c>
      <c r="B419" t="s">
        <v>144</v>
      </c>
      <c r="C419" t="s">
        <v>273</v>
      </c>
      <c r="D419">
        <v>2017</v>
      </c>
      <c r="E419" t="s">
        <v>133</v>
      </c>
      <c r="F419">
        <v>59</v>
      </c>
      <c r="G419" t="s">
        <v>348</v>
      </c>
      <c r="H419">
        <f>electric_vehicles_dataset[[#This Row],[Battery_Capacity_kWh]]/electric_vehicles_dataset[[#This Row],[Range_km]]</f>
        <v>0.13817330210772832</v>
      </c>
      <c r="I419">
        <v>427</v>
      </c>
      <c r="J419" t="s">
        <v>356</v>
      </c>
      <c r="K419">
        <v>2</v>
      </c>
      <c r="L419" s="1">
        <v>109909.62</v>
      </c>
      <c r="M419" s="1" t="str" cm="1">
        <f t="array" ref="M41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19" t="s">
        <v>179</v>
      </c>
      <c r="O419" t="s">
        <v>169</v>
      </c>
      <c r="P419" s="2" t="s">
        <v>394</v>
      </c>
      <c r="Q419">
        <v>5</v>
      </c>
      <c r="R419" t="s">
        <v>392</v>
      </c>
      <c r="S419" s="1">
        <f>electric_vehicles_dataset[[#This Row],[Units_Sold_2024]]*electric_vehicles_dataset[[#This Row],[Price_USD]]</f>
        <v>998309078.45999992</v>
      </c>
      <c r="T419">
        <v>4</v>
      </c>
      <c r="U419">
        <v>9083</v>
      </c>
      <c r="V419">
        <v>4</v>
      </c>
    </row>
    <row r="420" spans="1:22" x14ac:dyDescent="0.35">
      <c r="A420">
        <v>419</v>
      </c>
      <c r="B420" t="s">
        <v>29</v>
      </c>
      <c r="C420" t="s">
        <v>378</v>
      </c>
      <c r="D420">
        <v>2020</v>
      </c>
      <c r="E420" t="s">
        <v>90</v>
      </c>
      <c r="F420">
        <v>82.5</v>
      </c>
      <c r="G420" t="s">
        <v>350</v>
      </c>
      <c r="H420">
        <f>electric_vehicles_dataset[[#This Row],[Battery_Capacity_kWh]]/electric_vehicles_dataset[[#This Row],[Range_km]]</f>
        <v>0.25541795665634676</v>
      </c>
      <c r="I420">
        <v>323</v>
      </c>
      <c r="J420" t="s">
        <v>105</v>
      </c>
      <c r="K420">
        <v>8</v>
      </c>
      <c r="L420" s="1">
        <v>87124.89</v>
      </c>
      <c r="M420" s="1" t="str" cm="1">
        <f t="array" ref="M42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20" t="s">
        <v>35</v>
      </c>
      <c r="O420" t="s">
        <v>147</v>
      </c>
      <c r="P420" s="2" t="s">
        <v>396</v>
      </c>
      <c r="Q420">
        <v>5</v>
      </c>
      <c r="R420" t="s">
        <v>392</v>
      </c>
      <c r="S420" s="1">
        <f>electric_vehicles_dataset[[#This Row],[Units_Sold_2024]]*electric_vehicles_dataset[[#This Row],[Price_USD]]</f>
        <v>1660513278.51</v>
      </c>
      <c r="T420">
        <v>3</v>
      </c>
      <c r="U420">
        <v>19059</v>
      </c>
      <c r="V420">
        <v>3</v>
      </c>
    </row>
    <row r="421" spans="1:22" x14ac:dyDescent="0.35">
      <c r="A421">
        <v>420</v>
      </c>
      <c r="B421" t="s">
        <v>153</v>
      </c>
      <c r="C421" t="s">
        <v>154</v>
      </c>
      <c r="D421">
        <v>2022</v>
      </c>
      <c r="E421" t="s">
        <v>53</v>
      </c>
      <c r="F421">
        <v>110.1</v>
      </c>
      <c r="G421" t="s">
        <v>361</v>
      </c>
      <c r="H421">
        <f>electric_vehicles_dataset[[#This Row],[Battery_Capacity_kWh]]/electric_vehicles_dataset[[#This Row],[Range_km]]</f>
        <v>0.3904255319148936</v>
      </c>
      <c r="I421">
        <v>282</v>
      </c>
      <c r="J421" t="s">
        <v>85</v>
      </c>
      <c r="K421">
        <v>1</v>
      </c>
      <c r="L421" s="1">
        <v>73339.61</v>
      </c>
      <c r="M421" s="1" t="str" cm="1">
        <f t="array" ref="M42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21" t="s">
        <v>238</v>
      </c>
      <c r="O421" t="s">
        <v>202</v>
      </c>
      <c r="P421" s="2" t="s">
        <v>393</v>
      </c>
      <c r="Q421">
        <v>5</v>
      </c>
      <c r="R421" t="s">
        <v>392</v>
      </c>
      <c r="S421" s="1">
        <f>electric_vehicles_dataset[[#This Row],[Units_Sold_2024]]*electric_vehicles_dataset[[#This Row],[Price_USD]]</f>
        <v>1234892353.1800001</v>
      </c>
      <c r="T421">
        <v>3</v>
      </c>
      <c r="U421">
        <v>16838</v>
      </c>
      <c r="V421">
        <v>3</v>
      </c>
    </row>
    <row r="422" spans="1:22" x14ac:dyDescent="0.35">
      <c r="A422">
        <v>421</v>
      </c>
      <c r="B422" t="s">
        <v>193</v>
      </c>
      <c r="C422" t="s">
        <v>203</v>
      </c>
      <c r="D422">
        <v>2017</v>
      </c>
      <c r="E422" t="s">
        <v>183</v>
      </c>
      <c r="F422">
        <v>32.299999999999997</v>
      </c>
      <c r="G422" t="s">
        <v>357</v>
      </c>
      <c r="H422">
        <f>electric_vehicles_dataset[[#This Row],[Battery_Capacity_kWh]]/electric_vehicles_dataset[[#This Row],[Range_km]]</f>
        <v>6.6597938144329891E-2</v>
      </c>
      <c r="I422">
        <v>485</v>
      </c>
      <c r="J422" t="s">
        <v>85</v>
      </c>
      <c r="K422">
        <v>7</v>
      </c>
      <c r="L422" s="1">
        <v>134693.18</v>
      </c>
      <c r="M422" s="1" t="str" cm="1">
        <f t="array" ref="M42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22" t="s">
        <v>257</v>
      </c>
      <c r="O422" t="s">
        <v>111</v>
      </c>
      <c r="P422" s="2" t="s">
        <v>389</v>
      </c>
      <c r="Q422">
        <v>5</v>
      </c>
      <c r="R422" t="s">
        <v>392</v>
      </c>
      <c r="S422" s="1">
        <f>electric_vehicles_dataset[[#This Row],[Units_Sold_2024]]*electric_vehicles_dataset[[#This Row],[Price_USD]]</f>
        <v>2559978579.0799999</v>
      </c>
      <c r="T422">
        <v>4</v>
      </c>
      <c r="U422">
        <v>19006</v>
      </c>
      <c r="V422">
        <v>4</v>
      </c>
    </row>
    <row r="423" spans="1:22" x14ac:dyDescent="0.35">
      <c r="A423">
        <v>422</v>
      </c>
      <c r="B423" t="s">
        <v>241</v>
      </c>
      <c r="C423" t="s">
        <v>286</v>
      </c>
      <c r="D423">
        <v>2015</v>
      </c>
      <c r="E423" t="s">
        <v>101</v>
      </c>
      <c r="F423">
        <v>87.4</v>
      </c>
      <c r="G423" t="s">
        <v>350</v>
      </c>
      <c r="H423">
        <f>electric_vehicles_dataset[[#This Row],[Battery_Capacity_kWh]]/electric_vehicles_dataset[[#This Row],[Range_km]]</f>
        <v>0.30137931034482762</v>
      </c>
      <c r="I423">
        <v>290</v>
      </c>
      <c r="J423" t="s">
        <v>356</v>
      </c>
      <c r="K423">
        <v>5</v>
      </c>
      <c r="L423" s="1">
        <v>140508.89000000001</v>
      </c>
      <c r="M423" s="1" t="str" cm="1">
        <f t="array" ref="M42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23" t="s">
        <v>177</v>
      </c>
      <c r="O423" t="s">
        <v>93</v>
      </c>
      <c r="P423" s="2" t="s">
        <v>389</v>
      </c>
      <c r="Q423">
        <v>4</v>
      </c>
      <c r="R423" t="s">
        <v>392</v>
      </c>
      <c r="S423" s="1">
        <f>electric_vehicles_dataset[[#This Row],[Units_Sold_2024]]*electric_vehicles_dataset[[#This Row],[Price_USD]]</f>
        <v>2420125121.3600001</v>
      </c>
      <c r="T423">
        <v>5</v>
      </c>
      <c r="U423">
        <v>17224</v>
      </c>
      <c r="V423">
        <v>5</v>
      </c>
    </row>
    <row r="424" spans="1:22" x14ac:dyDescent="0.35">
      <c r="A424">
        <v>423</v>
      </c>
      <c r="B424" t="s">
        <v>215</v>
      </c>
      <c r="C424" t="s">
        <v>216</v>
      </c>
      <c r="D424">
        <v>2021</v>
      </c>
      <c r="E424" t="s">
        <v>130</v>
      </c>
      <c r="F424">
        <v>139.1</v>
      </c>
      <c r="G424" t="s">
        <v>352</v>
      </c>
      <c r="H424">
        <f>electric_vehicles_dataset[[#This Row],[Battery_Capacity_kWh]]/electric_vehicles_dataset[[#This Row],[Range_km]]</f>
        <v>0.8748427672955974</v>
      </c>
      <c r="I424">
        <v>159</v>
      </c>
      <c r="J424" t="s">
        <v>18</v>
      </c>
      <c r="K424">
        <v>11</v>
      </c>
      <c r="L424" s="1">
        <v>87542.19</v>
      </c>
      <c r="M424" s="1" t="str" cm="1">
        <f t="array" ref="M42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24" t="s">
        <v>127</v>
      </c>
      <c r="O424" t="s">
        <v>33</v>
      </c>
      <c r="P424" s="2" t="s">
        <v>393</v>
      </c>
      <c r="Q424">
        <v>4</v>
      </c>
      <c r="R424" t="s">
        <v>392</v>
      </c>
      <c r="S424" s="1">
        <f>electric_vehicles_dataset[[#This Row],[Units_Sold_2024]]*electric_vehicles_dataset[[#This Row],[Price_USD]]</f>
        <v>981172865.51999998</v>
      </c>
      <c r="T424">
        <v>5</v>
      </c>
      <c r="U424">
        <v>11208</v>
      </c>
      <c r="V424">
        <v>3</v>
      </c>
    </row>
    <row r="425" spans="1:22" x14ac:dyDescent="0.35">
      <c r="A425">
        <v>424</v>
      </c>
      <c r="B425" t="s">
        <v>215</v>
      </c>
      <c r="C425" t="s">
        <v>377</v>
      </c>
      <c r="D425">
        <v>2015</v>
      </c>
      <c r="E425" t="s">
        <v>17</v>
      </c>
      <c r="F425">
        <v>125.9</v>
      </c>
      <c r="G425" t="s">
        <v>352</v>
      </c>
      <c r="H425">
        <f>electric_vehicles_dataset[[#This Row],[Battery_Capacity_kWh]]/electric_vehicles_dataset[[#This Row],[Range_km]]</f>
        <v>0.5910798122065728</v>
      </c>
      <c r="I425">
        <v>213</v>
      </c>
      <c r="J425" t="s">
        <v>18</v>
      </c>
      <c r="K425">
        <v>10</v>
      </c>
      <c r="L425" s="1">
        <v>47083.12</v>
      </c>
      <c r="M425" s="1" t="str" cm="1">
        <f t="array" ref="M42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25" t="s">
        <v>102</v>
      </c>
      <c r="O425" t="s">
        <v>111</v>
      </c>
      <c r="P425" s="2" t="s">
        <v>389</v>
      </c>
      <c r="Q425">
        <v>4</v>
      </c>
      <c r="R425" t="s">
        <v>392</v>
      </c>
      <c r="S425" s="1">
        <f>electric_vehicles_dataset[[#This Row],[Units_Sold_2024]]*electric_vehicles_dataset[[#This Row],[Price_USD]]</f>
        <v>172324219.20000002</v>
      </c>
      <c r="T425">
        <v>4</v>
      </c>
      <c r="U425">
        <v>3660</v>
      </c>
      <c r="V425">
        <v>3</v>
      </c>
    </row>
    <row r="426" spans="1:22" x14ac:dyDescent="0.35">
      <c r="A426">
        <v>425</v>
      </c>
      <c r="B426" t="s">
        <v>144</v>
      </c>
      <c r="C426" t="s">
        <v>145</v>
      </c>
      <c r="D426">
        <v>2021</v>
      </c>
      <c r="E426" t="s">
        <v>84</v>
      </c>
      <c r="F426">
        <v>45.5</v>
      </c>
      <c r="G426" t="s">
        <v>348</v>
      </c>
      <c r="H426">
        <f>electric_vehicles_dataset[[#This Row],[Battery_Capacity_kWh]]/electric_vehicles_dataset[[#This Row],[Range_km]]</f>
        <v>0.39224137931034481</v>
      </c>
      <c r="I426">
        <v>116</v>
      </c>
      <c r="J426" t="s">
        <v>27</v>
      </c>
      <c r="K426">
        <v>6</v>
      </c>
      <c r="L426" s="1">
        <v>139023.51999999999</v>
      </c>
      <c r="M426" s="1" t="str" cm="1">
        <f t="array" ref="M42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26" t="s">
        <v>210</v>
      </c>
      <c r="O426" t="s">
        <v>92</v>
      </c>
      <c r="P426" s="2" t="s">
        <v>394</v>
      </c>
      <c r="Q426">
        <v>0</v>
      </c>
      <c r="R426" t="s">
        <v>390</v>
      </c>
      <c r="S426" s="1">
        <f>electric_vehicles_dataset[[#This Row],[Units_Sold_2024]]*electric_vehicles_dataset[[#This Row],[Price_USD]]</f>
        <v>935628289.5999999</v>
      </c>
      <c r="T426">
        <v>5</v>
      </c>
      <c r="U426">
        <v>6730</v>
      </c>
      <c r="V426">
        <v>5</v>
      </c>
    </row>
    <row r="427" spans="1:22" x14ac:dyDescent="0.35">
      <c r="A427">
        <v>426</v>
      </c>
      <c r="B427" t="s">
        <v>112</v>
      </c>
      <c r="C427" t="s">
        <v>138</v>
      </c>
      <c r="D427">
        <v>2025</v>
      </c>
      <c r="E427" t="s">
        <v>104</v>
      </c>
      <c r="F427">
        <v>23.8</v>
      </c>
      <c r="G427" t="s">
        <v>357</v>
      </c>
      <c r="H427">
        <f>electric_vehicles_dataset[[#This Row],[Battery_Capacity_kWh]]/electric_vehicles_dataset[[#This Row],[Range_km]]</f>
        <v>0.1367816091954023</v>
      </c>
      <c r="I427">
        <v>174</v>
      </c>
      <c r="J427" t="s">
        <v>105</v>
      </c>
      <c r="K427">
        <v>11</v>
      </c>
      <c r="L427" s="1">
        <v>71740.39</v>
      </c>
      <c r="M427" s="1" t="str" cm="1">
        <f t="array" ref="M42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27" t="s">
        <v>177</v>
      </c>
      <c r="O427" t="s">
        <v>206</v>
      </c>
      <c r="P427" s="2" t="s">
        <v>394</v>
      </c>
      <c r="Q427">
        <v>4</v>
      </c>
      <c r="R427" t="s">
        <v>392</v>
      </c>
      <c r="S427" s="1">
        <f>electric_vehicles_dataset[[#This Row],[Units_Sold_2024]]*electric_vehicles_dataset[[#This Row],[Price_USD]]</f>
        <v>1359049948.1600001</v>
      </c>
      <c r="T427">
        <v>3</v>
      </c>
      <c r="U427">
        <v>18944</v>
      </c>
      <c r="V427">
        <v>3</v>
      </c>
    </row>
    <row r="428" spans="1:22" x14ac:dyDescent="0.35">
      <c r="A428">
        <v>427</v>
      </c>
      <c r="B428" t="s">
        <v>207</v>
      </c>
      <c r="C428" t="s">
        <v>304</v>
      </c>
      <c r="D428">
        <v>2018</v>
      </c>
      <c r="E428" t="s">
        <v>133</v>
      </c>
      <c r="F428">
        <v>42.3</v>
      </c>
      <c r="G428" t="s">
        <v>348</v>
      </c>
      <c r="H428">
        <f>electric_vehicles_dataset[[#This Row],[Battery_Capacity_kWh]]/electric_vehicles_dataset[[#This Row],[Range_km]]</f>
        <v>8.7037037037037038E-2</v>
      </c>
      <c r="I428">
        <v>486</v>
      </c>
      <c r="J428" t="s">
        <v>76</v>
      </c>
      <c r="K428">
        <v>12</v>
      </c>
      <c r="L428" s="1">
        <v>41842.29</v>
      </c>
      <c r="M428" s="1" t="str" cm="1">
        <f t="array" ref="M42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28" t="s">
        <v>205</v>
      </c>
      <c r="O428" t="s">
        <v>206</v>
      </c>
      <c r="P428" s="2" t="s">
        <v>394</v>
      </c>
      <c r="Q428">
        <v>3</v>
      </c>
      <c r="R428" t="s">
        <v>397</v>
      </c>
      <c r="S428" s="1">
        <f>electric_vehicles_dataset[[#This Row],[Units_Sold_2024]]*electric_vehicles_dataset[[#This Row],[Price_USD]]</f>
        <v>147117491.64000002</v>
      </c>
      <c r="T428">
        <v>4</v>
      </c>
      <c r="U428">
        <v>3516</v>
      </c>
      <c r="V428">
        <v>3</v>
      </c>
    </row>
    <row r="429" spans="1:22" x14ac:dyDescent="0.35">
      <c r="A429">
        <v>428</v>
      </c>
      <c r="B429" t="s">
        <v>243</v>
      </c>
      <c r="C429" t="s">
        <v>371</v>
      </c>
      <c r="D429">
        <v>2021</v>
      </c>
      <c r="E429" t="s">
        <v>31</v>
      </c>
      <c r="F429">
        <v>86.9</v>
      </c>
      <c r="G429" t="s">
        <v>350</v>
      </c>
      <c r="H429">
        <f>electric_vehicles_dataset[[#This Row],[Battery_Capacity_kWh]]/electric_vehicles_dataset[[#This Row],[Range_km]]</f>
        <v>0.28214285714285714</v>
      </c>
      <c r="I429">
        <v>308</v>
      </c>
      <c r="J429" t="s">
        <v>48</v>
      </c>
      <c r="K429">
        <v>9</v>
      </c>
      <c r="L429" s="1">
        <v>67713.63</v>
      </c>
      <c r="M429" s="1" t="str" cm="1">
        <f t="array" ref="M4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29" t="s">
        <v>32</v>
      </c>
      <c r="O429" t="s">
        <v>147</v>
      </c>
      <c r="P429" s="2" t="s">
        <v>396</v>
      </c>
      <c r="Q429">
        <v>3</v>
      </c>
      <c r="R429" t="s">
        <v>397</v>
      </c>
      <c r="S429" s="1">
        <f>electric_vehicles_dataset[[#This Row],[Units_Sold_2024]]*electric_vehicles_dataset[[#This Row],[Price_USD]]</f>
        <v>90059127.900000006</v>
      </c>
      <c r="T429">
        <v>5</v>
      </c>
      <c r="U429">
        <v>1330</v>
      </c>
      <c r="V429">
        <v>3</v>
      </c>
    </row>
    <row r="430" spans="1:22" x14ac:dyDescent="0.35">
      <c r="A430">
        <v>429</v>
      </c>
      <c r="B430" t="s">
        <v>56</v>
      </c>
      <c r="C430" t="s">
        <v>57</v>
      </c>
      <c r="D430">
        <v>2016</v>
      </c>
      <c r="E430" t="s">
        <v>42</v>
      </c>
      <c r="F430">
        <v>56.9</v>
      </c>
      <c r="G430" t="s">
        <v>348</v>
      </c>
      <c r="H430">
        <f>electric_vehicles_dataset[[#This Row],[Battery_Capacity_kWh]]/electric_vehicles_dataset[[#This Row],[Range_km]]</f>
        <v>0.13980343980343979</v>
      </c>
      <c r="I430">
        <v>407</v>
      </c>
      <c r="J430" t="s">
        <v>54</v>
      </c>
      <c r="K430">
        <v>8</v>
      </c>
      <c r="L430" s="1">
        <v>130930.82</v>
      </c>
      <c r="M430" s="1" t="str" cm="1">
        <f t="array" ref="M4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30" t="s">
        <v>102</v>
      </c>
      <c r="O430" t="s">
        <v>354</v>
      </c>
      <c r="P430" s="2" t="s">
        <v>394</v>
      </c>
      <c r="Q430">
        <v>3</v>
      </c>
      <c r="R430" t="s">
        <v>397</v>
      </c>
      <c r="S430" s="1">
        <f>electric_vehicles_dataset[[#This Row],[Units_Sold_2024]]*electric_vehicles_dataset[[#This Row],[Price_USD]]</f>
        <v>2040687760.5200002</v>
      </c>
      <c r="T430">
        <v>4</v>
      </c>
      <c r="U430">
        <v>15586</v>
      </c>
      <c r="V430">
        <v>5</v>
      </c>
    </row>
    <row r="431" spans="1:22" x14ac:dyDescent="0.35">
      <c r="A431">
        <v>430</v>
      </c>
      <c r="B431" t="s">
        <v>187</v>
      </c>
      <c r="C431" t="s">
        <v>302</v>
      </c>
      <c r="D431">
        <v>2015</v>
      </c>
      <c r="E431" t="s">
        <v>73</v>
      </c>
      <c r="F431">
        <v>83.9</v>
      </c>
      <c r="G431" t="s">
        <v>350</v>
      </c>
      <c r="H431">
        <f>electric_vehicles_dataset[[#This Row],[Battery_Capacity_kWh]]/electric_vehicles_dataset[[#This Row],[Range_km]]</f>
        <v>0.54836601307189548</v>
      </c>
      <c r="I431">
        <v>153</v>
      </c>
      <c r="J431" t="s">
        <v>34</v>
      </c>
      <c r="K431">
        <v>6</v>
      </c>
      <c r="L431" s="1">
        <v>109025.79</v>
      </c>
      <c r="M431" s="1" t="str" cm="1">
        <f t="array" ref="M43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31" t="s">
        <v>143</v>
      </c>
      <c r="O431" t="s">
        <v>147</v>
      </c>
      <c r="P431" s="2" t="s">
        <v>396</v>
      </c>
      <c r="Q431">
        <v>3</v>
      </c>
      <c r="R431" t="s">
        <v>397</v>
      </c>
      <c r="S431" s="1">
        <f>electric_vehicles_dataset[[#This Row],[Units_Sold_2024]]*electric_vehicles_dataset[[#This Row],[Price_USD]]</f>
        <v>602694567.12</v>
      </c>
      <c r="T431">
        <v>3</v>
      </c>
      <c r="U431">
        <v>5528</v>
      </c>
      <c r="V431">
        <v>3</v>
      </c>
    </row>
    <row r="432" spans="1:22" x14ac:dyDescent="0.35">
      <c r="A432">
        <v>431</v>
      </c>
      <c r="B432" t="s">
        <v>187</v>
      </c>
      <c r="C432" t="s">
        <v>302</v>
      </c>
      <c r="D432">
        <v>2020</v>
      </c>
      <c r="E432" t="s">
        <v>31</v>
      </c>
      <c r="F432">
        <v>97.3</v>
      </c>
      <c r="G432" t="s">
        <v>350</v>
      </c>
      <c r="H432">
        <f>electric_vehicles_dataset[[#This Row],[Battery_Capacity_kWh]]/electric_vehicles_dataset[[#This Row],[Range_km]]</f>
        <v>0.31797385620915031</v>
      </c>
      <c r="I432">
        <v>306</v>
      </c>
      <c r="J432" t="s">
        <v>48</v>
      </c>
      <c r="K432">
        <v>3</v>
      </c>
      <c r="L432" s="1">
        <v>80964.5</v>
      </c>
      <c r="M432" s="1" t="str" cm="1">
        <f t="array" ref="M4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32" t="s">
        <v>214</v>
      </c>
      <c r="O432" t="s">
        <v>134</v>
      </c>
      <c r="P432" s="2" t="s">
        <v>389</v>
      </c>
      <c r="Q432">
        <v>4</v>
      </c>
      <c r="R432" t="s">
        <v>392</v>
      </c>
      <c r="S432" s="1">
        <f>electric_vehicles_dataset[[#This Row],[Units_Sold_2024]]*electric_vehicles_dataset[[#This Row],[Price_USD]]</f>
        <v>1061768453</v>
      </c>
      <c r="T432">
        <v>5</v>
      </c>
      <c r="U432">
        <v>13114</v>
      </c>
      <c r="V432">
        <v>4</v>
      </c>
    </row>
    <row r="433" spans="1:22" x14ac:dyDescent="0.35">
      <c r="A433">
        <v>432</v>
      </c>
      <c r="B433" t="s">
        <v>173</v>
      </c>
      <c r="C433" t="s">
        <v>306</v>
      </c>
      <c r="D433">
        <v>2024</v>
      </c>
      <c r="E433" t="s">
        <v>42</v>
      </c>
      <c r="F433">
        <v>148.4</v>
      </c>
      <c r="G433" t="s">
        <v>386</v>
      </c>
      <c r="H433">
        <f>electric_vehicles_dataset[[#This Row],[Battery_Capacity_kWh]]/electric_vehicles_dataset[[#This Row],[Range_km]]</f>
        <v>0.41108033240997233</v>
      </c>
      <c r="I433">
        <v>361</v>
      </c>
      <c r="J433" t="s">
        <v>105</v>
      </c>
      <c r="K433">
        <v>2</v>
      </c>
      <c r="L433" s="1">
        <v>84556.17</v>
      </c>
      <c r="M433" s="1" t="str" cm="1">
        <f t="array" ref="M43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33" t="s">
        <v>43</v>
      </c>
      <c r="O433" t="s">
        <v>161</v>
      </c>
      <c r="P433" s="2" t="s">
        <v>389</v>
      </c>
      <c r="Q433">
        <v>1</v>
      </c>
      <c r="R433" t="s">
        <v>391</v>
      </c>
      <c r="S433" s="1">
        <f>electric_vehicles_dataset[[#This Row],[Units_Sold_2024]]*electric_vehicles_dataset[[#This Row],[Price_USD]]</f>
        <v>146366730.27000001</v>
      </c>
      <c r="T433">
        <v>3</v>
      </c>
      <c r="U433">
        <v>1731</v>
      </c>
      <c r="V433">
        <v>3</v>
      </c>
    </row>
    <row r="434" spans="1:22" x14ac:dyDescent="0.35">
      <c r="A434">
        <v>433</v>
      </c>
      <c r="B434" t="s">
        <v>262</v>
      </c>
      <c r="C434" t="s">
        <v>263</v>
      </c>
      <c r="D434">
        <v>2017</v>
      </c>
      <c r="E434" t="s">
        <v>42</v>
      </c>
      <c r="F434">
        <v>98.6</v>
      </c>
      <c r="G434" t="s">
        <v>350</v>
      </c>
      <c r="H434">
        <f>electric_vehicles_dataset[[#This Row],[Battery_Capacity_kWh]]/electric_vehicles_dataset[[#This Row],[Range_km]]</f>
        <v>0.36928838951310861</v>
      </c>
      <c r="I434">
        <v>267</v>
      </c>
      <c r="J434" t="s">
        <v>18</v>
      </c>
      <c r="K434">
        <v>4</v>
      </c>
      <c r="L434" s="1">
        <v>104787.91</v>
      </c>
      <c r="M434" s="1" t="str" cm="1">
        <f t="array" ref="M4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34" t="s">
        <v>62</v>
      </c>
      <c r="O434" t="s">
        <v>92</v>
      </c>
      <c r="P434" s="2" t="s">
        <v>394</v>
      </c>
      <c r="Q434">
        <v>4</v>
      </c>
      <c r="R434" t="s">
        <v>392</v>
      </c>
      <c r="S434" s="1">
        <f>electric_vehicles_dataset[[#This Row],[Units_Sold_2024]]*electric_vehicles_dataset[[#This Row],[Price_USD]]</f>
        <v>1007954906.2900001</v>
      </c>
      <c r="T434">
        <v>3</v>
      </c>
      <c r="U434">
        <v>9619</v>
      </c>
      <c r="V434">
        <v>5</v>
      </c>
    </row>
    <row r="435" spans="1:22" x14ac:dyDescent="0.35">
      <c r="A435">
        <v>434</v>
      </c>
      <c r="B435" t="s">
        <v>262</v>
      </c>
      <c r="C435" t="s">
        <v>373</v>
      </c>
      <c r="D435">
        <v>2023</v>
      </c>
      <c r="E435" t="s">
        <v>133</v>
      </c>
      <c r="F435">
        <v>90.5</v>
      </c>
      <c r="G435" t="s">
        <v>350</v>
      </c>
      <c r="H435">
        <f>electric_vehicles_dataset[[#This Row],[Battery_Capacity_kWh]]/electric_vehicles_dataset[[#This Row],[Range_km]]</f>
        <v>0.17607003891050585</v>
      </c>
      <c r="I435">
        <v>514</v>
      </c>
      <c r="J435" t="s">
        <v>76</v>
      </c>
      <c r="K435">
        <v>12</v>
      </c>
      <c r="L435" s="1">
        <v>33791.82</v>
      </c>
      <c r="M435" s="1" t="str" cm="1">
        <f t="array" ref="M4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35" t="s">
        <v>196</v>
      </c>
      <c r="O435" t="s">
        <v>147</v>
      </c>
      <c r="P435" s="2" t="s">
        <v>396</v>
      </c>
      <c r="Q435">
        <v>2</v>
      </c>
      <c r="R435" t="s">
        <v>391</v>
      </c>
      <c r="S435" s="1">
        <f>electric_vehicles_dataset[[#This Row],[Units_Sold_2024]]*electric_vehicles_dataset[[#This Row],[Price_USD]]</f>
        <v>36359998.32</v>
      </c>
      <c r="T435">
        <v>3</v>
      </c>
      <c r="U435">
        <v>1076</v>
      </c>
      <c r="V435">
        <v>3</v>
      </c>
    </row>
    <row r="436" spans="1:22" x14ac:dyDescent="0.35">
      <c r="A436">
        <v>435</v>
      </c>
      <c r="B436" t="s">
        <v>21</v>
      </c>
      <c r="C436" t="s">
        <v>363</v>
      </c>
      <c r="D436">
        <v>2017</v>
      </c>
      <c r="E436" t="s">
        <v>130</v>
      </c>
      <c r="F436">
        <v>76</v>
      </c>
      <c r="G436" t="s">
        <v>351</v>
      </c>
      <c r="H436">
        <f>electric_vehicles_dataset[[#This Row],[Battery_Capacity_kWh]]/electric_vehicles_dataset[[#This Row],[Range_km]]</f>
        <v>0.29343629343629346</v>
      </c>
      <c r="I436">
        <v>259</v>
      </c>
      <c r="J436" t="s">
        <v>34</v>
      </c>
      <c r="K436">
        <v>6</v>
      </c>
      <c r="L436" s="1">
        <v>43125.84</v>
      </c>
      <c r="M436" s="1" t="str" cm="1">
        <f t="array" ref="M4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36" t="s">
        <v>106</v>
      </c>
      <c r="O436" t="s">
        <v>230</v>
      </c>
      <c r="P436" s="2" t="s">
        <v>389</v>
      </c>
      <c r="Q436">
        <v>5</v>
      </c>
      <c r="R436" t="s">
        <v>392</v>
      </c>
      <c r="S436" s="1">
        <f>electric_vehicles_dataset[[#This Row],[Units_Sold_2024]]*electric_vehicles_dataset[[#This Row],[Price_USD]]</f>
        <v>220847426.63999999</v>
      </c>
      <c r="T436">
        <v>5</v>
      </c>
      <c r="U436">
        <v>5121</v>
      </c>
      <c r="V436">
        <v>5</v>
      </c>
    </row>
    <row r="437" spans="1:22" x14ac:dyDescent="0.35">
      <c r="A437">
        <v>436</v>
      </c>
      <c r="B437" t="s">
        <v>71</v>
      </c>
      <c r="C437" t="s">
        <v>321</v>
      </c>
      <c r="D437">
        <v>2019</v>
      </c>
      <c r="E437" t="s">
        <v>130</v>
      </c>
      <c r="F437">
        <v>96.8</v>
      </c>
      <c r="G437" t="s">
        <v>350</v>
      </c>
      <c r="H437">
        <f>electric_vehicles_dataset[[#This Row],[Battery_Capacity_kWh]]/electric_vehicles_dataset[[#This Row],[Range_km]]</f>
        <v>0.33037542662116037</v>
      </c>
      <c r="I437">
        <v>293</v>
      </c>
      <c r="J437" t="s">
        <v>149</v>
      </c>
      <c r="K437">
        <v>9</v>
      </c>
      <c r="L437" s="1">
        <v>64132.5</v>
      </c>
      <c r="M437" s="1" t="str" cm="1">
        <f t="array" ref="M4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37" t="s">
        <v>279</v>
      </c>
      <c r="O437" t="s">
        <v>135</v>
      </c>
      <c r="P437" s="2" t="s">
        <v>389</v>
      </c>
      <c r="Q437">
        <v>1</v>
      </c>
      <c r="R437" t="s">
        <v>391</v>
      </c>
      <c r="S437" s="1">
        <f>electric_vehicles_dataset[[#This Row],[Units_Sold_2024]]*electric_vehicles_dataset[[#This Row],[Price_USD]]</f>
        <v>1227175387.5</v>
      </c>
      <c r="T437">
        <v>5</v>
      </c>
      <c r="U437">
        <v>19135</v>
      </c>
      <c r="V437">
        <v>3</v>
      </c>
    </row>
    <row r="438" spans="1:22" x14ac:dyDescent="0.35">
      <c r="A438">
        <v>437</v>
      </c>
      <c r="B438" t="s">
        <v>51</v>
      </c>
      <c r="C438" t="s">
        <v>162</v>
      </c>
      <c r="D438">
        <v>2020</v>
      </c>
      <c r="E438" t="s">
        <v>42</v>
      </c>
      <c r="F438">
        <v>32.700000000000003</v>
      </c>
      <c r="G438" t="s">
        <v>357</v>
      </c>
      <c r="H438">
        <f>electric_vehicles_dataset[[#This Row],[Battery_Capacity_kWh]]/electric_vehicles_dataset[[#This Row],[Range_km]]</f>
        <v>0.11847826086956523</v>
      </c>
      <c r="I438">
        <v>276</v>
      </c>
      <c r="J438" t="s">
        <v>149</v>
      </c>
      <c r="K438">
        <v>5</v>
      </c>
      <c r="L438" s="1">
        <v>36773.910000000003</v>
      </c>
      <c r="M438" s="1" t="str" cm="1">
        <f t="array" ref="M43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38" t="s">
        <v>100</v>
      </c>
      <c r="O438" t="s">
        <v>78</v>
      </c>
      <c r="P438" s="2" t="s">
        <v>389</v>
      </c>
      <c r="Q438">
        <v>2</v>
      </c>
      <c r="R438" t="s">
        <v>391</v>
      </c>
      <c r="S438" s="1">
        <f>electric_vehicles_dataset[[#This Row],[Units_Sold_2024]]*electric_vehicles_dataset[[#This Row],[Price_USD]]</f>
        <v>367408134.81000006</v>
      </c>
      <c r="T438">
        <v>3</v>
      </c>
      <c r="U438">
        <v>9991</v>
      </c>
      <c r="V438">
        <v>3</v>
      </c>
    </row>
    <row r="439" spans="1:22" x14ac:dyDescent="0.35">
      <c r="A439">
        <v>438</v>
      </c>
      <c r="B439" t="s">
        <v>313</v>
      </c>
      <c r="C439" t="s">
        <v>314</v>
      </c>
      <c r="D439">
        <v>2015</v>
      </c>
      <c r="E439" t="s">
        <v>47</v>
      </c>
      <c r="F439">
        <v>62.4</v>
      </c>
      <c r="G439" t="s">
        <v>351</v>
      </c>
      <c r="H439">
        <f>electric_vehicles_dataset[[#This Row],[Battery_Capacity_kWh]]/electric_vehicles_dataset[[#This Row],[Range_km]]</f>
        <v>0.1862686567164179</v>
      </c>
      <c r="I439">
        <v>335</v>
      </c>
      <c r="J439" t="s">
        <v>358</v>
      </c>
      <c r="K439">
        <v>7</v>
      </c>
      <c r="L439" s="1">
        <v>138169.18</v>
      </c>
      <c r="M439" s="1" t="str" cm="1">
        <f t="array" ref="M43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39" t="s">
        <v>49</v>
      </c>
      <c r="O439" t="s">
        <v>135</v>
      </c>
      <c r="P439" s="2" t="s">
        <v>389</v>
      </c>
      <c r="Q439">
        <v>4</v>
      </c>
      <c r="R439" t="s">
        <v>392</v>
      </c>
      <c r="S439" s="1">
        <f>electric_vehicles_dataset[[#This Row],[Units_Sold_2024]]*electric_vehicles_dataset[[#This Row],[Price_USD]]</f>
        <v>1767045643.02</v>
      </c>
      <c r="T439">
        <v>5</v>
      </c>
      <c r="U439">
        <v>12789</v>
      </c>
      <c r="V439">
        <v>4</v>
      </c>
    </row>
    <row r="440" spans="1:22" x14ac:dyDescent="0.35">
      <c r="A440">
        <v>439</v>
      </c>
      <c r="B440" t="s">
        <v>261</v>
      </c>
      <c r="C440" t="s">
        <v>372</v>
      </c>
      <c r="D440">
        <v>2022</v>
      </c>
      <c r="E440" t="s">
        <v>58</v>
      </c>
      <c r="F440">
        <v>109.8</v>
      </c>
      <c r="G440" t="s">
        <v>361</v>
      </c>
      <c r="H440">
        <f>electric_vehicles_dataset[[#This Row],[Battery_Capacity_kWh]]/electric_vehicles_dataset[[#This Row],[Range_km]]</f>
        <v>0.53560975609756101</v>
      </c>
      <c r="I440">
        <v>205</v>
      </c>
      <c r="J440" t="s">
        <v>38</v>
      </c>
      <c r="K440">
        <v>6</v>
      </c>
      <c r="L440" s="1">
        <v>127374.86</v>
      </c>
      <c r="M440" s="1" t="str" cm="1">
        <f t="array" ref="M4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40" t="s">
        <v>117</v>
      </c>
      <c r="O440" t="s">
        <v>50</v>
      </c>
      <c r="P440" s="2" t="s">
        <v>396</v>
      </c>
      <c r="Q440">
        <v>2</v>
      </c>
      <c r="R440" t="s">
        <v>391</v>
      </c>
      <c r="S440" s="1">
        <f>electric_vehicles_dataset[[#This Row],[Units_Sold_2024]]*electric_vehicles_dataset[[#This Row],[Price_USD]]</f>
        <v>314361154.48000002</v>
      </c>
      <c r="T440">
        <v>4</v>
      </c>
      <c r="U440">
        <v>2468</v>
      </c>
      <c r="V440">
        <v>5</v>
      </c>
    </row>
    <row r="441" spans="1:22" x14ac:dyDescent="0.35">
      <c r="A441">
        <v>440</v>
      </c>
      <c r="B441" t="s">
        <v>192</v>
      </c>
      <c r="C441" t="s">
        <v>198</v>
      </c>
      <c r="D441">
        <v>2019</v>
      </c>
      <c r="E441" t="s">
        <v>84</v>
      </c>
      <c r="F441">
        <v>58.7</v>
      </c>
      <c r="G441" t="s">
        <v>348</v>
      </c>
      <c r="H441">
        <f>electric_vehicles_dataset[[#This Row],[Battery_Capacity_kWh]]/electric_vehicles_dataset[[#This Row],[Range_km]]</f>
        <v>0.14936386768447837</v>
      </c>
      <c r="I441">
        <v>393</v>
      </c>
      <c r="J441" t="s">
        <v>34</v>
      </c>
      <c r="K441">
        <v>10</v>
      </c>
      <c r="L441" s="1">
        <v>104948.67</v>
      </c>
      <c r="M441" s="1" t="str" cm="1">
        <f t="array" ref="M4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41" t="s">
        <v>143</v>
      </c>
      <c r="O441" t="s">
        <v>167</v>
      </c>
      <c r="P441" s="2" t="s">
        <v>394</v>
      </c>
      <c r="Q441">
        <v>2</v>
      </c>
      <c r="R441" t="s">
        <v>391</v>
      </c>
      <c r="S441" s="1">
        <f>electric_vehicles_dataset[[#This Row],[Units_Sold_2024]]*electric_vehicles_dataset[[#This Row],[Price_USD]]</f>
        <v>1826211806.6700001</v>
      </c>
      <c r="T441">
        <v>4</v>
      </c>
      <c r="U441">
        <v>17401</v>
      </c>
      <c r="V441">
        <v>4</v>
      </c>
    </row>
    <row r="442" spans="1:22" x14ac:dyDescent="0.35">
      <c r="A442">
        <v>441</v>
      </c>
      <c r="B442" t="s">
        <v>222</v>
      </c>
      <c r="C442" t="s">
        <v>231</v>
      </c>
      <c r="D442">
        <v>2020</v>
      </c>
      <c r="E442" t="s">
        <v>183</v>
      </c>
      <c r="F442">
        <v>30</v>
      </c>
      <c r="G442" t="s">
        <v>357</v>
      </c>
      <c r="H442">
        <f>electric_vehicles_dataset[[#This Row],[Battery_Capacity_kWh]]/electric_vehicles_dataset[[#This Row],[Range_km]]</f>
        <v>5.7581573896353169E-2</v>
      </c>
      <c r="I442">
        <v>521</v>
      </c>
      <c r="J442" t="s">
        <v>54</v>
      </c>
      <c r="K442">
        <v>6</v>
      </c>
      <c r="L442" s="1">
        <v>65989.08</v>
      </c>
      <c r="M442" s="1" t="str" cm="1">
        <f t="array" ref="M44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42" t="s">
        <v>117</v>
      </c>
      <c r="O442" t="s">
        <v>107</v>
      </c>
      <c r="P442" s="2" t="s">
        <v>394</v>
      </c>
      <c r="Q442">
        <v>3</v>
      </c>
      <c r="R442" t="s">
        <v>397</v>
      </c>
      <c r="S442" s="1">
        <f>electric_vehicles_dataset[[#This Row],[Units_Sold_2024]]*electric_vehicles_dataset[[#This Row],[Price_USD]]</f>
        <v>1183976073.3600001</v>
      </c>
      <c r="T442">
        <v>4</v>
      </c>
      <c r="U442">
        <v>17942</v>
      </c>
      <c r="V442">
        <v>3</v>
      </c>
    </row>
    <row r="443" spans="1:22" x14ac:dyDescent="0.35">
      <c r="A443">
        <v>442</v>
      </c>
      <c r="B443" t="s">
        <v>144</v>
      </c>
      <c r="C443" t="s">
        <v>273</v>
      </c>
      <c r="D443">
        <v>2024</v>
      </c>
      <c r="E443" t="s">
        <v>130</v>
      </c>
      <c r="F443">
        <v>47.7</v>
      </c>
      <c r="G443" t="s">
        <v>348</v>
      </c>
      <c r="H443">
        <f>electric_vehicles_dataset[[#This Row],[Battery_Capacity_kWh]]/electric_vehicles_dataset[[#This Row],[Range_km]]</f>
        <v>8.0574324324324334E-2</v>
      </c>
      <c r="I443">
        <v>592</v>
      </c>
      <c r="J443" t="s">
        <v>345</v>
      </c>
      <c r="K443">
        <v>4</v>
      </c>
      <c r="L443" s="1">
        <v>106551.16</v>
      </c>
      <c r="M443" s="1" t="str" cm="1">
        <f t="array" ref="M44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43" t="s">
        <v>271</v>
      </c>
      <c r="O443" t="s">
        <v>118</v>
      </c>
      <c r="P443" s="2" t="s">
        <v>389</v>
      </c>
      <c r="Q443">
        <v>3</v>
      </c>
      <c r="R443" t="s">
        <v>397</v>
      </c>
      <c r="S443" s="1">
        <f>electric_vehicles_dataset[[#This Row],[Units_Sold_2024]]*electric_vehicles_dataset[[#This Row],[Price_USD]]</f>
        <v>1823410001.0800002</v>
      </c>
      <c r="T443">
        <v>3</v>
      </c>
      <c r="U443">
        <v>17113</v>
      </c>
      <c r="V443">
        <v>3</v>
      </c>
    </row>
    <row r="444" spans="1:22" x14ac:dyDescent="0.35">
      <c r="A444">
        <v>443</v>
      </c>
      <c r="B444" t="s">
        <v>187</v>
      </c>
      <c r="C444" t="s">
        <v>293</v>
      </c>
      <c r="D444">
        <v>2017</v>
      </c>
      <c r="E444" t="s">
        <v>31</v>
      </c>
      <c r="F444">
        <v>39.6</v>
      </c>
      <c r="G444" t="s">
        <v>357</v>
      </c>
      <c r="H444">
        <f>electric_vehicles_dataset[[#This Row],[Battery_Capacity_kWh]]/electric_vehicles_dataset[[#This Row],[Range_km]]</f>
        <v>8.8000000000000009E-2</v>
      </c>
      <c r="I444">
        <v>450</v>
      </c>
      <c r="J444" t="s">
        <v>54</v>
      </c>
      <c r="K444">
        <v>10</v>
      </c>
      <c r="L444" s="1">
        <v>79231.23</v>
      </c>
      <c r="M444" s="1" t="str" cm="1">
        <f t="array" ref="M44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44" t="s">
        <v>142</v>
      </c>
      <c r="O444" t="s">
        <v>92</v>
      </c>
      <c r="P444" s="2" t="s">
        <v>394</v>
      </c>
      <c r="Q444">
        <v>3</v>
      </c>
      <c r="R444" t="s">
        <v>397</v>
      </c>
      <c r="S444" s="1">
        <f>electric_vehicles_dataset[[#This Row],[Units_Sold_2024]]*electric_vehicles_dataset[[#This Row],[Price_USD]]</f>
        <v>665780025.68999994</v>
      </c>
      <c r="T444">
        <v>3</v>
      </c>
      <c r="U444">
        <v>8403</v>
      </c>
      <c r="V444">
        <v>5</v>
      </c>
    </row>
    <row r="445" spans="1:22" x14ac:dyDescent="0.35">
      <c r="A445">
        <v>444</v>
      </c>
      <c r="B445" t="s">
        <v>157</v>
      </c>
      <c r="C445" t="s">
        <v>296</v>
      </c>
      <c r="D445">
        <v>2021</v>
      </c>
      <c r="E445" t="s">
        <v>31</v>
      </c>
      <c r="F445">
        <v>34.799999999999997</v>
      </c>
      <c r="G445" t="s">
        <v>357</v>
      </c>
      <c r="H445">
        <f>electric_vehicles_dataset[[#This Row],[Battery_Capacity_kWh]]/electric_vehicles_dataset[[#This Row],[Range_km]]</f>
        <v>0.17575757575757575</v>
      </c>
      <c r="I445">
        <v>198</v>
      </c>
      <c r="J445" t="s">
        <v>76</v>
      </c>
      <c r="K445">
        <v>3</v>
      </c>
      <c r="L445" s="1">
        <v>129267.46</v>
      </c>
      <c r="M445" s="1" t="str" cm="1">
        <f t="array" ref="M4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45" t="s">
        <v>32</v>
      </c>
      <c r="O445" t="s">
        <v>230</v>
      </c>
      <c r="P445" s="2" t="s">
        <v>389</v>
      </c>
      <c r="Q445">
        <v>3</v>
      </c>
      <c r="R445" t="s">
        <v>397</v>
      </c>
      <c r="S445" s="1">
        <f>electric_vehicles_dataset[[#This Row],[Units_Sold_2024]]*electric_vehicles_dataset[[#This Row],[Price_USD]]</f>
        <v>674905408.66000009</v>
      </c>
      <c r="T445">
        <v>3</v>
      </c>
      <c r="U445">
        <v>5221</v>
      </c>
      <c r="V445">
        <v>4</v>
      </c>
    </row>
    <row r="446" spans="1:22" x14ac:dyDescent="0.35">
      <c r="A446">
        <v>445</v>
      </c>
      <c r="B446" t="s">
        <v>60</v>
      </c>
      <c r="C446" t="s">
        <v>322</v>
      </c>
      <c r="D446">
        <v>2019</v>
      </c>
      <c r="E446" t="s">
        <v>183</v>
      </c>
      <c r="F446">
        <v>124.5</v>
      </c>
      <c r="G446" t="s">
        <v>352</v>
      </c>
      <c r="H446">
        <f>electric_vehicles_dataset[[#This Row],[Battery_Capacity_kWh]]/electric_vehicles_dataset[[#This Row],[Range_km]]</f>
        <v>0.28489702517162474</v>
      </c>
      <c r="I446">
        <v>437</v>
      </c>
      <c r="J446" t="s">
        <v>85</v>
      </c>
      <c r="K446">
        <v>8</v>
      </c>
      <c r="L446" s="1">
        <v>35067.879999999997</v>
      </c>
      <c r="M446" s="1" t="str" cm="1">
        <f t="array" ref="M4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46" t="s">
        <v>254</v>
      </c>
      <c r="O446" t="s">
        <v>230</v>
      </c>
      <c r="P446" s="2" t="s">
        <v>389</v>
      </c>
      <c r="Q446">
        <v>0</v>
      </c>
      <c r="R446" t="s">
        <v>390</v>
      </c>
      <c r="S446" s="1">
        <f>electric_vehicles_dataset[[#This Row],[Units_Sold_2024]]*electric_vehicles_dataset[[#This Row],[Price_USD]]</f>
        <v>691293118.43999994</v>
      </c>
      <c r="T446">
        <v>4</v>
      </c>
      <c r="U446">
        <v>19713</v>
      </c>
      <c r="V446">
        <v>4</v>
      </c>
    </row>
    <row r="447" spans="1:22" x14ac:dyDescent="0.35">
      <c r="A447">
        <v>446</v>
      </c>
      <c r="B447" t="s">
        <v>29</v>
      </c>
      <c r="C447" t="s">
        <v>323</v>
      </c>
      <c r="D447">
        <v>2020</v>
      </c>
      <c r="E447" t="s">
        <v>73</v>
      </c>
      <c r="F447">
        <v>105.5</v>
      </c>
      <c r="G447" t="s">
        <v>361</v>
      </c>
      <c r="H447">
        <f>electric_vehicles_dataset[[#This Row],[Battery_Capacity_kWh]]/electric_vehicles_dataset[[#This Row],[Range_km]]</f>
        <v>0.7226027397260274</v>
      </c>
      <c r="I447">
        <v>146</v>
      </c>
      <c r="J447" t="s">
        <v>34</v>
      </c>
      <c r="K447">
        <v>11</v>
      </c>
      <c r="L447" s="1">
        <v>116908.13</v>
      </c>
      <c r="M447" s="1" t="str" cm="1">
        <f t="array" ref="M44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47" t="s">
        <v>131</v>
      </c>
      <c r="O447" t="s">
        <v>78</v>
      </c>
      <c r="P447" s="2" t="s">
        <v>389</v>
      </c>
      <c r="Q447">
        <v>0</v>
      </c>
      <c r="R447" t="s">
        <v>390</v>
      </c>
      <c r="S447" s="1">
        <f>electric_vehicles_dataset[[#This Row],[Units_Sold_2024]]*electric_vehicles_dataset[[#This Row],[Price_USD]]</f>
        <v>2223475724.4700003</v>
      </c>
      <c r="T447">
        <v>5</v>
      </c>
      <c r="U447">
        <v>19019</v>
      </c>
      <c r="V447">
        <v>5</v>
      </c>
    </row>
    <row r="448" spans="1:22" x14ac:dyDescent="0.35">
      <c r="A448">
        <v>447</v>
      </c>
      <c r="B448" t="s">
        <v>180</v>
      </c>
      <c r="C448" t="s">
        <v>181</v>
      </c>
      <c r="D448">
        <v>2016</v>
      </c>
      <c r="E448" t="s">
        <v>31</v>
      </c>
      <c r="F448">
        <v>98</v>
      </c>
      <c r="G448" t="s">
        <v>350</v>
      </c>
      <c r="H448">
        <f>electric_vehicles_dataset[[#This Row],[Battery_Capacity_kWh]]/electric_vehicles_dataset[[#This Row],[Range_km]]</f>
        <v>0.19797979797979798</v>
      </c>
      <c r="I448">
        <v>495</v>
      </c>
      <c r="J448" t="s">
        <v>38</v>
      </c>
      <c r="K448">
        <v>4</v>
      </c>
      <c r="L448" s="1">
        <v>100119.15</v>
      </c>
      <c r="M448" s="1" t="str" cm="1">
        <f t="array" ref="M44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48" t="s">
        <v>28</v>
      </c>
      <c r="O448" t="s">
        <v>78</v>
      </c>
      <c r="P448" s="2" t="s">
        <v>389</v>
      </c>
      <c r="Q448">
        <v>1</v>
      </c>
      <c r="R448" t="s">
        <v>391</v>
      </c>
      <c r="S448" s="1">
        <f>electric_vehicles_dataset[[#This Row],[Units_Sold_2024]]*electric_vehicles_dataset[[#This Row],[Price_USD]]</f>
        <v>1441715760</v>
      </c>
      <c r="T448">
        <v>4</v>
      </c>
      <c r="U448">
        <v>14400</v>
      </c>
      <c r="V448">
        <v>4</v>
      </c>
    </row>
    <row r="449" spans="1:22" x14ac:dyDescent="0.35">
      <c r="A449">
        <v>448</v>
      </c>
      <c r="B449" t="s">
        <v>180</v>
      </c>
      <c r="C449" t="s">
        <v>379</v>
      </c>
      <c r="D449">
        <v>2015</v>
      </c>
      <c r="E449" t="s">
        <v>130</v>
      </c>
      <c r="F449">
        <v>89.4</v>
      </c>
      <c r="G449" t="s">
        <v>350</v>
      </c>
      <c r="H449">
        <f>electric_vehicles_dataset[[#This Row],[Battery_Capacity_kWh]]/electric_vehicles_dataset[[#This Row],[Range_km]]</f>
        <v>0.19519650655021836</v>
      </c>
      <c r="I449">
        <v>458</v>
      </c>
      <c r="J449" t="s">
        <v>48</v>
      </c>
      <c r="K449">
        <v>4</v>
      </c>
      <c r="L449" s="1">
        <v>80853.759999999995</v>
      </c>
      <c r="M449" s="1" t="str" cm="1">
        <f t="array" ref="M44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49" t="s">
        <v>106</v>
      </c>
      <c r="O449" t="s">
        <v>78</v>
      </c>
      <c r="P449" s="2" t="s">
        <v>389</v>
      </c>
      <c r="Q449">
        <v>1</v>
      </c>
      <c r="R449" t="s">
        <v>391</v>
      </c>
      <c r="S449" s="1">
        <f>electric_vehicles_dataset[[#This Row],[Units_Sold_2024]]*electric_vehicles_dataset[[#This Row],[Price_USD]]</f>
        <v>55789094.399999999</v>
      </c>
      <c r="T449">
        <v>4</v>
      </c>
      <c r="U449">
        <v>690</v>
      </c>
      <c r="V449">
        <v>5</v>
      </c>
    </row>
    <row r="450" spans="1:22" x14ac:dyDescent="0.35">
      <c r="A450">
        <v>449</v>
      </c>
      <c r="B450" t="s">
        <v>157</v>
      </c>
      <c r="C450" t="s">
        <v>296</v>
      </c>
      <c r="D450">
        <v>2025</v>
      </c>
      <c r="E450" t="s">
        <v>183</v>
      </c>
      <c r="F450">
        <v>142.30000000000001</v>
      </c>
      <c r="G450" t="s">
        <v>386</v>
      </c>
      <c r="H450">
        <f>electric_vehicles_dataset[[#This Row],[Battery_Capacity_kWh]]/electric_vehicles_dataset[[#This Row],[Range_km]]</f>
        <v>0.31412803532008832</v>
      </c>
      <c r="I450">
        <v>453</v>
      </c>
      <c r="J450" t="s">
        <v>353</v>
      </c>
      <c r="K450">
        <v>3</v>
      </c>
      <c r="L450" s="1">
        <v>76162.83</v>
      </c>
      <c r="M450" s="1" t="str" cm="1">
        <f t="array" ref="M4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50" t="s">
        <v>238</v>
      </c>
      <c r="O450" t="s">
        <v>33</v>
      </c>
      <c r="P450" s="2" t="s">
        <v>393</v>
      </c>
      <c r="Q450">
        <v>5</v>
      </c>
      <c r="R450" t="s">
        <v>392</v>
      </c>
      <c r="S450" s="1">
        <f>electric_vehicles_dataset[[#This Row],[Units_Sold_2024]]*electric_vehicles_dataset[[#This Row],[Price_USD]]</f>
        <v>969476663.07000005</v>
      </c>
      <c r="T450">
        <v>4</v>
      </c>
      <c r="U450">
        <v>12729</v>
      </c>
      <c r="V450">
        <v>3</v>
      </c>
    </row>
    <row r="451" spans="1:22" x14ac:dyDescent="0.35">
      <c r="A451">
        <v>450</v>
      </c>
      <c r="B451" t="s">
        <v>36</v>
      </c>
      <c r="C451" t="s">
        <v>37</v>
      </c>
      <c r="D451">
        <v>2019</v>
      </c>
      <c r="E451" t="s">
        <v>58</v>
      </c>
      <c r="F451">
        <v>141.69999999999999</v>
      </c>
      <c r="G451" t="s">
        <v>386</v>
      </c>
      <c r="H451">
        <f>electric_vehicles_dataset[[#This Row],[Battery_Capacity_kWh]]/electric_vehicles_dataset[[#This Row],[Range_km]]</f>
        <v>0.29096509240246404</v>
      </c>
      <c r="I451">
        <v>487</v>
      </c>
      <c r="J451" t="s">
        <v>353</v>
      </c>
      <c r="K451">
        <v>4</v>
      </c>
      <c r="L451" s="1">
        <v>133130.01</v>
      </c>
      <c r="M451" s="1" t="str" cm="1">
        <f t="array" ref="M45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51" t="s">
        <v>177</v>
      </c>
      <c r="O451" t="s">
        <v>236</v>
      </c>
      <c r="P451" s="2" t="s">
        <v>394</v>
      </c>
      <c r="Q451">
        <v>5</v>
      </c>
      <c r="R451" t="s">
        <v>392</v>
      </c>
      <c r="S451" s="1">
        <f>electric_vehicles_dataset[[#This Row],[Units_Sold_2024]]*electric_vehicles_dataset[[#This Row],[Price_USD]]</f>
        <v>349333146.24000001</v>
      </c>
      <c r="T451">
        <v>4</v>
      </c>
      <c r="U451">
        <v>2624</v>
      </c>
      <c r="V451">
        <v>4</v>
      </c>
    </row>
    <row r="452" spans="1:22" x14ac:dyDescent="0.35">
      <c r="A452">
        <v>451</v>
      </c>
      <c r="B452" t="s">
        <v>173</v>
      </c>
      <c r="C452" t="s">
        <v>306</v>
      </c>
      <c r="D452">
        <v>2021</v>
      </c>
      <c r="E452" t="s">
        <v>53</v>
      </c>
      <c r="F452">
        <v>129.4</v>
      </c>
      <c r="G452" t="s">
        <v>352</v>
      </c>
      <c r="H452">
        <f>electric_vehicles_dataset[[#This Row],[Battery_Capacity_kWh]]/electric_vehicles_dataset[[#This Row],[Range_km]]</f>
        <v>0.27708779443254822</v>
      </c>
      <c r="I452">
        <v>467</v>
      </c>
      <c r="J452" t="s">
        <v>358</v>
      </c>
      <c r="K452">
        <v>11</v>
      </c>
      <c r="L452" s="1">
        <v>128428.96</v>
      </c>
      <c r="M452" s="1" t="str" cm="1">
        <f t="array" ref="M45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52" t="s">
        <v>257</v>
      </c>
      <c r="O452" t="s">
        <v>23</v>
      </c>
      <c r="P452" s="2" t="s">
        <v>389</v>
      </c>
      <c r="Q452">
        <v>4</v>
      </c>
      <c r="R452" t="s">
        <v>392</v>
      </c>
      <c r="S452" s="1">
        <f>electric_vehicles_dataset[[#This Row],[Units_Sold_2024]]*electric_vehicles_dataset[[#This Row],[Price_USD]]</f>
        <v>2304914545.1199999</v>
      </c>
      <c r="T452">
        <v>5</v>
      </c>
      <c r="U452">
        <v>17947</v>
      </c>
      <c r="V452">
        <v>5</v>
      </c>
    </row>
    <row r="453" spans="1:22" x14ac:dyDescent="0.35">
      <c r="A453">
        <v>452</v>
      </c>
      <c r="B453" t="s">
        <v>56</v>
      </c>
      <c r="C453" t="s">
        <v>57</v>
      </c>
      <c r="D453">
        <v>2015</v>
      </c>
      <c r="E453" t="s">
        <v>183</v>
      </c>
      <c r="F453">
        <v>26.8</v>
      </c>
      <c r="G453" t="s">
        <v>357</v>
      </c>
      <c r="H453">
        <f>electric_vehicles_dataset[[#This Row],[Battery_Capacity_kWh]]/electric_vehicles_dataset[[#This Row],[Range_km]]</f>
        <v>6.2616822429906543E-2</v>
      </c>
      <c r="I453">
        <v>428</v>
      </c>
      <c r="J453" t="s">
        <v>85</v>
      </c>
      <c r="K453">
        <v>8</v>
      </c>
      <c r="L453" s="1">
        <v>124922.32</v>
      </c>
      <c r="M453" s="1" t="str" cm="1">
        <f t="array" ref="M4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53" t="s">
        <v>131</v>
      </c>
      <c r="O453" t="s">
        <v>115</v>
      </c>
      <c r="P453" s="2" t="s">
        <v>396</v>
      </c>
      <c r="Q453">
        <v>5</v>
      </c>
      <c r="R453" t="s">
        <v>392</v>
      </c>
      <c r="S453" s="1">
        <f>electric_vehicles_dataset[[#This Row],[Units_Sold_2024]]*electric_vehicles_dataset[[#This Row],[Price_USD]]</f>
        <v>645973316.72000003</v>
      </c>
      <c r="T453">
        <v>3</v>
      </c>
      <c r="U453">
        <v>5171</v>
      </c>
      <c r="V453">
        <v>3</v>
      </c>
    </row>
    <row r="454" spans="1:22" x14ac:dyDescent="0.35">
      <c r="A454">
        <v>453</v>
      </c>
      <c r="B454" t="s">
        <v>207</v>
      </c>
      <c r="C454" t="s">
        <v>208</v>
      </c>
      <c r="D454">
        <v>2025</v>
      </c>
      <c r="E454" t="s">
        <v>183</v>
      </c>
      <c r="F454">
        <v>36.9</v>
      </c>
      <c r="G454" t="s">
        <v>357</v>
      </c>
      <c r="H454">
        <f>electric_vehicles_dataset[[#This Row],[Battery_Capacity_kWh]]/electric_vehicles_dataset[[#This Row],[Range_km]]</f>
        <v>9.1336633663366334E-2</v>
      </c>
      <c r="I454">
        <v>404</v>
      </c>
      <c r="J454" t="s">
        <v>358</v>
      </c>
      <c r="K454">
        <v>10</v>
      </c>
      <c r="L454" s="1">
        <v>68327.899999999994</v>
      </c>
      <c r="M454" s="1" t="str" cm="1">
        <f t="array" ref="M4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54" t="s">
        <v>152</v>
      </c>
      <c r="O454" t="s">
        <v>150</v>
      </c>
      <c r="P454" s="2" t="s">
        <v>389</v>
      </c>
      <c r="Q454">
        <v>5</v>
      </c>
      <c r="R454" t="s">
        <v>392</v>
      </c>
      <c r="S454" s="1">
        <f>electric_vehicles_dataset[[#This Row],[Units_Sold_2024]]*electric_vehicles_dataset[[#This Row],[Price_USD]]</f>
        <v>444746301.09999996</v>
      </c>
      <c r="T454">
        <v>4</v>
      </c>
      <c r="U454">
        <v>6509</v>
      </c>
      <c r="V454">
        <v>3</v>
      </c>
    </row>
    <row r="455" spans="1:22" x14ac:dyDescent="0.35">
      <c r="A455">
        <v>454</v>
      </c>
      <c r="B455" t="s">
        <v>125</v>
      </c>
      <c r="C455" t="s">
        <v>163</v>
      </c>
      <c r="D455">
        <v>2017</v>
      </c>
      <c r="E455" t="s">
        <v>42</v>
      </c>
      <c r="F455">
        <v>133.9</v>
      </c>
      <c r="G455" t="s">
        <v>352</v>
      </c>
      <c r="H455">
        <f>electric_vehicles_dataset[[#This Row],[Battery_Capacity_kWh]]/electric_vehicles_dataset[[#This Row],[Range_km]]</f>
        <v>0.22967409948542025</v>
      </c>
      <c r="I455">
        <v>583</v>
      </c>
      <c r="J455" t="s">
        <v>353</v>
      </c>
      <c r="K455">
        <v>1</v>
      </c>
      <c r="L455" s="1">
        <v>32756.41</v>
      </c>
      <c r="M455" s="1" t="str" cm="1">
        <f t="array" ref="M45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55" t="s">
        <v>114</v>
      </c>
      <c r="O455" t="s">
        <v>118</v>
      </c>
      <c r="P455" s="2" t="s">
        <v>389</v>
      </c>
      <c r="Q455">
        <v>0</v>
      </c>
      <c r="R455" t="s">
        <v>390</v>
      </c>
      <c r="S455" s="1">
        <f>electric_vehicles_dataset[[#This Row],[Units_Sold_2024]]*electric_vehicles_dataset[[#This Row],[Price_USD]]</f>
        <v>181110190.88999999</v>
      </c>
      <c r="T455">
        <v>5</v>
      </c>
      <c r="U455">
        <v>5529</v>
      </c>
      <c r="V455">
        <v>3</v>
      </c>
    </row>
    <row r="456" spans="1:22" x14ac:dyDescent="0.35">
      <c r="A456">
        <v>455</v>
      </c>
      <c r="B456" t="s">
        <v>36</v>
      </c>
      <c r="C456" t="s">
        <v>324</v>
      </c>
      <c r="D456">
        <v>2021</v>
      </c>
      <c r="E456" t="s">
        <v>90</v>
      </c>
      <c r="F456">
        <v>53.8</v>
      </c>
      <c r="G456" t="s">
        <v>348</v>
      </c>
      <c r="H456">
        <f>electric_vehicles_dataset[[#This Row],[Battery_Capacity_kWh]]/electric_vehicles_dataset[[#This Row],[Range_km]]</f>
        <v>0.37103448275862067</v>
      </c>
      <c r="I456">
        <v>145</v>
      </c>
      <c r="J456" t="s">
        <v>149</v>
      </c>
      <c r="K456">
        <v>3</v>
      </c>
      <c r="L456" s="1">
        <v>98069.15</v>
      </c>
      <c r="M456" s="1" t="str" cm="1">
        <f t="array" ref="M4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56" t="s">
        <v>22</v>
      </c>
      <c r="O456" t="s">
        <v>121</v>
      </c>
      <c r="P456" s="2" t="s">
        <v>398</v>
      </c>
      <c r="Q456">
        <v>3</v>
      </c>
      <c r="R456" t="s">
        <v>397</v>
      </c>
      <c r="S456" s="1">
        <f>electric_vehicles_dataset[[#This Row],[Units_Sold_2024]]*electric_vehicles_dataset[[#This Row],[Price_USD]]</f>
        <v>652748262.39999998</v>
      </c>
      <c r="T456">
        <v>3</v>
      </c>
      <c r="U456">
        <v>6656</v>
      </c>
      <c r="V456">
        <v>3</v>
      </c>
    </row>
    <row r="457" spans="1:22" x14ac:dyDescent="0.35">
      <c r="A457">
        <v>456</v>
      </c>
      <c r="B457" t="s">
        <v>241</v>
      </c>
      <c r="C457" t="s">
        <v>242</v>
      </c>
      <c r="D457">
        <v>2019</v>
      </c>
      <c r="E457" t="s">
        <v>17</v>
      </c>
      <c r="F457">
        <v>84.2</v>
      </c>
      <c r="G457" t="s">
        <v>350</v>
      </c>
      <c r="H457">
        <f>electric_vehicles_dataset[[#This Row],[Battery_Capacity_kWh]]/electric_vehicles_dataset[[#This Row],[Range_km]]</f>
        <v>0.5072289156626506</v>
      </c>
      <c r="I457">
        <v>166</v>
      </c>
      <c r="J457" t="s">
        <v>358</v>
      </c>
      <c r="K457">
        <v>10</v>
      </c>
      <c r="L457" s="1">
        <v>102009.93</v>
      </c>
      <c r="M457" s="1" t="str" cm="1">
        <f t="array" ref="M45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57" t="s">
        <v>257</v>
      </c>
      <c r="O457" t="s">
        <v>265</v>
      </c>
      <c r="P457" s="2" t="s">
        <v>389</v>
      </c>
      <c r="Q457">
        <v>1</v>
      </c>
      <c r="R457" t="s">
        <v>391</v>
      </c>
      <c r="S457" s="1">
        <f>electric_vehicles_dataset[[#This Row],[Units_Sold_2024]]*electric_vehicles_dataset[[#This Row],[Price_USD]]</f>
        <v>96093354.059999987</v>
      </c>
      <c r="T457">
        <v>3</v>
      </c>
      <c r="U457">
        <v>942</v>
      </c>
      <c r="V457">
        <v>4</v>
      </c>
    </row>
    <row r="458" spans="1:22" x14ac:dyDescent="0.35">
      <c r="A458">
        <v>457</v>
      </c>
      <c r="B458" t="s">
        <v>180</v>
      </c>
      <c r="C458" t="s">
        <v>285</v>
      </c>
      <c r="D458">
        <v>2024</v>
      </c>
      <c r="E458" t="s">
        <v>130</v>
      </c>
      <c r="F458">
        <v>138</v>
      </c>
      <c r="G458" t="s">
        <v>352</v>
      </c>
      <c r="H458">
        <f>electric_vehicles_dataset[[#This Row],[Battery_Capacity_kWh]]/electric_vehicles_dataset[[#This Row],[Range_km]]</f>
        <v>0.47750865051903113</v>
      </c>
      <c r="I458">
        <v>289</v>
      </c>
      <c r="J458" t="s">
        <v>345</v>
      </c>
      <c r="K458">
        <v>2</v>
      </c>
      <c r="L458" s="1">
        <v>86265.79</v>
      </c>
      <c r="M458" s="1" t="str" cm="1">
        <f t="array" ref="M45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58" t="s">
        <v>146</v>
      </c>
      <c r="O458" t="s">
        <v>164</v>
      </c>
      <c r="P458" s="2" t="s">
        <v>394</v>
      </c>
      <c r="Q458">
        <v>5</v>
      </c>
      <c r="R458" t="s">
        <v>392</v>
      </c>
      <c r="S458" s="1">
        <f>electric_vehicles_dataset[[#This Row],[Units_Sold_2024]]*electric_vehicles_dataset[[#This Row],[Price_USD]]</f>
        <v>724287572.83999991</v>
      </c>
      <c r="T458">
        <v>5</v>
      </c>
      <c r="U458">
        <v>8396</v>
      </c>
      <c r="V458">
        <v>3</v>
      </c>
    </row>
    <row r="459" spans="1:22" x14ac:dyDescent="0.35">
      <c r="A459">
        <v>458</v>
      </c>
      <c r="B459" t="s">
        <v>184</v>
      </c>
      <c r="C459" t="s">
        <v>185</v>
      </c>
      <c r="D459">
        <v>2015</v>
      </c>
      <c r="E459" t="s">
        <v>104</v>
      </c>
      <c r="F459">
        <v>141</v>
      </c>
      <c r="G459" t="s">
        <v>386</v>
      </c>
      <c r="H459">
        <f>electric_vehicles_dataset[[#This Row],[Battery_Capacity_kWh]]/electric_vehicles_dataset[[#This Row],[Range_km]]</f>
        <v>0.41348973607038125</v>
      </c>
      <c r="I459">
        <v>341</v>
      </c>
      <c r="J459" t="s">
        <v>149</v>
      </c>
      <c r="K459">
        <v>12</v>
      </c>
      <c r="L459" s="1">
        <v>142718.63</v>
      </c>
      <c r="M459" s="1" t="str" cm="1">
        <f t="array" ref="M45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59" t="s">
        <v>271</v>
      </c>
      <c r="O459" t="s">
        <v>139</v>
      </c>
      <c r="P459" s="2" t="s">
        <v>389</v>
      </c>
      <c r="Q459">
        <v>0</v>
      </c>
      <c r="R459" t="s">
        <v>390</v>
      </c>
      <c r="S459" s="1">
        <f>electric_vehicles_dataset[[#This Row],[Units_Sold_2024]]*electric_vehicles_dataset[[#This Row],[Price_USD]]</f>
        <v>1414627060.5599999</v>
      </c>
      <c r="T459">
        <v>4</v>
      </c>
      <c r="U459">
        <v>9912</v>
      </c>
      <c r="V459">
        <v>4</v>
      </c>
    </row>
    <row r="460" spans="1:22" x14ac:dyDescent="0.35">
      <c r="A460">
        <v>459</v>
      </c>
      <c r="B460" t="s">
        <v>68</v>
      </c>
      <c r="C460" t="s">
        <v>69</v>
      </c>
      <c r="D460">
        <v>2017</v>
      </c>
      <c r="E460" t="s">
        <v>53</v>
      </c>
      <c r="F460">
        <v>92.7</v>
      </c>
      <c r="G460" t="s">
        <v>350</v>
      </c>
      <c r="H460">
        <f>electric_vehicles_dataset[[#This Row],[Battery_Capacity_kWh]]/electric_vehicles_dataset[[#This Row],[Range_km]]</f>
        <v>0.23350125944584382</v>
      </c>
      <c r="I460">
        <v>397</v>
      </c>
      <c r="J460" t="s">
        <v>85</v>
      </c>
      <c r="K460">
        <v>4</v>
      </c>
      <c r="L460" s="1">
        <v>90449.61</v>
      </c>
      <c r="M460" s="1" t="str" cm="1">
        <f t="array" ref="M46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60" t="s">
        <v>219</v>
      </c>
      <c r="O460" t="s">
        <v>40</v>
      </c>
      <c r="P460" s="2" t="s">
        <v>395</v>
      </c>
      <c r="Q460">
        <v>0</v>
      </c>
      <c r="R460" t="s">
        <v>390</v>
      </c>
      <c r="S460" s="1">
        <f>electric_vehicles_dataset[[#This Row],[Units_Sold_2024]]*electric_vehicles_dataset[[#This Row],[Price_USD]]</f>
        <v>771716072.51999998</v>
      </c>
      <c r="T460">
        <v>3</v>
      </c>
      <c r="U460">
        <v>8532</v>
      </c>
      <c r="V460">
        <v>3</v>
      </c>
    </row>
    <row r="461" spans="1:22" x14ac:dyDescent="0.35">
      <c r="A461">
        <v>460</v>
      </c>
      <c r="B461" t="s">
        <v>56</v>
      </c>
      <c r="C461" t="s">
        <v>57</v>
      </c>
      <c r="D461">
        <v>2017</v>
      </c>
      <c r="E461" t="s">
        <v>130</v>
      </c>
      <c r="F461">
        <v>133.30000000000001</v>
      </c>
      <c r="G461" t="s">
        <v>352</v>
      </c>
      <c r="H461">
        <f>electric_vehicles_dataset[[#This Row],[Battery_Capacity_kWh]]/electric_vehicles_dataset[[#This Row],[Range_km]]</f>
        <v>0.25294117647058828</v>
      </c>
      <c r="I461">
        <v>527</v>
      </c>
      <c r="J461" t="s">
        <v>105</v>
      </c>
      <c r="K461">
        <v>9</v>
      </c>
      <c r="L461" s="1">
        <v>141148.45000000001</v>
      </c>
      <c r="M461" s="1" t="str" cm="1">
        <f t="array" ref="M46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61" t="s">
        <v>179</v>
      </c>
      <c r="O461" t="s">
        <v>161</v>
      </c>
      <c r="P461" s="2" t="s">
        <v>389</v>
      </c>
      <c r="Q461">
        <v>2</v>
      </c>
      <c r="R461" t="s">
        <v>391</v>
      </c>
      <c r="S461" s="1">
        <f>electric_vehicles_dataset[[#This Row],[Units_Sold_2024]]*electric_vehicles_dataset[[#This Row],[Price_USD]]</f>
        <v>1459333824.5500002</v>
      </c>
      <c r="T461">
        <v>3</v>
      </c>
      <c r="U461">
        <v>10339</v>
      </c>
      <c r="V461">
        <v>5</v>
      </c>
    </row>
    <row r="462" spans="1:22" x14ac:dyDescent="0.35">
      <c r="A462">
        <v>461</v>
      </c>
      <c r="B462" t="s">
        <v>262</v>
      </c>
      <c r="C462" t="s">
        <v>263</v>
      </c>
      <c r="D462">
        <v>2023</v>
      </c>
      <c r="E462" t="s">
        <v>26</v>
      </c>
      <c r="F462">
        <v>140</v>
      </c>
      <c r="G462" t="s">
        <v>352</v>
      </c>
      <c r="H462">
        <f>electric_vehicles_dataset[[#This Row],[Battery_Capacity_kWh]]/electric_vehicles_dataset[[#This Row],[Range_km]]</f>
        <v>0.32941176470588235</v>
      </c>
      <c r="I462">
        <v>425</v>
      </c>
      <c r="J462" t="s">
        <v>345</v>
      </c>
      <c r="K462">
        <v>1</v>
      </c>
      <c r="L462" s="1">
        <v>47834.5</v>
      </c>
      <c r="M462" s="1" t="str" cm="1">
        <f t="array" ref="M46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62" t="s">
        <v>102</v>
      </c>
      <c r="O462" t="s">
        <v>86</v>
      </c>
      <c r="P462" s="2" t="s">
        <v>389</v>
      </c>
      <c r="Q462">
        <v>2</v>
      </c>
      <c r="R462" t="s">
        <v>391</v>
      </c>
      <c r="S462" s="1">
        <f>electric_vehicles_dataset[[#This Row],[Units_Sold_2024]]*electric_vehicles_dataset[[#This Row],[Price_USD]]</f>
        <v>181818934.5</v>
      </c>
      <c r="T462">
        <v>4</v>
      </c>
      <c r="U462">
        <v>3801</v>
      </c>
      <c r="V462">
        <v>4</v>
      </c>
    </row>
    <row r="463" spans="1:22" x14ac:dyDescent="0.35">
      <c r="A463">
        <v>462</v>
      </c>
      <c r="B463" t="s">
        <v>108</v>
      </c>
      <c r="C463" t="s">
        <v>325</v>
      </c>
      <c r="D463">
        <v>2020</v>
      </c>
      <c r="E463" t="s">
        <v>17</v>
      </c>
      <c r="F463">
        <v>92.9</v>
      </c>
      <c r="G463" t="s">
        <v>350</v>
      </c>
      <c r="H463">
        <f>electric_vehicles_dataset[[#This Row],[Battery_Capacity_kWh]]/electric_vehicles_dataset[[#This Row],[Range_km]]</f>
        <v>0.27814371257485032</v>
      </c>
      <c r="I463">
        <v>334</v>
      </c>
      <c r="J463" t="s">
        <v>356</v>
      </c>
      <c r="K463">
        <v>2</v>
      </c>
      <c r="L463" s="1">
        <v>116371.68</v>
      </c>
      <c r="M463" s="1" t="str" cm="1">
        <f t="array" ref="M4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63" t="s">
        <v>240</v>
      </c>
      <c r="O463" t="s">
        <v>147</v>
      </c>
      <c r="P463" s="2" t="s">
        <v>396</v>
      </c>
      <c r="Q463">
        <v>1</v>
      </c>
      <c r="R463" t="s">
        <v>391</v>
      </c>
      <c r="S463" s="1">
        <f>electric_vehicles_dataset[[#This Row],[Units_Sold_2024]]*electric_vehicles_dataset[[#This Row],[Price_USD]]</f>
        <v>1939915905.5999999</v>
      </c>
      <c r="T463">
        <v>3</v>
      </c>
      <c r="U463">
        <v>16670</v>
      </c>
      <c r="V463">
        <v>4</v>
      </c>
    </row>
    <row r="464" spans="1:22" x14ac:dyDescent="0.35">
      <c r="A464">
        <v>463</v>
      </c>
      <c r="B464" t="s">
        <v>261</v>
      </c>
      <c r="C464" t="s">
        <v>370</v>
      </c>
      <c r="D464">
        <v>2024</v>
      </c>
      <c r="E464" t="s">
        <v>31</v>
      </c>
      <c r="F464">
        <v>95.9</v>
      </c>
      <c r="G464" t="s">
        <v>350</v>
      </c>
      <c r="H464">
        <f>electric_vehicles_dataset[[#This Row],[Battery_Capacity_kWh]]/electric_vehicles_dataset[[#This Row],[Range_km]]</f>
        <v>0.16063651591289782</v>
      </c>
      <c r="I464">
        <v>597</v>
      </c>
      <c r="J464" t="s">
        <v>76</v>
      </c>
      <c r="K464">
        <v>7</v>
      </c>
      <c r="L464" s="1">
        <v>98494.54</v>
      </c>
      <c r="M464" s="1" t="str" cm="1">
        <f t="array" ref="M46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64" t="s">
        <v>70</v>
      </c>
      <c r="O464" t="s">
        <v>92</v>
      </c>
      <c r="P464" s="2" t="s">
        <v>394</v>
      </c>
      <c r="Q464">
        <v>3</v>
      </c>
      <c r="R464" t="s">
        <v>397</v>
      </c>
      <c r="S464" s="1">
        <f>electric_vehicles_dataset[[#This Row],[Units_Sold_2024]]*electric_vehicles_dataset[[#This Row],[Price_USD]]</f>
        <v>917476640.0999999</v>
      </c>
      <c r="T464">
        <v>3</v>
      </c>
      <c r="U464">
        <v>9315</v>
      </c>
      <c r="V464">
        <v>5</v>
      </c>
    </row>
    <row r="465" spans="1:22" x14ac:dyDescent="0.35">
      <c r="A465">
        <v>464</v>
      </c>
      <c r="B465" t="s">
        <v>94</v>
      </c>
      <c r="C465" t="s">
        <v>99</v>
      </c>
      <c r="D465">
        <v>2021</v>
      </c>
      <c r="E465" t="s">
        <v>104</v>
      </c>
      <c r="F465">
        <v>96.7</v>
      </c>
      <c r="G465" t="s">
        <v>350</v>
      </c>
      <c r="H465">
        <f>electric_vehicles_dataset[[#This Row],[Battery_Capacity_kWh]]/electric_vehicles_dataset[[#This Row],[Range_km]]</f>
        <v>0.16473594548551959</v>
      </c>
      <c r="I465">
        <v>587</v>
      </c>
      <c r="J465" t="s">
        <v>48</v>
      </c>
      <c r="K465">
        <v>10</v>
      </c>
      <c r="L465" s="1">
        <v>48453.06</v>
      </c>
      <c r="M465" s="1" t="str" cm="1">
        <f t="array" ref="M46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65" t="s">
        <v>143</v>
      </c>
      <c r="O465" t="s">
        <v>40</v>
      </c>
      <c r="P465" s="2" t="s">
        <v>395</v>
      </c>
      <c r="Q465">
        <v>5</v>
      </c>
      <c r="R465" t="s">
        <v>392</v>
      </c>
      <c r="S465" s="1">
        <f>electric_vehicles_dataset[[#This Row],[Units_Sold_2024]]*electric_vehicles_dataset[[#This Row],[Price_USD]]</f>
        <v>943381078.19999993</v>
      </c>
      <c r="T465">
        <v>4</v>
      </c>
      <c r="U465">
        <v>19470</v>
      </c>
      <c r="V465">
        <v>5</v>
      </c>
    </row>
    <row r="466" spans="1:22" x14ac:dyDescent="0.35">
      <c r="A466">
        <v>465</v>
      </c>
      <c r="B466" t="s">
        <v>79</v>
      </c>
      <c r="C466" t="s">
        <v>299</v>
      </c>
      <c r="D466">
        <v>2015</v>
      </c>
      <c r="E466" t="s">
        <v>73</v>
      </c>
      <c r="F466">
        <v>100.9</v>
      </c>
      <c r="G466" t="s">
        <v>361</v>
      </c>
      <c r="H466">
        <f>electric_vehicles_dataset[[#This Row],[Battery_Capacity_kWh]]/electric_vehicles_dataset[[#This Row],[Range_km]]</f>
        <v>0.30483383685800608</v>
      </c>
      <c r="I466">
        <v>331</v>
      </c>
      <c r="J466" t="s">
        <v>38</v>
      </c>
      <c r="K466">
        <v>11</v>
      </c>
      <c r="L466" s="1">
        <v>149978.53</v>
      </c>
      <c r="M466" s="1" t="str" cm="1">
        <f t="array" ref="M4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66" t="s">
        <v>271</v>
      </c>
      <c r="O466" t="s">
        <v>182</v>
      </c>
      <c r="P466" s="2" t="s">
        <v>394</v>
      </c>
      <c r="Q466">
        <v>5</v>
      </c>
      <c r="R466" t="s">
        <v>392</v>
      </c>
      <c r="S466" s="1">
        <f>electric_vehicles_dataset[[#This Row],[Units_Sold_2024]]*electric_vehicles_dataset[[#This Row],[Price_USD]]</f>
        <v>1588122654.1700001</v>
      </c>
      <c r="T466">
        <v>4</v>
      </c>
      <c r="U466">
        <v>10589</v>
      </c>
      <c r="V466">
        <v>3</v>
      </c>
    </row>
    <row r="467" spans="1:22" x14ac:dyDescent="0.35">
      <c r="A467">
        <v>466</v>
      </c>
      <c r="B467" t="s">
        <v>269</v>
      </c>
      <c r="C467" t="s">
        <v>307</v>
      </c>
      <c r="D467">
        <v>2023</v>
      </c>
      <c r="E467" t="s">
        <v>90</v>
      </c>
      <c r="F467">
        <v>69.599999999999994</v>
      </c>
      <c r="G467" t="s">
        <v>351</v>
      </c>
      <c r="H467">
        <f>electric_vehicles_dataset[[#This Row],[Battery_Capacity_kWh]]/electric_vehicles_dataset[[#This Row],[Range_km]]</f>
        <v>0.22894736842105262</v>
      </c>
      <c r="I467">
        <v>304</v>
      </c>
      <c r="J467" t="s">
        <v>105</v>
      </c>
      <c r="K467">
        <v>3</v>
      </c>
      <c r="L467" s="1">
        <v>145805.92000000001</v>
      </c>
      <c r="M467" s="1" t="str" cm="1">
        <f t="array" ref="M46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67" t="s">
        <v>253</v>
      </c>
      <c r="O467" t="s">
        <v>20</v>
      </c>
      <c r="P467" s="2" t="s">
        <v>389</v>
      </c>
      <c r="Q467">
        <v>5</v>
      </c>
      <c r="R467" t="s">
        <v>392</v>
      </c>
      <c r="S467" s="1">
        <f>electric_vehicles_dataset[[#This Row],[Units_Sold_2024]]*electric_vehicles_dataset[[#This Row],[Price_USD]]</f>
        <v>1361244069.1200001</v>
      </c>
      <c r="T467">
        <v>4</v>
      </c>
      <c r="U467">
        <v>9336</v>
      </c>
      <c r="V467">
        <v>5</v>
      </c>
    </row>
    <row r="468" spans="1:22" x14ac:dyDescent="0.35">
      <c r="A468">
        <v>467</v>
      </c>
      <c r="B468" t="s">
        <v>51</v>
      </c>
      <c r="C468" t="s">
        <v>162</v>
      </c>
      <c r="D468">
        <v>2017</v>
      </c>
      <c r="E468" t="s">
        <v>58</v>
      </c>
      <c r="F468">
        <v>58.8</v>
      </c>
      <c r="G468" t="s">
        <v>348</v>
      </c>
      <c r="H468">
        <f>electric_vehicles_dataset[[#This Row],[Battery_Capacity_kWh]]/electric_vehicles_dataset[[#This Row],[Range_km]]</f>
        <v>0.11529411764705882</v>
      </c>
      <c r="I468">
        <v>510</v>
      </c>
      <c r="J468" t="s">
        <v>358</v>
      </c>
      <c r="K468">
        <v>9</v>
      </c>
      <c r="L468" s="1">
        <v>140603.98000000001</v>
      </c>
      <c r="M468" s="1" t="str" cm="1">
        <f t="array" ref="M46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68" t="s">
        <v>106</v>
      </c>
      <c r="O468" t="s">
        <v>139</v>
      </c>
      <c r="P468" s="2" t="s">
        <v>389</v>
      </c>
      <c r="Q468">
        <v>5</v>
      </c>
      <c r="R468" t="s">
        <v>392</v>
      </c>
      <c r="S468" s="1">
        <f>electric_vehicles_dataset[[#This Row],[Units_Sold_2024]]*electric_vehicles_dataset[[#This Row],[Price_USD]]</f>
        <v>920815465.0200001</v>
      </c>
      <c r="T468">
        <v>5</v>
      </c>
      <c r="U468">
        <v>6549</v>
      </c>
      <c r="V468">
        <v>4</v>
      </c>
    </row>
    <row r="469" spans="1:22" x14ac:dyDescent="0.35">
      <c r="A469">
        <v>468</v>
      </c>
      <c r="B469" t="s">
        <v>96</v>
      </c>
      <c r="C469" t="s">
        <v>116</v>
      </c>
      <c r="D469">
        <v>2022</v>
      </c>
      <c r="E469" t="s">
        <v>133</v>
      </c>
      <c r="F469">
        <v>93.2</v>
      </c>
      <c r="G469" t="s">
        <v>350</v>
      </c>
      <c r="H469">
        <f>electric_vehicles_dataset[[#This Row],[Battery_Capacity_kWh]]/electric_vehicles_dataset[[#This Row],[Range_km]]</f>
        <v>0.29493670886075951</v>
      </c>
      <c r="I469">
        <v>316</v>
      </c>
      <c r="J469" t="s">
        <v>364</v>
      </c>
      <c r="K469">
        <v>9</v>
      </c>
      <c r="L469" s="1">
        <v>127319.32</v>
      </c>
      <c r="M469" s="1" t="str" cm="1">
        <f t="array" ref="M46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69" t="s">
        <v>217</v>
      </c>
      <c r="O469" t="s">
        <v>86</v>
      </c>
      <c r="P469" s="2" t="s">
        <v>389</v>
      </c>
      <c r="Q469">
        <v>3</v>
      </c>
      <c r="R469" t="s">
        <v>397</v>
      </c>
      <c r="S469" s="1">
        <f>electric_vehicles_dataset[[#This Row],[Units_Sold_2024]]*electric_vehicles_dataset[[#This Row],[Price_USD]]</f>
        <v>935415044.04000008</v>
      </c>
      <c r="T469">
        <v>4</v>
      </c>
      <c r="U469">
        <v>7347</v>
      </c>
      <c r="V469">
        <v>5</v>
      </c>
    </row>
    <row r="470" spans="1:22" x14ac:dyDescent="0.35">
      <c r="A470">
        <v>469</v>
      </c>
      <c r="B470" t="s">
        <v>94</v>
      </c>
      <c r="C470" t="s">
        <v>360</v>
      </c>
      <c r="D470">
        <v>2017</v>
      </c>
      <c r="E470" t="s">
        <v>53</v>
      </c>
      <c r="F470">
        <v>84.4</v>
      </c>
      <c r="G470" t="s">
        <v>350</v>
      </c>
      <c r="H470">
        <f>electric_vehicles_dataset[[#This Row],[Battery_Capacity_kWh]]/electric_vehicles_dataset[[#This Row],[Range_km]]</f>
        <v>0.2</v>
      </c>
      <c r="I470">
        <v>422</v>
      </c>
      <c r="J470" t="s">
        <v>364</v>
      </c>
      <c r="K470">
        <v>4</v>
      </c>
      <c r="L470" s="1">
        <v>82482.66</v>
      </c>
      <c r="M470" s="1" t="str" cm="1">
        <f t="array" ref="M4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70" t="s">
        <v>271</v>
      </c>
      <c r="O470" t="s">
        <v>226</v>
      </c>
      <c r="P470" s="2" t="s">
        <v>395</v>
      </c>
      <c r="Q470">
        <v>1</v>
      </c>
      <c r="R470" t="s">
        <v>391</v>
      </c>
      <c r="S470" s="1">
        <f>electric_vehicles_dataset[[#This Row],[Units_Sold_2024]]*electric_vehicles_dataset[[#This Row],[Price_USD]]</f>
        <v>1413752792.4000001</v>
      </c>
      <c r="T470">
        <v>3</v>
      </c>
      <c r="U470">
        <v>17140</v>
      </c>
      <c r="V470">
        <v>4</v>
      </c>
    </row>
    <row r="471" spans="1:22" x14ac:dyDescent="0.35">
      <c r="A471">
        <v>470</v>
      </c>
      <c r="B471" t="s">
        <v>176</v>
      </c>
      <c r="C471" t="s">
        <v>326</v>
      </c>
      <c r="D471">
        <v>2023</v>
      </c>
      <c r="E471" t="s">
        <v>58</v>
      </c>
      <c r="F471">
        <v>139.19999999999999</v>
      </c>
      <c r="G471" t="s">
        <v>352</v>
      </c>
      <c r="H471">
        <f>electric_vehicles_dataset[[#This Row],[Battery_Capacity_kWh]]/electric_vehicles_dataset[[#This Row],[Range_km]]</f>
        <v>0.38453038674033146</v>
      </c>
      <c r="I471">
        <v>362</v>
      </c>
      <c r="J471" t="s">
        <v>48</v>
      </c>
      <c r="K471">
        <v>6</v>
      </c>
      <c r="L471" s="1">
        <v>79562.33</v>
      </c>
      <c r="M471" s="1" t="str" cm="1">
        <f t="array" ref="M47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71" t="s">
        <v>32</v>
      </c>
      <c r="O471" t="s">
        <v>182</v>
      </c>
      <c r="P471" s="2" t="s">
        <v>394</v>
      </c>
      <c r="Q471">
        <v>2</v>
      </c>
      <c r="R471" t="s">
        <v>391</v>
      </c>
      <c r="S471" s="1">
        <f>electric_vehicles_dataset[[#This Row],[Units_Sold_2024]]*electric_vehicles_dataset[[#This Row],[Price_USD]]</f>
        <v>1312460195.6800001</v>
      </c>
      <c r="T471">
        <v>4</v>
      </c>
      <c r="U471">
        <v>16496</v>
      </c>
      <c r="V471">
        <v>3</v>
      </c>
    </row>
    <row r="472" spans="1:22" x14ac:dyDescent="0.35">
      <c r="A472">
        <v>471</v>
      </c>
      <c r="B472" t="s">
        <v>64</v>
      </c>
      <c r="C472" t="s">
        <v>65</v>
      </c>
      <c r="D472">
        <v>2017</v>
      </c>
      <c r="E472" t="s">
        <v>183</v>
      </c>
      <c r="F472">
        <v>43.7</v>
      </c>
      <c r="G472" t="s">
        <v>348</v>
      </c>
      <c r="H472">
        <f>electric_vehicles_dataset[[#This Row],[Battery_Capacity_kWh]]/electric_vehicles_dataset[[#This Row],[Range_km]]</f>
        <v>0.14518272425249171</v>
      </c>
      <c r="I472">
        <v>301</v>
      </c>
      <c r="J472" t="s">
        <v>27</v>
      </c>
      <c r="K472">
        <v>2</v>
      </c>
      <c r="L472" s="1">
        <v>135210.64000000001</v>
      </c>
      <c r="M472" s="1" t="str" cm="1">
        <f t="array" ref="M47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72" t="s">
        <v>127</v>
      </c>
      <c r="O472" t="s">
        <v>89</v>
      </c>
      <c r="P472" s="2" t="s">
        <v>389</v>
      </c>
      <c r="Q472">
        <v>3</v>
      </c>
      <c r="R472" t="s">
        <v>397</v>
      </c>
      <c r="S472" s="1">
        <f>electric_vehicles_dataset[[#This Row],[Units_Sold_2024]]*electric_vehicles_dataset[[#This Row],[Price_USD]]</f>
        <v>1512195797.7600002</v>
      </c>
      <c r="T472">
        <v>4</v>
      </c>
      <c r="U472">
        <v>11184</v>
      </c>
      <c r="V472">
        <v>3</v>
      </c>
    </row>
    <row r="473" spans="1:22" x14ac:dyDescent="0.35">
      <c r="A473">
        <v>472</v>
      </c>
      <c r="B473" t="s">
        <v>192</v>
      </c>
      <c r="C473" t="s">
        <v>316</v>
      </c>
      <c r="D473">
        <v>2016</v>
      </c>
      <c r="E473" t="s">
        <v>17</v>
      </c>
      <c r="F473">
        <v>147.69999999999999</v>
      </c>
      <c r="G473" t="s">
        <v>386</v>
      </c>
      <c r="H473">
        <f>electric_vehicles_dataset[[#This Row],[Battery_Capacity_kWh]]/electric_vehicles_dataset[[#This Row],[Range_km]]</f>
        <v>0.63663793103448274</v>
      </c>
      <c r="I473">
        <v>232</v>
      </c>
      <c r="J473" t="s">
        <v>48</v>
      </c>
      <c r="K473">
        <v>6</v>
      </c>
      <c r="L473" s="1">
        <v>32149.83</v>
      </c>
      <c r="M473" s="1" t="str" cm="1">
        <f t="array" ref="M47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73" t="s">
        <v>253</v>
      </c>
      <c r="O473" t="s">
        <v>147</v>
      </c>
      <c r="P473" s="2" t="s">
        <v>396</v>
      </c>
      <c r="Q473">
        <v>3</v>
      </c>
      <c r="R473" t="s">
        <v>397</v>
      </c>
      <c r="S473" s="1">
        <f>electric_vehicles_dataset[[#This Row],[Units_Sold_2024]]*electric_vehicles_dataset[[#This Row],[Price_USD]]</f>
        <v>634058947.25999999</v>
      </c>
      <c r="T473">
        <v>4</v>
      </c>
      <c r="U473">
        <v>19722</v>
      </c>
      <c r="V473">
        <v>5</v>
      </c>
    </row>
    <row r="474" spans="1:22" x14ac:dyDescent="0.35">
      <c r="A474">
        <v>473</v>
      </c>
      <c r="B474" t="s">
        <v>262</v>
      </c>
      <c r="C474" t="s">
        <v>373</v>
      </c>
      <c r="D474">
        <v>2024</v>
      </c>
      <c r="E474" t="s">
        <v>26</v>
      </c>
      <c r="F474">
        <v>146.6</v>
      </c>
      <c r="G474" t="s">
        <v>386</v>
      </c>
      <c r="H474">
        <f>electric_vehicles_dataset[[#This Row],[Battery_Capacity_kWh]]/electric_vehicles_dataset[[#This Row],[Range_km]]</f>
        <v>0.51619718309859153</v>
      </c>
      <c r="I474">
        <v>284</v>
      </c>
      <c r="J474" t="s">
        <v>34</v>
      </c>
      <c r="K474">
        <v>10</v>
      </c>
      <c r="L474" s="1">
        <v>40516.22</v>
      </c>
      <c r="M474" s="1" t="str" cm="1">
        <f t="array" ref="M4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74" t="s">
        <v>131</v>
      </c>
      <c r="O474" t="s">
        <v>115</v>
      </c>
      <c r="P474" s="2" t="s">
        <v>396</v>
      </c>
      <c r="Q474">
        <v>0</v>
      </c>
      <c r="R474" t="s">
        <v>390</v>
      </c>
      <c r="S474" s="1">
        <f>electric_vehicles_dataset[[#This Row],[Units_Sold_2024]]*electric_vehicles_dataset[[#This Row],[Price_USD]]</f>
        <v>277779204.31999999</v>
      </c>
      <c r="T474">
        <v>3</v>
      </c>
      <c r="U474">
        <v>6856</v>
      </c>
      <c r="V474">
        <v>4</v>
      </c>
    </row>
    <row r="475" spans="1:22" x14ac:dyDescent="0.35">
      <c r="A475">
        <v>474</v>
      </c>
      <c r="B475" t="s">
        <v>224</v>
      </c>
      <c r="C475" t="s">
        <v>297</v>
      </c>
      <c r="D475">
        <v>2025</v>
      </c>
      <c r="E475" t="s">
        <v>31</v>
      </c>
      <c r="F475">
        <v>76.7</v>
      </c>
      <c r="G475" t="s">
        <v>351</v>
      </c>
      <c r="H475">
        <f>electric_vehicles_dataset[[#This Row],[Battery_Capacity_kWh]]/electric_vehicles_dataset[[#This Row],[Range_km]]</f>
        <v>0.18261904761904763</v>
      </c>
      <c r="I475">
        <v>420</v>
      </c>
      <c r="J475" t="s">
        <v>359</v>
      </c>
      <c r="K475">
        <v>2</v>
      </c>
      <c r="L475" s="1">
        <v>122366.54</v>
      </c>
      <c r="M475" s="1" t="str" cm="1">
        <f t="array" ref="M4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75" t="s">
        <v>240</v>
      </c>
      <c r="O475" t="s">
        <v>226</v>
      </c>
      <c r="P475" s="2" t="s">
        <v>395</v>
      </c>
      <c r="Q475">
        <v>0</v>
      </c>
      <c r="R475" t="s">
        <v>390</v>
      </c>
      <c r="S475" s="1">
        <f>electric_vehicles_dataset[[#This Row],[Units_Sold_2024]]*electric_vehicles_dataset[[#This Row],[Price_USD]]</f>
        <v>1785327818.5999999</v>
      </c>
      <c r="T475">
        <v>5</v>
      </c>
      <c r="U475">
        <v>14590</v>
      </c>
      <c r="V475">
        <v>4</v>
      </c>
    </row>
    <row r="476" spans="1:22" x14ac:dyDescent="0.35">
      <c r="A476">
        <v>475</v>
      </c>
      <c r="B476" t="s">
        <v>173</v>
      </c>
      <c r="C476" t="s">
        <v>249</v>
      </c>
      <c r="D476">
        <v>2022</v>
      </c>
      <c r="E476" t="s">
        <v>90</v>
      </c>
      <c r="F476">
        <v>51.5</v>
      </c>
      <c r="G476" t="s">
        <v>348</v>
      </c>
      <c r="H476">
        <f>electric_vehicles_dataset[[#This Row],[Battery_Capacity_kWh]]/electric_vehicles_dataset[[#This Row],[Range_km]]</f>
        <v>0.20599999999999999</v>
      </c>
      <c r="I476">
        <v>250</v>
      </c>
      <c r="J476" t="s">
        <v>34</v>
      </c>
      <c r="K476">
        <v>1</v>
      </c>
      <c r="L476" s="1">
        <v>30944.91</v>
      </c>
      <c r="M476" s="1" t="str" cm="1">
        <f t="array" ref="M47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76" t="s">
        <v>238</v>
      </c>
      <c r="O476" t="s">
        <v>199</v>
      </c>
      <c r="P476" s="2" t="s">
        <v>394</v>
      </c>
      <c r="Q476">
        <v>3</v>
      </c>
      <c r="R476" t="s">
        <v>397</v>
      </c>
      <c r="S476" s="1">
        <f>electric_vehicles_dataset[[#This Row],[Units_Sold_2024]]*electric_vehicles_dataset[[#This Row],[Price_USD]]</f>
        <v>294843102.48000002</v>
      </c>
      <c r="T476">
        <v>5</v>
      </c>
      <c r="U476">
        <v>9528</v>
      </c>
      <c r="V476">
        <v>3</v>
      </c>
    </row>
    <row r="477" spans="1:22" x14ac:dyDescent="0.35">
      <c r="A477">
        <v>476</v>
      </c>
      <c r="B477" t="s">
        <v>262</v>
      </c>
      <c r="C477" t="s">
        <v>373</v>
      </c>
      <c r="D477">
        <v>2022</v>
      </c>
      <c r="E477" t="s">
        <v>47</v>
      </c>
      <c r="F477">
        <v>96.8</v>
      </c>
      <c r="G477" t="s">
        <v>350</v>
      </c>
      <c r="H477">
        <f>electric_vehicles_dataset[[#This Row],[Battery_Capacity_kWh]]/electric_vehicles_dataset[[#This Row],[Range_km]]</f>
        <v>0.23438256658595641</v>
      </c>
      <c r="I477">
        <v>413</v>
      </c>
      <c r="J477" t="s">
        <v>356</v>
      </c>
      <c r="K477">
        <v>3</v>
      </c>
      <c r="L477" s="1">
        <v>37284.559999999998</v>
      </c>
      <c r="M477" s="1" t="str" cm="1">
        <f t="array" ref="M47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77" t="s">
        <v>301</v>
      </c>
      <c r="O477" t="s">
        <v>199</v>
      </c>
      <c r="P477" s="2" t="s">
        <v>394</v>
      </c>
      <c r="Q477">
        <v>4</v>
      </c>
      <c r="R477" t="s">
        <v>392</v>
      </c>
      <c r="S477" s="1">
        <f>electric_vehicles_dataset[[#This Row],[Units_Sold_2024]]*electric_vehicles_dataset[[#This Row],[Price_USD]]</f>
        <v>578283525.5999999</v>
      </c>
      <c r="T477">
        <v>4</v>
      </c>
      <c r="U477">
        <v>15510</v>
      </c>
      <c r="V477">
        <v>3</v>
      </c>
    </row>
    <row r="478" spans="1:22" x14ac:dyDescent="0.35">
      <c r="A478">
        <v>477</v>
      </c>
      <c r="B478" t="s">
        <v>262</v>
      </c>
      <c r="C478" t="s">
        <v>373</v>
      </c>
      <c r="D478">
        <v>2022</v>
      </c>
      <c r="E478" t="s">
        <v>17</v>
      </c>
      <c r="F478">
        <v>76.7</v>
      </c>
      <c r="G478" t="s">
        <v>351</v>
      </c>
      <c r="H478">
        <f>electric_vehicles_dataset[[#This Row],[Battery_Capacity_kWh]]/electric_vehicles_dataset[[#This Row],[Range_km]]</f>
        <v>0.42142857142857143</v>
      </c>
      <c r="I478">
        <v>182</v>
      </c>
      <c r="J478" t="s">
        <v>54</v>
      </c>
      <c r="K478">
        <v>9</v>
      </c>
      <c r="L478" s="1">
        <v>86308.85</v>
      </c>
      <c r="M478" s="1" t="str" cm="1">
        <f t="array" ref="M47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78" t="s">
        <v>172</v>
      </c>
      <c r="O478" t="s">
        <v>159</v>
      </c>
      <c r="P478" s="2" t="s">
        <v>389</v>
      </c>
      <c r="Q478">
        <v>4</v>
      </c>
      <c r="R478" t="s">
        <v>392</v>
      </c>
      <c r="S478" s="1">
        <f>electric_vehicles_dataset[[#This Row],[Units_Sold_2024]]*electric_vehicles_dataset[[#This Row],[Price_USD]]</f>
        <v>1324840847.5</v>
      </c>
      <c r="T478">
        <v>5</v>
      </c>
      <c r="U478">
        <v>15350</v>
      </c>
      <c r="V478">
        <v>3</v>
      </c>
    </row>
    <row r="479" spans="1:22" x14ac:dyDescent="0.35">
      <c r="A479">
        <v>478</v>
      </c>
      <c r="B479" t="s">
        <v>176</v>
      </c>
      <c r="C479" t="s">
        <v>365</v>
      </c>
      <c r="D479">
        <v>2021</v>
      </c>
      <c r="E479" t="s">
        <v>26</v>
      </c>
      <c r="F479">
        <v>142.4</v>
      </c>
      <c r="G479" t="s">
        <v>386</v>
      </c>
      <c r="H479">
        <f>electric_vehicles_dataset[[#This Row],[Battery_Capacity_kWh]]/electric_vehicles_dataset[[#This Row],[Range_km]]</f>
        <v>0.328110599078341</v>
      </c>
      <c r="I479">
        <v>434</v>
      </c>
      <c r="J479" t="s">
        <v>149</v>
      </c>
      <c r="K479">
        <v>10</v>
      </c>
      <c r="L479" s="1">
        <v>125970.61</v>
      </c>
      <c r="M479" s="1" t="str" cm="1">
        <f t="array" ref="M47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79" t="s">
        <v>77</v>
      </c>
      <c r="O479" t="s">
        <v>23</v>
      </c>
      <c r="P479" s="2" t="s">
        <v>389</v>
      </c>
      <c r="Q479">
        <v>2</v>
      </c>
      <c r="R479" t="s">
        <v>391</v>
      </c>
      <c r="S479" s="1">
        <f>electric_vehicles_dataset[[#This Row],[Units_Sold_2024]]*electric_vehicles_dataset[[#This Row],[Price_USD]]</f>
        <v>1993232962.03</v>
      </c>
      <c r="T479">
        <v>4</v>
      </c>
      <c r="U479">
        <v>15823</v>
      </c>
      <c r="V479">
        <v>3</v>
      </c>
    </row>
    <row r="480" spans="1:22" x14ac:dyDescent="0.35">
      <c r="A480">
        <v>479</v>
      </c>
      <c r="B480" t="s">
        <v>120</v>
      </c>
      <c r="C480" t="s">
        <v>288</v>
      </c>
      <c r="D480">
        <v>2017</v>
      </c>
      <c r="E480" t="s">
        <v>90</v>
      </c>
      <c r="F480">
        <v>84</v>
      </c>
      <c r="G480" t="s">
        <v>350</v>
      </c>
      <c r="H480">
        <f>electric_vehicles_dataset[[#This Row],[Battery_Capacity_kWh]]/electric_vehicles_dataset[[#This Row],[Range_km]]</f>
        <v>0.16600790513833993</v>
      </c>
      <c r="I480">
        <v>506</v>
      </c>
      <c r="J480" t="s">
        <v>358</v>
      </c>
      <c r="K480">
        <v>11</v>
      </c>
      <c r="L480" s="1">
        <v>89247.01</v>
      </c>
      <c r="M480" s="1" t="str" cm="1">
        <f t="array" ref="M48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80" t="s">
        <v>100</v>
      </c>
      <c r="O480" t="s">
        <v>124</v>
      </c>
      <c r="P480" s="2" t="s">
        <v>389</v>
      </c>
      <c r="Q480">
        <v>0</v>
      </c>
      <c r="R480" t="s">
        <v>390</v>
      </c>
      <c r="S480" s="1">
        <f>electric_vehicles_dataset[[#This Row],[Units_Sold_2024]]*electric_vehicles_dataset[[#This Row],[Price_USD]]</f>
        <v>463816710.96999997</v>
      </c>
      <c r="T480">
        <v>5</v>
      </c>
      <c r="U480">
        <v>5197</v>
      </c>
      <c r="V480">
        <v>3</v>
      </c>
    </row>
    <row r="481" spans="1:22" x14ac:dyDescent="0.35">
      <c r="A481">
        <v>480</v>
      </c>
      <c r="B481" t="s">
        <v>241</v>
      </c>
      <c r="C481" t="s">
        <v>247</v>
      </c>
      <c r="D481">
        <v>2015</v>
      </c>
      <c r="E481" t="s">
        <v>183</v>
      </c>
      <c r="F481">
        <v>28.3</v>
      </c>
      <c r="G481" t="s">
        <v>357</v>
      </c>
      <c r="H481">
        <f>electric_vehicles_dataset[[#This Row],[Battery_Capacity_kWh]]/electric_vehicles_dataset[[#This Row],[Range_km]]</f>
        <v>8.8437500000000002E-2</v>
      </c>
      <c r="I481">
        <v>320</v>
      </c>
      <c r="J481" t="s">
        <v>48</v>
      </c>
      <c r="K481">
        <v>8</v>
      </c>
      <c r="L481" s="1">
        <v>44482.559999999998</v>
      </c>
      <c r="M481" s="1" t="str" cm="1">
        <f t="array" ref="M48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81" t="s">
        <v>102</v>
      </c>
      <c r="O481" t="s">
        <v>230</v>
      </c>
      <c r="P481" s="2" t="s">
        <v>389</v>
      </c>
      <c r="Q481">
        <v>2</v>
      </c>
      <c r="R481" t="s">
        <v>391</v>
      </c>
      <c r="S481" s="1">
        <f>electric_vehicles_dataset[[#This Row],[Units_Sold_2024]]*electric_vehicles_dataset[[#This Row],[Price_USD]]</f>
        <v>389889638.39999998</v>
      </c>
      <c r="T481">
        <v>5</v>
      </c>
      <c r="U481">
        <v>8765</v>
      </c>
      <c r="V481">
        <v>3</v>
      </c>
    </row>
    <row r="482" spans="1:22" x14ac:dyDescent="0.35">
      <c r="A482">
        <v>481</v>
      </c>
      <c r="B482" t="s">
        <v>136</v>
      </c>
      <c r="C482" t="s">
        <v>137</v>
      </c>
      <c r="D482">
        <v>2015</v>
      </c>
      <c r="E482" t="s">
        <v>53</v>
      </c>
      <c r="F482">
        <v>143</v>
      </c>
      <c r="G482" t="s">
        <v>386</v>
      </c>
      <c r="H482">
        <f>electric_vehicles_dataset[[#This Row],[Battery_Capacity_kWh]]/electric_vehicles_dataset[[#This Row],[Range_km]]</f>
        <v>0.28094302554027506</v>
      </c>
      <c r="I482">
        <v>509</v>
      </c>
      <c r="J482" t="s">
        <v>345</v>
      </c>
      <c r="K482">
        <v>12</v>
      </c>
      <c r="L482" s="1">
        <v>120691.72</v>
      </c>
      <c r="M482" s="1" t="str" cm="1">
        <f t="array" ref="M48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82" t="s">
        <v>175</v>
      </c>
      <c r="O482" t="s">
        <v>118</v>
      </c>
      <c r="P482" s="2" t="s">
        <v>389</v>
      </c>
      <c r="Q482">
        <v>0</v>
      </c>
      <c r="R482" t="s">
        <v>390</v>
      </c>
      <c r="S482" s="1">
        <f>electric_vehicles_dataset[[#This Row],[Units_Sold_2024]]*electric_vehicles_dataset[[#This Row],[Price_USD]]</f>
        <v>416869200.88</v>
      </c>
      <c r="T482">
        <v>4</v>
      </c>
      <c r="U482">
        <v>3454</v>
      </c>
      <c r="V482">
        <v>3</v>
      </c>
    </row>
    <row r="483" spans="1:22" x14ac:dyDescent="0.35">
      <c r="A483">
        <v>482</v>
      </c>
      <c r="B483" t="s">
        <v>16</v>
      </c>
      <c r="C483" t="s">
        <v>347</v>
      </c>
      <c r="D483">
        <v>2018</v>
      </c>
      <c r="E483" t="s">
        <v>53</v>
      </c>
      <c r="F483">
        <v>67</v>
      </c>
      <c r="G483" t="s">
        <v>351</v>
      </c>
      <c r="H483">
        <f>electric_vehicles_dataset[[#This Row],[Battery_Capacity_kWh]]/electric_vehicles_dataset[[#This Row],[Range_km]]</f>
        <v>0.14194915254237289</v>
      </c>
      <c r="I483">
        <v>472</v>
      </c>
      <c r="J483" t="s">
        <v>54</v>
      </c>
      <c r="K483">
        <v>9</v>
      </c>
      <c r="L483" s="1">
        <v>121435.76</v>
      </c>
      <c r="M483" s="1" t="str" cm="1">
        <f t="array" ref="M48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83" t="s">
        <v>214</v>
      </c>
      <c r="O483" t="s">
        <v>93</v>
      </c>
      <c r="P483" s="2" t="s">
        <v>389</v>
      </c>
      <c r="Q483">
        <v>2</v>
      </c>
      <c r="R483" t="s">
        <v>391</v>
      </c>
      <c r="S483" s="1">
        <f>electric_vehicles_dataset[[#This Row],[Units_Sold_2024]]*electric_vehicles_dataset[[#This Row],[Price_USD]]</f>
        <v>1747217714.8799999</v>
      </c>
      <c r="T483">
        <v>3</v>
      </c>
      <c r="U483">
        <v>14388</v>
      </c>
      <c r="V483">
        <v>4</v>
      </c>
    </row>
    <row r="484" spans="1:22" x14ac:dyDescent="0.35">
      <c r="A484">
        <v>483</v>
      </c>
      <c r="B484" t="s">
        <v>193</v>
      </c>
      <c r="C484" t="s">
        <v>194</v>
      </c>
      <c r="D484">
        <v>2018</v>
      </c>
      <c r="E484" t="s">
        <v>26</v>
      </c>
      <c r="F484">
        <v>125.2</v>
      </c>
      <c r="G484" t="s">
        <v>352</v>
      </c>
      <c r="H484">
        <f>electric_vehicles_dataset[[#This Row],[Battery_Capacity_kWh]]/electric_vehicles_dataset[[#This Row],[Range_km]]</f>
        <v>0.45693430656934308</v>
      </c>
      <c r="I484">
        <v>274</v>
      </c>
      <c r="J484" t="s">
        <v>54</v>
      </c>
      <c r="K484">
        <v>6</v>
      </c>
      <c r="L484" s="1">
        <v>40228.06</v>
      </c>
      <c r="M484" s="1" t="str" cm="1">
        <f t="array" ref="M48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84" t="s">
        <v>165</v>
      </c>
      <c r="O484" t="s">
        <v>169</v>
      </c>
      <c r="P484" s="2" t="s">
        <v>394</v>
      </c>
      <c r="Q484">
        <v>5</v>
      </c>
      <c r="R484" t="s">
        <v>392</v>
      </c>
      <c r="S484" s="1">
        <f>electric_vehicles_dataset[[#This Row],[Units_Sold_2024]]*electric_vehicles_dataset[[#This Row],[Price_USD]]</f>
        <v>555871333.07999992</v>
      </c>
      <c r="T484">
        <v>5</v>
      </c>
      <c r="U484">
        <v>13818</v>
      </c>
      <c r="V484">
        <v>3</v>
      </c>
    </row>
    <row r="485" spans="1:22" x14ac:dyDescent="0.35">
      <c r="A485">
        <v>484</v>
      </c>
      <c r="B485" t="s">
        <v>60</v>
      </c>
      <c r="C485" t="s">
        <v>233</v>
      </c>
      <c r="D485">
        <v>2021</v>
      </c>
      <c r="E485" t="s">
        <v>42</v>
      </c>
      <c r="F485">
        <v>139.30000000000001</v>
      </c>
      <c r="G485" t="s">
        <v>352</v>
      </c>
      <c r="H485">
        <f>electric_vehicles_dataset[[#This Row],[Battery_Capacity_kWh]]/electric_vehicles_dataset[[#This Row],[Range_km]]</f>
        <v>0.2491949910554562</v>
      </c>
      <c r="I485">
        <v>559</v>
      </c>
      <c r="J485" t="s">
        <v>345</v>
      </c>
      <c r="K485">
        <v>11</v>
      </c>
      <c r="L485" s="1">
        <v>91938.64</v>
      </c>
      <c r="M485" s="1" t="str" cm="1">
        <f t="array" ref="M48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85" t="s">
        <v>106</v>
      </c>
      <c r="O485" t="s">
        <v>33</v>
      </c>
      <c r="P485" s="2" t="s">
        <v>393</v>
      </c>
      <c r="Q485">
        <v>3</v>
      </c>
      <c r="R485" t="s">
        <v>397</v>
      </c>
      <c r="S485" s="1">
        <f>electric_vehicles_dataset[[#This Row],[Units_Sold_2024]]*electric_vehicles_dataset[[#This Row],[Price_USD]]</f>
        <v>1558543825.28</v>
      </c>
      <c r="T485">
        <v>4</v>
      </c>
      <c r="U485">
        <v>16952</v>
      </c>
      <c r="V485">
        <v>3</v>
      </c>
    </row>
    <row r="486" spans="1:22" x14ac:dyDescent="0.35">
      <c r="A486">
        <v>485</v>
      </c>
      <c r="B486" t="s">
        <v>200</v>
      </c>
      <c r="C486" t="s">
        <v>327</v>
      </c>
      <c r="D486">
        <v>2020</v>
      </c>
      <c r="E486" t="s">
        <v>42</v>
      </c>
      <c r="F486">
        <v>147.69999999999999</v>
      </c>
      <c r="G486" t="s">
        <v>386</v>
      </c>
      <c r="H486">
        <f>electric_vehicles_dataset[[#This Row],[Battery_Capacity_kWh]]/electric_vehicles_dataset[[#This Row],[Range_km]]</f>
        <v>0.80271739130434772</v>
      </c>
      <c r="I486">
        <v>184</v>
      </c>
      <c r="J486" t="s">
        <v>358</v>
      </c>
      <c r="K486">
        <v>1</v>
      </c>
      <c r="L486" s="1">
        <v>121103.09</v>
      </c>
      <c r="M486" s="1" t="str" cm="1">
        <f t="array" ref="M48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86" t="s">
        <v>117</v>
      </c>
      <c r="O486" t="s">
        <v>44</v>
      </c>
      <c r="P486" s="2" t="s">
        <v>389</v>
      </c>
      <c r="Q486">
        <v>0</v>
      </c>
      <c r="R486" t="s">
        <v>390</v>
      </c>
      <c r="S486" s="1">
        <f>electric_vehicles_dataset[[#This Row],[Units_Sold_2024]]*electric_vehicles_dataset[[#This Row],[Price_USD]]</f>
        <v>2062627828.8799999</v>
      </c>
      <c r="T486">
        <v>5</v>
      </c>
      <c r="U486">
        <v>17032</v>
      </c>
      <c r="V486">
        <v>4</v>
      </c>
    </row>
    <row r="487" spans="1:22" x14ac:dyDescent="0.35">
      <c r="A487">
        <v>486</v>
      </c>
      <c r="B487" t="s">
        <v>125</v>
      </c>
      <c r="C487" t="s">
        <v>126</v>
      </c>
      <c r="D487">
        <v>2025</v>
      </c>
      <c r="E487" t="s">
        <v>17</v>
      </c>
      <c r="F487">
        <v>92</v>
      </c>
      <c r="G487" t="s">
        <v>350</v>
      </c>
      <c r="H487">
        <f>electric_vehicles_dataset[[#This Row],[Battery_Capacity_kWh]]/electric_vehicles_dataset[[#This Row],[Range_km]]</f>
        <v>0.36078431372549019</v>
      </c>
      <c r="I487">
        <v>255</v>
      </c>
      <c r="J487" t="s">
        <v>38</v>
      </c>
      <c r="K487">
        <v>11</v>
      </c>
      <c r="L487" s="1">
        <v>30948.27</v>
      </c>
      <c r="M487" s="1" t="str" cm="1">
        <f t="array" ref="M48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87" t="s">
        <v>49</v>
      </c>
      <c r="O487" t="s">
        <v>121</v>
      </c>
      <c r="P487" s="2" t="s">
        <v>398</v>
      </c>
      <c r="Q487">
        <v>1</v>
      </c>
      <c r="R487" t="s">
        <v>391</v>
      </c>
      <c r="S487" s="1">
        <f>electric_vehicles_dataset[[#This Row],[Units_Sold_2024]]*electric_vehicles_dataset[[#This Row],[Price_USD]]</f>
        <v>552086188.52999997</v>
      </c>
      <c r="T487">
        <v>3</v>
      </c>
      <c r="U487">
        <v>17839</v>
      </c>
      <c r="V487">
        <v>5</v>
      </c>
    </row>
    <row r="488" spans="1:22" x14ac:dyDescent="0.35">
      <c r="A488">
        <v>487</v>
      </c>
      <c r="B488" t="s">
        <v>170</v>
      </c>
      <c r="C488" t="s">
        <v>367</v>
      </c>
      <c r="D488">
        <v>2025</v>
      </c>
      <c r="E488" t="s">
        <v>130</v>
      </c>
      <c r="F488">
        <v>110.7</v>
      </c>
      <c r="G488" t="s">
        <v>361</v>
      </c>
      <c r="H488">
        <f>electric_vehicles_dataset[[#This Row],[Battery_Capacity_kWh]]/electric_vehicles_dataset[[#This Row],[Range_km]]</f>
        <v>0.19981949458483755</v>
      </c>
      <c r="I488">
        <v>554</v>
      </c>
      <c r="J488" t="s">
        <v>34</v>
      </c>
      <c r="K488">
        <v>9</v>
      </c>
      <c r="L488" s="1">
        <v>135716.96</v>
      </c>
      <c r="M488" s="1" t="str" cm="1">
        <f t="array" ref="M48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88" t="s">
        <v>143</v>
      </c>
      <c r="O488" t="s">
        <v>95</v>
      </c>
      <c r="P488" s="2" t="s">
        <v>394</v>
      </c>
      <c r="Q488">
        <v>3</v>
      </c>
      <c r="R488" t="s">
        <v>397</v>
      </c>
      <c r="S488" s="1">
        <f>electric_vehicles_dataset[[#This Row],[Units_Sold_2024]]*electric_vehicles_dataset[[#This Row],[Price_USD]]</f>
        <v>2314517035.8399997</v>
      </c>
      <c r="T488">
        <v>3</v>
      </c>
      <c r="U488">
        <v>17054</v>
      </c>
      <c r="V488">
        <v>5</v>
      </c>
    </row>
    <row r="489" spans="1:22" x14ac:dyDescent="0.35">
      <c r="A489">
        <v>488</v>
      </c>
      <c r="B489" t="s">
        <v>176</v>
      </c>
      <c r="C489" t="s">
        <v>326</v>
      </c>
      <c r="D489">
        <v>2016</v>
      </c>
      <c r="E489" t="s">
        <v>47</v>
      </c>
      <c r="F489">
        <v>91.7</v>
      </c>
      <c r="G489" t="s">
        <v>350</v>
      </c>
      <c r="H489">
        <f>electric_vehicles_dataset[[#This Row],[Battery_Capacity_kWh]]/electric_vehicles_dataset[[#This Row],[Range_km]]</f>
        <v>0.25054644808743171</v>
      </c>
      <c r="I489">
        <v>366</v>
      </c>
      <c r="J489" t="s">
        <v>38</v>
      </c>
      <c r="K489">
        <v>9</v>
      </c>
      <c r="L489" s="1">
        <v>49203.28</v>
      </c>
      <c r="M489" s="1" t="str" cm="1">
        <f t="array" ref="M48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89" t="s">
        <v>301</v>
      </c>
      <c r="O489" t="s">
        <v>107</v>
      </c>
      <c r="P489" s="2" t="s">
        <v>394</v>
      </c>
      <c r="Q489">
        <v>1</v>
      </c>
      <c r="R489" t="s">
        <v>391</v>
      </c>
      <c r="S489" s="1">
        <f>electric_vehicles_dataset[[#This Row],[Units_Sold_2024]]*electric_vehicles_dataset[[#This Row],[Price_USD]]</f>
        <v>814609503.67999995</v>
      </c>
      <c r="T489">
        <v>4</v>
      </c>
      <c r="U489">
        <v>16556</v>
      </c>
      <c r="V489">
        <v>3</v>
      </c>
    </row>
    <row r="490" spans="1:22" x14ac:dyDescent="0.35">
      <c r="A490">
        <v>489</v>
      </c>
      <c r="B490" t="s">
        <v>259</v>
      </c>
      <c r="C490" t="s">
        <v>311</v>
      </c>
      <c r="D490">
        <v>2020</v>
      </c>
      <c r="E490" t="s">
        <v>133</v>
      </c>
      <c r="F490">
        <v>101.5</v>
      </c>
      <c r="G490" t="s">
        <v>361</v>
      </c>
      <c r="H490">
        <f>electric_vehicles_dataset[[#This Row],[Battery_Capacity_kWh]]/electric_vehicles_dataset[[#This Row],[Range_km]]</f>
        <v>0.36120996441281139</v>
      </c>
      <c r="I490">
        <v>281</v>
      </c>
      <c r="J490" t="s">
        <v>48</v>
      </c>
      <c r="K490">
        <v>1</v>
      </c>
      <c r="L490" s="1">
        <v>108115.49</v>
      </c>
      <c r="M490" s="1" t="str" cm="1">
        <f t="array" ref="M49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90" t="s">
        <v>43</v>
      </c>
      <c r="O490" t="s">
        <v>236</v>
      </c>
      <c r="P490" s="2" t="s">
        <v>394</v>
      </c>
      <c r="Q490">
        <v>5</v>
      </c>
      <c r="R490" t="s">
        <v>392</v>
      </c>
      <c r="S490" s="1">
        <f>electric_vehicles_dataset[[#This Row],[Units_Sold_2024]]*electric_vehicles_dataset[[#This Row],[Price_USD]]</f>
        <v>2060356892.9300001</v>
      </c>
      <c r="T490">
        <v>3</v>
      </c>
      <c r="U490">
        <v>19057</v>
      </c>
      <c r="V490">
        <v>5</v>
      </c>
    </row>
    <row r="491" spans="1:22" x14ac:dyDescent="0.35">
      <c r="A491">
        <v>490</v>
      </c>
      <c r="B491" t="s">
        <v>215</v>
      </c>
      <c r="C491" t="s">
        <v>216</v>
      </c>
      <c r="D491">
        <v>2020</v>
      </c>
      <c r="E491" t="s">
        <v>133</v>
      </c>
      <c r="F491">
        <v>57</v>
      </c>
      <c r="G491" t="s">
        <v>348</v>
      </c>
      <c r="H491">
        <f>electric_vehicles_dataset[[#This Row],[Battery_Capacity_kWh]]/electric_vehicles_dataset[[#This Row],[Range_km]]</f>
        <v>0.11377245508982035</v>
      </c>
      <c r="I491">
        <v>501</v>
      </c>
      <c r="J491" t="s">
        <v>18</v>
      </c>
      <c r="K491">
        <v>9</v>
      </c>
      <c r="L491" s="1">
        <v>92360</v>
      </c>
      <c r="M491" s="1" t="str" cm="1">
        <f t="array" ref="M49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91" t="s">
        <v>100</v>
      </c>
      <c r="O491" t="s">
        <v>93</v>
      </c>
      <c r="P491" s="2" t="s">
        <v>389</v>
      </c>
      <c r="Q491">
        <v>4</v>
      </c>
      <c r="R491" t="s">
        <v>392</v>
      </c>
      <c r="S491" s="1">
        <f>electric_vehicles_dataset[[#This Row],[Units_Sold_2024]]*electric_vehicles_dataset[[#This Row],[Price_USD]]</f>
        <v>296475600</v>
      </c>
      <c r="T491">
        <v>4</v>
      </c>
      <c r="U491">
        <v>3210</v>
      </c>
      <c r="V491">
        <v>3</v>
      </c>
    </row>
    <row r="492" spans="1:22" x14ac:dyDescent="0.35">
      <c r="A492">
        <v>491</v>
      </c>
      <c r="B492" t="s">
        <v>215</v>
      </c>
      <c r="C492" t="s">
        <v>377</v>
      </c>
      <c r="D492">
        <v>2021</v>
      </c>
      <c r="E492" t="s">
        <v>58</v>
      </c>
      <c r="F492">
        <v>32</v>
      </c>
      <c r="G492" t="s">
        <v>357</v>
      </c>
      <c r="H492">
        <f>electric_vehicles_dataset[[#This Row],[Battery_Capacity_kWh]]/electric_vehicles_dataset[[#This Row],[Range_km]]</f>
        <v>0.10094637223974763</v>
      </c>
      <c r="I492">
        <v>317</v>
      </c>
      <c r="J492" t="s">
        <v>18</v>
      </c>
      <c r="K492">
        <v>6</v>
      </c>
      <c r="L492" s="1">
        <v>83539.69</v>
      </c>
      <c r="M492" s="1" t="str" cm="1">
        <f t="array" ref="M49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92" t="s">
        <v>165</v>
      </c>
      <c r="O492" t="s">
        <v>121</v>
      </c>
      <c r="P492" s="2" t="s">
        <v>398</v>
      </c>
      <c r="Q492">
        <v>4</v>
      </c>
      <c r="R492" t="s">
        <v>392</v>
      </c>
      <c r="S492" s="1">
        <f>electric_vehicles_dataset[[#This Row],[Units_Sold_2024]]*electric_vehicles_dataset[[#This Row],[Price_USD]]</f>
        <v>1599450904.74</v>
      </c>
      <c r="T492">
        <v>4</v>
      </c>
      <c r="U492">
        <v>19146</v>
      </c>
      <c r="V492">
        <v>4</v>
      </c>
    </row>
    <row r="493" spans="1:22" x14ac:dyDescent="0.35">
      <c r="A493">
        <v>492</v>
      </c>
      <c r="B493" t="s">
        <v>16</v>
      </c>
      <c r="C493" t="s">
        <v>347</v>
      </c>
      <c r="D493">
        <v>2022</v>
      </c>
      <c r="E493" t="s">
        <v>17</v>
      </c>
      <c r="F493">
        <v>141</v>
      </c>
      <c r="G493" t="s">
        <v>386</v>
      </c>
      <c r="H493">
        <f>electric_vehicles_dataset[[#This Row],[Battery_Capacity_kWh]]/electric_vehicles_dataset[[#This Row],[Range_km]]</f>
        <v>0.40285714285714286</v>
      </c>
      <c r="I493">
        <v>350</v>
      </c>
      <c r="J493" t="s">
        <v>358</v>
      </c>
      <c r="K493">
        <v>10</v>
      </c>
      <c r="L493" s="1">
        <v>47321.54</v>
      </c>
      <c r="M493" s="1" t="str" cm="1">
        <f t="array" ref="M49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93" t="s">
        <v>131</v>
      </c>
      <c r="O493" t="s">
        <v>230</v>
      </c>
      <c r="P493" s="2" t="s">
        <v>389</v>
      </c>
      <c r="Q493">
        <v>1</v>
      </c>
      <c r="R493" t="s">
        <v>391</v>
      </c>
      <c r="S493" s="1">
        <f>electric_vehicles_dataset[[#This Row],[Units_Sold_2024]]*electric_vehicles_dataset[[#This Row],[Price_USD]]</f>
        <v>183039716.72</v>
      </c>
      <c r="T493">
        <v>5</v>
      </c>
      <c r="U493">
        <v>3868</v>
      </c>
      <c r="V493">
        <v>5</v>
      </c>
    </row>
    <row r="494" spans="1:22" x14ac:dyDescent="0.35">
      <c r="A494">
        <v>493</v>
      </c>
      <c r="B494" t="s">
        <v>192</v>
      </c>
      <c r="C494" t="s">
        <v>198</v>
      </c>
      <c r="D494">
        <v>2022</v>
      </c>
      <c r="E494" t="s">
        <v>84</v>
      </c>
      <c r="F494">
        <v>117</v>
      </c>
      <c r="G494" t="s">
        <v>361</v>
      </c>
      <c r="H494">
        <f>electric_vehicles_dataset[[#This Row],[Battery_Capacity_kWh]]/electric_vehicles_dataset[[#This Row],[Range_km]]</f>
        <v>0.20068610634648371</v>
      </c>
      <c r="I494">
        <v>583</v>
      </c>
      <c r="J494" t="s">
        <v>149</v>
      </c>
      <c r="K494">
        <v>11</v>
      </c>
      <c r="L494" s="1">
        <v>44251.93</v>
      </c>
      <c r="M494" s="1" t="str" cm="1">
        <f t="array" ref="M49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94" t="s">
        <v>77</v>
      </c>
      <c r="O494" t="s">
        <v>169</v>
      </c>
      <c r="P494" s="2" t="s">
        <v>394</v>
      </c>
      <c r="Q494">
        <v>1</v>
      </c>
      <c r="R494" t="s">
        <v>391</v>
      </c>
      <c r="S494" s="1">
        <f>electric_vehicles_dataset[[#This Row],[Units_Sold_2024]]*electric_vehicles_dataset[[#This Row],[Price_USD]]</f>
        <v>222277444.39000002</v>
      </c>
      <c r="T494">
        <v>5</v>
      </c>
      <c r="U494">
        <v>5023</v>
      </c>
      <c r="V494">
        <v>3</v>
      </c>
    </row>
    <row r="495" spans="1:22" x14ac:dyDescent="0.35">
      <c r="A495">
        <v>494</v>
      </c>
      <c r="B495" t="s">
        <v>187</v>
      </c>
      <c r="C495" t="s">
        <v>319</v>
      </c>
      <c r="D495">
        <v>2020</v>
      </c>
      <c r="E495" t="s">
        <v>133</v>
      </c>
      <c r="F495">
        <v>58.2</v>
      </c>
      <c r="G495" t="s">
        <v>348</v>
      </c>
      <c r="H495">
        <f>electric_vehicles_dataset[[#This Row],[Battery_Capacity_kWh]]/electric_vehicles_dataset[[#This Row],[Range_km]]</f>
        <v>0.51052631578947372</v>
      </c>
      <c r="I495">
        <v>114</v>
      </c>
      <c r="J495" t="s">
        <v>18</v>
      </c>
      <c r="K495">
        <v>2</v>
      </c>
      <c r="L495" s="1">
        <v>100754.91</v>
      </c>
      <c r="M495" s="1" t="str" cm="1">
        <f t="array" ref="M4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495" t="s">
        <v>279</v>
      </c>
      <c r="O495" t="s">
        <v>111</v>
      </c>
      <c r="P495" s="2" t="s">
        <v>389</v>
      </c>
      <c r="Q495">
        <v>1</v>
      </c>
      <c r="R495" t="s">
        <v>391</v>
      </c>
      <c r="S495" s="1">
        <f>electric_vehicles_dataset[[#This Row],[Units_Sold_2024]]*electric_vehicles_dataset[[#This Row],[Price_USD]]</f>
        <v>403825679.28000003</v>
      </c>
      <c r="T495">
        <v>3</v>
      </c>
      <c r="U495">
        <v>4008</v>
      </c>
      <c r="V495">
        <v>5</v>
      </c>
    </row>
    <row r="496" spans="1:22" x14ac:dyDescent="0.35">
      <c r="A496">
        <v>495</v>
      </c>
      <c r="B496" t="s">
        <v>243</v>
      </c>
      <c r="C496" t="s">
        <v>244</v>
      </c>
      <c r="D496">
        <v>2015</v>
      </c>
      <c r="E496" t="s">
        <v>42</v>
      </c>
      <c r="F496">
        <v>82.6</v>
      </c>
      <c r="G496" t="s">
        <v>350</v>
      </c>
      <c r="H496">
        <f>electric_vehicles_dataset[[#This Row],[Battery_Capacity_kWh]]/electric_vehicles_dataset[[#This Row],[Range_km]]</f>
        <v>0.32015503875968992</v>
      </c>
      <c r="I496">
        <v>258</v>
      </c>
      <c r="J496" t="s">
        <v>345</v>
      </c>
      <c r="K496">
        <v>11</v>
      </c>
      <c r="L496" s="1">
        <v>123761.92</v>
      </c>
      <c r="M496" s="1" t="str" cm="1">
        <f t="array" ref="M49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96" t="s">
        <v>152</v>
      </c>
      <c r="O496" t="s">
        <v>139</v>
      </c>
      <c r="P496" s="2" t="s">
        <v>389</v>
      </c>
      <c r="Q496">
        <v>1</v>
      </c>
      <c r="R496" t="s">
        <v>391</v>
      </c>
      <c r="S496" s="1">
        <f>electric_vehicles_dataset[[#This Row],[Units_Sold_2024]]*electric_vehicles_dataset[[#This Row],[Price_USD]]</f>
        <v>1821156652.8</v>
      </c>
      <c r="T496">
        <v>4</v>
      </c>
      <c r="U496">
        <v>14715</v>
      </c>
      <c r="V496">
        <v>3</v>
      </c>
    </row>
    <row r="497" spans="1:22" x14ac:dyDescent="0.35">
      <c r="A497">
        <v>496</v>
      </c>
      <c r="B497" t="s">
        <v>259</v>
      </c>
      <c r="C497" t="s">
        <v>266</v>
      </c>
      <c r="D497">
        <v>2016</v>
      </c>
      <c r="E497" t="s">
        <v>183</v>
      </c>
      <c r="F497">
        <v>101.2</v>
      </c>
      <c r="G497" t="s">
        <v>361</v>
      </c>
      <c r="H497">
        <f>electric_vehicles_dataset[[#This Row],[Battery_Capacity_kWh]]/electric_vehicles_dataset[[#This Row],[Range_km]]</f>
        <v>0.24152744630071599</v>
      </c>
      <c r="I497">
        <v>419</v>
      </c>
      <c r="J497" t="s">
        <v>358</v>
      </c>
      <c r="K497">
        <v>5</v>
      </c>
      <c r="L497" s="1">
        <v>138029.32999999999</v>
      </c>
      <c r="M497" s="1" t="str" cm="1">
        <f t="array" ref="M49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497" t="s">
        <v>219</v>
      </c>
      <c r="O497" t="s">
        <v>107</v>
      </c>
      <c r="P497" s="2" t="s">
        <v>394</v>
      </c>
      <c r="Q497">
        <v>1</v>
      </c>
      <c r="R497" t="s">
        <v>391</v>
      </c>
      <c r="S497" s="1">
        <f>electric_vehicles_dataset[[#This Row],[Units_Sold_2024]]*electric_vehicles_dataset[[#This Row],[Price_USD]]</f>
        <v>400285056.99999994</v>
      </c>
      <c r="T497">
        <v>4</v>
      </c>
      <c r="U497">
        <v>2900</v>
      </c>
      <c r="V497">
        <v>3</v>
      </c>
    </row>
    <row r="498" spans="1:22" x14ac:dyDescent="0.35">
      <c r="A498">
        <v>497</v>
      </c>
      <c r="B498" t="s">
        <v>215</v>
      </c>
      <c r="C498" t="s">
        <v>216</v>
      </c>
      <c r="D498">
        <v>2024</v>
      </c>
      <c r="E498" t="s">
        <v>73</v>
      </c>
      <c r="F498">
        <v>123.5</v>
      </c>
      <c r="G498" t="s">
        <v>352</v>
      </c>
      <c r="H498">
        <f>electric_vehicles_dataset[[#This Row],[Battery_Capacity_kWh]]/electric_vehicles_dataset[[#This Row],[Range_km]]</f>
        <v>0.26731601731601734</v>
      </c>
      <c r="I498">
        <v>462</v>
      </c>
      <c r="J498" t="s">
        <v>54</v>
      </c>
      <c r="K498">
        <v>7</v>
      </c>
      <c r="L498" s="1">
        <v>44853.79</v>
      </c>
      <c r="M498" s="1" t="str" cm="1">
        <f t="array" ref="M49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98" t="s">
        <v>114</v>
      </c>
      <c r="O498" t="s">
        <v>20</v>
      </c>
      <c r="P498" s="2" t="s">
        <v>389</v>
      </c>
      <c r="Q498">
        <v>4</v>
      </c>
      <c r="R498" t="s">
        <v>392</v>
      </c>
      <c r="S498" s="1">
        <f>electric_vehicles_dataset[[#This Row],[Units_Sold_2024]]*electric_vehicles_dataset[[#This Row],[Price_USD]]</f>
        <v>766820393.84000003</v>
      </c>
      <c r="T498">
        <v>5</v>
      </c>
      <c r="U498">
        <v>17096</v>
      </c>
      <c r="V498">
        <v>3</v>
      </c>
    </row>
    <row r="499" spans="1:22" x14ac:dyDescent="0.35">
      <c r="A499">
        <v>498</v>
      </c>
      <c r="B499" t="s">
        <v>51</v>
      </c>
      <c r="C499" t="s">
        <v>239</v>
      </c>
      <c r="D499">
        <v>2023</v>
      </c>
      <c r="E499" t="s">
        <v>53</v>
      </c>
      <c r="F499">
        <v>22.4</v>
      </c>
      <c r="G499" t="s">
        <v>357</v>
      </c>
      <c r="H499">
        <f>electric_vehicles_dataset[[#This Row],[Battery_Capacity_kWh]]/electric_vehicles_dataset[[#This Row],[Range_km]]</f>
        <v>5.1258581235697938E-2</v>
      </c>
      <c r="I499">
        <v>437</v>
      </c>
      <c r="J499" t="s">
        <v>85</v>
      </c>
      <c r="K499">
        <v>12</v>
      </c>
      <c r="L499" s="1">
        <v>62995.5</v>
      </c>
      <c r="M499" s="1" t="str" cm="1">
        <f t="array" ref="M4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499" t="s">
        <v>205</v>
      </c>
      <c r="O499" t="s">
        <v>78</v>
      </c>
      <c r="P499" s="2" t="s">
        <v>389</v>
      </c>
      <c r="Q499">
        <v>4</v>
      </c>
      <c r="R499" t="s">
        <v>392</v>
      </c>
      <c r="S499" s="1">
        <f>electric_vehicles_dataset[[#This Row],[Units_Sold_2024]]*electric_vehicles_dataset[[#This Row],[Price_USD]]</f>
        <v>661389754.5</v>
      </c>
      <c r="T499">
        <v>5</v>
      </c>
      <c r="U499">
        <v>10499</v>
      </c>
      <c r="V499">
        <v>4</v>
      </c>
    </row>
    <row r="500" spans="1:22" x14ac:dyDescent="0.35">
      <c r="A500">
        <v>499</v>
      </c>
      <c r="B500" t="s">
        <v>41</v>
      </c>
      <c r="C500" t="s">
        <v>380</v>
      </c>
      <c r="D500">
        <v>2022</v>
      </c>
      <c r="E500" t="s">
        <v>26</v>
      </c>
      <c r="F500">
        <v>141.4</v>
      </c>
      <c r="G500" t="s">
        <v>386</v>
      </c>
      <c r="H500">
        <f>electric_vehicles_dataset[[#This Row],[Battery_Capacity_kWh]]/electric_vehicles_dataset[[#This Row],[Range_km]]</f>
        <v>0.51605839416058397</v>
      </c>
      <c r="I500">
        <v>274</v>
      </c>
      <c r="J500" t="s">
        <v>358</v>
      </c>
      <c r="K500">
        <v>3</v>
      </c>
      <c r="L500" s="1">
        <v>32886.83</v>
      </c>
      <c r="M500" s="1" t="str" cm="1">
        <f t="array" ref="M50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00" t="s">
        <v>212</v>
      </c>
      <c r="O500" t="s">
        <v>89</v>
      </c>
      <c r="P500" s="2" t="s">
        <v>389</v>
      </c>
      <c r="Q500">
        <v>0</v>
      </c>
      <c r="R500" t="s">
        <v>390</v>
      </c>
      <c r="S500" s="1">
        <f>electric_vehicles_dataset[[#This Row],[Units_Sold_2024]]*electric_vehicles_dataset[[#This Row],[Price_USD]]</f>
        <v>181206433.30000001</v>
      </c>
      <c r="T500">
        <v>4</v>
      </c>
      <c r="U500">
        <v>5510</v>
      </c>
      <c r="V500">
        <v>4</v>
      </c>
    </row>
    <row r="501" spans="1:22" x14ac:dyDescent="0.35">
      <c r="A501">
        <v>500</v>
      </c>
      <c r="B501" t="s">
        <v>153</v>
      </c>
      <c r="C501" t="s">
        <v>178</v>
      </c>
      <c r="D501">
        <v>2019</v>
      </c>
      <c r="E501" t="s">
        <v>183</v>
      </c>
      <c r="F501">
        <v>31.7</v>
      </c>
      <c r="G501" t="s">
        <v>357</v>
      </c>
      <c r="H501">
        <f>electric_vehicles_dataset[[#This Row],[Battery_Capacity_kWh]]/electric_vehicles_dataset[[#This Row],[Range_km]]</f>
        <v>0.12334630350194552</v>
      </c>
      <c r="I501">
        <v>257</v>
      </c>
      <c r="J501" t="s">
        <v>358</v>
      </c>
      <c r="K501">
        <v>8</v>
      </c>
      <c r="L501" s="1">
        <v>37069.65</v>
      </c>
      <c r="M501" s="1" t="str" cm="1">
        <f t="array" ref="M50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01" t="s">
        <v>146</v>
      </c>
      <c r="O501" t="s">
        <v>86</v>
      </c>
      <c r="P501" s="2" t="s">
        <v>389</v>
      </c>
      <c r="Q501">
        <v>0</v>
      </c>
      <c r="R501" t="s">
        <v>390</v>
      </c>
      <c r="S501" s="1">
        <f>electric_vehicles_dataset[[#This Row],[Units_Sold_2024]]*electric_vehicles_dataset[[#This Row],[Price_USD]]</f>
        <v>173041126.20000002</v>
      </c>
      <c r="T501">
        <v>4</v>
      </c>
      <c r="U501">
        <v>4668</v>
      </c>
      <c r="V501">
        <v>4</v>
      </c>
    </row>
    <row r="502" spans="1:22" x14ac:dyDescent="0.35">
      <c r="A502">
        <v>501</v>
      </c>
      <c r="B502" t="s">
        <v>56</v>
      </c>
      <c r="C502" t="s">
        <v>57</v>
      </c>
      <c r="D502">
        <v>2021</v>
      </c>
      <c r="E502" t="s">
        <v>26</v>
      </c>
      <c r="F502">
        <v>136.9</v>
      </c>
      <c r="G502" t="s">
        <v>352</v>
      </c>
      <c r="H502">
        <f>electric_vehicles_dataset[[#This Row],[Battery_Capacity_kWh]]/electric_vehicles_dataset[[#This Row],[Range_km]]</f>
        <v>1.0865079365079366</v>
      </c>
      <c r="I502">
        <v>126</v>
      </c>
      <c r="J502" t="s">
        <v>359</v>
      </c>
      <c r="K502">
        <v>3</v>
      </c>
      <c r="L502" s="1">
        <v>101640.55</v>
      </c>
      <c r="M502" s="1" t="str" cm="1">
        <f t="array" ref="M5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02" t="s">
        <v>100</v>
      </c>
      <c r="O502" t="s">
        <v>230</v>
      </c>
      <c r="P502" s="2" t="s">
        <v>389</v>
      </c>
      <c r="Q502">
        <v>4</v>
      </c>
      <c r="R502" t="s">
        <v>392</v>
      </c>
      <c r="S502" s="1">
        <f>electric_vehicles_dataset[[#This Row],[Units_Sold_2024]]*electric_vehicles_dataset[[#This Row],[Price_USD]]</f>
        <v>1060212577.0500001</v>
      </c>
      <c r="T502">
        <v>3</v>
      </c>
      <c r="U502">
        <v>10431</v>
      </c>
      <c r="V502">
        <v>4</v>
      </c>
    </row>
    <row r="503" spans="1:22" x14ac:dyDescent="0.35">
      <c r="A503">
        <v>502</v>
      </c>
      <c r="B503" t="s">
        <v>21</v>
      </c>
      <c r="C503" t="s">
        <v>363</v>
      </c>
      <c r="D503">
        <v>2016</v>
      </c>
      <c r="E503" t="s">
        <v>130</v>
      </c>
      <c r="F503">
        <v>23.8</v>
      </c>
      <c r="G503" t="s">
        <v>357</v>
      </c>
      <c r="H503">
        <f>electric_vehicles_dataset[[#This Row],[Battery_Capacity_kWh]]/electric_vehicles_dataset[[#This Row],[Range_km]]</f>
        <v>5.6132075471698115E-2</v>
      </c>
      <c r="I503">
        <v>424</v>
      </c>
      <c r="J503" t="s">
        <v>353</v>
      </c>
      <c r="K503">
        <v>11</v>
      </c>
      <c r="L503" s="1">
        <v>32234.74</v>
      </c>
      <c r="M503" s="1" t="str" cm="1">
        <f t="array" ref="M50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03" t="s">
        <v>114</v>
      </c>
      <c r="O503" t="s">
        <v>167</v>
      </c>
      <c r="P503" s="2" t="s">
        <v>394</v>
      </c>
      <c r="Q503">
        <v>1</v>
      </c>
      <c r="R503" t="s">
        <v>391</v>
      </c>
      <c r="S503" s="1">
        <f>electric_vehicles_dataset[[#This Row],[Units_Sold_2024]]*electric_vehicles_dataset[[#This Row],[Price_USD]]</f>
        <v>321734939.94</v>
      </c>
      <c r="T503">
        <v>3</v>
      </c>
      <c r="U503">
        <v>9981</v>
      </c>
      <c r="V503">
        <v>5</v>
      </c>
    </row>
    <row r="504" spans="1:22" x14ac:dyDescent="0.35">
      <c r="A504">
        <v>503</v>
      </c>
      <c r="B504" t="s">
        <v>125</v>
      </c>
      <c r="C504" t="s">
        <v>126</v>
      </c>
      <c r="D504">
        <v>2016</v>
      </c>
      <c r="E504" t="s">
        <v>26</v>
      </c>
      <c r="F504">
        <v>102.7</v>
      </c>
      <c r="G504" t="s">
        <v>361</v>
      </c>
      <c r="H504">
        <f>electric_vehicles_dataset[[#This Row],[Battery_Capacity_kWh]]/electric_vehicles_dataset[[#This Row],[Range_km]]</f>
        <v>0.5034313725490196</v>
      </c>
      <c r="I504">
        <v>204</v>
      </c>
      <c r="J504" t="s">
        <v>18</v>
      </c>
      <c r="K504">
        <v>5</v>
      </c>
      <c r="L504" s="1">
        <v>148237.04999999999</v>
      </c>
      <c r="M504" s="1" t="str" cm="1">
        <f t="array" ref="M50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04" t="s">
        <v>81</v>
      </c>
      <c r="O504" t="s">
        <v>78</v>
      </c>
      <c r="P504" s="2" t="s">
        <v>389</v>
      </c>
      <c r="Q504">
        <v>3</v>
      </c>
      <c r="R504" t="s">
        <v>397</v>
      </c>
      <c r="S504" s="1">
        <f>electric_vehicles_dataset[[#This Row],[Units_Sold_2024]]*electric_vehicles_dataset[[#This Row],[Price_USD]]</f>
        <v>4743585.5999999996</v>
      </c>
      <c r="T504">
        <v>3</v>
      </c>
      <c r="U504">
        <v>32</v>
      </c>
      <c r="V504">
        <v>4</v>
      </c>
    </row>
    <row r="505" spans="1:22" x14ac:dyDescent="0.35">
      <c r="A505">
        <v>504</v>
      </c>
      <c r="B505" t="s">
        <v>155</v>
      </c>
      <c r="C505" t="s">
        <v>190</v>
      </c>
      <c r="D505">
        <v>2025</v>
      </c>
      <c r="E505" t="s">
        <v>101</v>
      </c>
      <c r="F505">
        <v>20.100000000000001</v>
      </c>
      <c r="G505" t="s">
        <v>357</v>
      </c>
      <c r="H505">
        <f>electric_vehicles_dataset[[#This Row],[Battery_Capacity_kWh]]/electric_vehicles_dataset[[#This Row],[Range_km]]</f>
        <v>3.4835355285961878E-2</v>
      </c>
      <c r="I505">
        <v>577</v>
      </c>
      <c r="J505" t="s">
        <v>356</v>
      </c>
      <c r="K505">
        <v>4</v>
      </c>
      <c r="L505" s="1">
        <v>60106.67</v>
      </c>
      <c r="M505" s="1" t="str" cm="1">
        <f t="array" ref="M5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05" t="s">
        <v>106</v>
      </c>
      <c r="O505" t="s">
        <v>110</v>
      </c>
      <c r="P505" s="2" t="s">
        <v>394</v>
      </c>
      <c r="Q505">
        <v>5</v>
      </c>
      <c r="R505" t="s">
        <v>392</v>
      </c>
      <c r="S505" s="1">
        <f>electric_vehicles_dataset[[#This Row],[Units_Sold_2024]]*electric_vehicles_dataset[[#This Row],[Price_USD]]</f>
        <v>89558938.299999997</v>
      </c>
      <c r="T505">
        <v>4</v>
      </c>
      <c r="U505">
        <v>1490</v>
      </c>
      <c r="V505">
        <v>3</v>
      </c>
    </row>
    <row r="506" spans="1:22" x14ac:dyDescent="0.35">
      <c r="A506">
        <v>505</v>
      </c>
      <c r="B506" t="s">
        <v>269</v>
      </c>
      <c r="C506" t="s">
        <v>307</v>
      </c>
      <c r="D506">
        <v>2019</v>
      </c>
      <c r="E506" t="s">
        <v>58</v>
      </c>
      <c r="F506">
        <v>71.400000000000006</v>
      </c>
      <c r="G506" t="s">
        <v>351</v>
      </c>
      <c r="H506">
        <f>electric_vehicles_dataset[[#This Row],[Battery_Capacity_kWh]]/electric_vehicles_dataset[[#This Row],[Range_km]]</f>
        <v>0.44074074074074077</v>
      </c>
      <c r="I506">
        <v>162</v>
      </c>
      <c r="J506" t="s">
        <v>18</v>
      </c>
      <c r="K506">
        <v>9</v>
      </c>
      <c r="L506" s="1">
        <v>149858.54999999999</v>
      </c>
      <c r="M506" s="1" t="str" cm="1">
        <f t="array" ref="M50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06" t="s">
        <v>196</v>
      </c>
      <c r="O506" t="s">
        <v>124</v>
      </c>
      <c r="P506" s="2" t="s">
        <v>389</v>
      </c>
      <c r="Q506">
        <v>2</v>
      </c>
      <c r="R506" t="s">
        <v>391</v>
      </c>
      <c r="S506" s="1">
        <f>electric_vehicles_dataset[[#This Row],[Units_Sold_2024]]*electric_vehicles_dataset[[#This Row],[Price_USD]]</f>
        <v>1283388622.1999998</v>
      </c>
      <c r="T506">
        <v>5</v>
      </c>
      <c r="U506">
        <v>8564</v>
      </c>
      <c r="V506">
        <v>5</v>
      </c>
    </row>
    <row r="507" spans="1:22" x14ac:dyDescent="0.35">
      <c r="A507">
        <v>506</v>
      </c>
      <c r="B507" t="s">
        <v>96</v>
      </c>
      <c r="C507" t="s">
        <v>116</v>
      </c>
      <c r="D507">
        <v>2018</v>
      </c>
      <c r="E507" t="s">
        <v>73</v>
      </c>
      <c r="F507">
        <v>147.80000000000001</v>
      </c>
      <c r="G507" t="s">
        <v>386</v>
      </c>
      <c r="H507">
        <f>electric_vehicles_dataset[[#This Row],[Battery_Capacity_kWh]]/electric_vehicles_dataset[[#This Row],[Range_km]]</f>
        <v>0.53941605839416062</v>
      </c>
      <c r="I507">
        <v>274</v>
      </c>
      <c r="J507" t="s">
        <v>359</v>
      </c>
      <c r="K507">
        <v>6</v>
      </c>
      <c r="L507" s="1">
        <v>101941.64</v>
      </c>
      <c r="M507" s="1" t="str" cm="1">
        <f t="array" ref="M5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07" t="s">
        <v>301</v>
      </c>
      <c r="O507" t="s">
        <v>150</v>
      </c>
      <c r="P507" s="2" t="s">
        <v>389</v>
      </c>
      <c r="Q507">
        <v>0</v>
      </c>
      <c r="R507" t="s">
        <v>390</v>
      </c>
      <c r="S507" s="1">
        <f>electric_vehicles_dataset[[#This Row],[Units_Sold_2024]]*electric_vehicles_dataset[[#This Row],[Price_USD]]</f>
        <v>31907733.32</v>
      </c>
      <c r="T507">
        <v>4</v>
      </c>
      <c r="U507">
        <v>313</v>
      </c>
      <c r="V507">
        <v>5</v>
      </c>
    </row>
    <row r="508" spans="1:22" x14ac:dyDescent="0.35">
      <c r="A508">
        <v>507</v>
      </c>
      <c r="B508" t="s">
        <v>120</v>
      </c>
      <c r="C508" t="s">
        <v>362</v>
      </c>
      <c r="D508">
        <v>2023</v>
      </c>
      <c r="E508" t="s">
        <v>53</v>
      </c>
      <c r="F508">
        <v>110.5</v>
      </c>
      <c r="G508" t="s">
        <v>361</v>
      </c>
      <c r="H508">
        <f>electric_vehicles_dataset[[#This Row],[Battery_Capacity_kWh]]/electric_vehicles_dataset[[#This Row],[Range_km]]</f>
        <v>0.31571428571428573</v>
      </c>
      <c r="I508">
        <v>350</v>
      </c>
      <c r="J508" t="s">
        <v>34</v>
      </c>
      <c r="K508">
        <v>7</v>
      </c>
      <c r="L508" s="1">
        <v>124476.63</v>
      </c>
      <c r="M508" s="1" t="str" cm="1">
        <f t="array" ref="M5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08" t="s">
        <v>39</v>
      </c>
      <c r="O508" t="s">
        <v>92</v>
      </c>
      <c r="P508" s="2" t="s">
        <v>394</v>
      </c>
      <c r="Q508">
        <v>5</v>
      </c>
      <c r="R508" t="s">
        <v>392</v>
      </c>
      <c r="S508" s="1">
        <f>electric_vehicles_dataset[[#This Row],[Units_Sold_2024]]*electric_vehicles_dataset[[#This Row],[Price_USD]]</f>
        <v>2452563040.8899999</v>
      </c>
      <c r="T508">
        <v>4</v>
      </c>
      <c r="U508">
        <v>19703</v>
      </c>
      <c r="V508">
        <v>4</v>
      </c>
    </row>
    <row r="509" spans="1:22" x14ac:dyDescent="0.35">
      <c r="A509">
        <v>508</v>
      </c>
      <c r="B509" t="s">
        <v>24</v>
      </c>
      <c r="C509" t="s">
        <v>328</v>
      </c>
      <c r="D509">
        <v>2015</v>
      </c>
      <c r="E509" t="s">
        <v>58</v>
      </c>
      <c r="F509">
        <v>80.2</v>
      </c>
      <c r="G509" t="s">
        <v>350</v>
      </c>
      <c r="H509">
        <f>electric_vehicles_dataset[[#This Row],[Battery_Capacity_kWh]]/electric_vehicles_dataset[[#This Row],[Range_km]]</f>
        <v>0.13851468048359242</v>
      </c>
      <c r="I509">
        <v>579</v>
      </c>
      <c r="J509" t="s">
        <v>359</v>
      </c>
      <c r="K509">
        <v>6</v>
      </c>
      <c r="L509" s="1">
        <v>56582.49</v>
      </c>
      <c r="M509" s="1" t="str" cm="1">
        <f t="array" ref="M50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09" t="s">
        <v>301</v>
      </c>
      <c r="O509" t="s">
        <v>134</v>
      </c>
      <c r="P509" s="2" t="s">
        <v>389</v>
      </c>
      <c r="Q509">
        <v>5</v>
      </c>
      <c r="R509" t="s">
        <v>392</v>
      </c>
      <c r="S509" s="1">
        <f>electric_vehicles_dataset[[#This Row],[Units_Sold_2024]]*electric_vehicles_dataset[[#This Row],[Price_USD]]</f>
        <v>562090455.65999997</v>
      </c>
      <c r="T509">
        <v>4</v>
      </c>
      <c r="U509">
        <v>9934</v>
      </c>
      <c r="V509">
        <v>5</v>
      </c>
    </row>
    <row r="510" spans="1:22" x14ac:dyDescent="0.35">
      <c r="A510">
        <v>509</v>
      </c>
      <c r="B510" t="s">
        <v>128</v>
      </c>
      <c r="C510" t="s">
        <v>268</v>
      </c>
      <c r="D510">
        <v>2022</v>
      </c>
      <c r="E510" t="s">
        <v>104</v>
      </c>
      <c r="F510">
        <v>24.8</v>
      </c>
      <c r="G510" t="s">
        <v>357</v>
      </c>
      <c r="H510">
        <f>electric_vehicles_dataset[[#This Row],[Battery_Capacity_kWh]]/electric_vehicles_dataset[[#This Row],[Range_km]]</f>
        <v>7.045454545454545E-2</v>
      </c>
      <c r="I510">
        <v>352</v>
      </c>
      <c r="J510" t="s">
        <v>359</v>
      </c>
      <c r="K510">
        <v>1</v>
      </c>
      <c r="L510" s="1">
        <v>148111.62</v>
      </c>
      <c r="M510" s="1" t="str" cm="1">
        <f t="array" ref="M51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10" t="s">
        <v>238</v>
      </c>
      <c r="O510" t="s">
        <v>164</v>
      </c>
      <c r="P510" s="2" t="s">
        <v>394</v>
      </c>
      <c r="Q510">
        <v>5</v>
      </c>
      <c r="R510" t="s">
        <v>392</v>
      </c>
      <c r="S510" s="1">
        <f>electric_vehicles_dataset[[#This Row],[Units_Sold_2024]]*electric_vehicles_dataset[[#This Row],[Price_USD]]</f>
        <v>2677858089.5999999</v>
      </c>
      <c r="T510">
        <v>3</v>
      </c>
      <c r="U510">
        <v>18080</v>
      </c>
      <c r="V510">
        <v>3</v>
      </c>
    </row>
    <row r="511" spans="1:22" x14ac:dyDescent="0.35">
      <c r="A511">
        <v>510</v>
      </c>
      <c r="B511" t="s">
        <v>68</v>
      </c>
      <c r="C511" t="s">
        <v>289</v>
      </c>
      <c r="D511">
        <v>2024</v>
      </c>
      <c r="E511" t="s">
        <v>73</v>
      </c>
      <c r="F511">
        <v>108.7</v>
      </c>
      <c r="G511" t="s">
        <v>361</v>
      </c>
      <c r="H511">
        <f>electric_vehicles_dataset[[#This Row],[Battery_Capacity_kWh]]/electric_vehicles_dataset[[#This Row],[Range_km]]</f>
        <v>0.27943444730077122</v>
      </c>
      <c r="I511">
        <v>389</v>
      </c>
      <c r="J511" t="s">
        <v>85</v>
      </c>
      <c r="K511">
        <v>1</v>
      </c>
      <c r="L511" s="1">
        <v>45389.57</v>
      </c>
      <c r="M511" s="1" t="str" cm="1">
        <f t="array" ref="M5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11" t="s">
        <v>228</v>
      </c>
      <c r="O511" t="s">
        <v>150</v>
      </c>
      <c r="P511" s="2" t="s">
        <v>389</v>
      </c>
      <c r="Q511">
        <v>4</v>
      </c>
      <c r="R511" t="s">
        <v>392</v>
      </c>
      <c r="S511" s="1">
        <f>electric_vehicles_dataset[[#This Row],[Units_Sold_2024]]*electric_vehicles_dataset[[#This Row],[Price_USD]]</f>
        <v>408006844.73000002</v>
      </c>
      <c r="T511">
        <v>5</v>
      </c>
      <c r="U511">
        <v>8989</v>
      </c>
      <c r="V511">
        <v>3</v>
      </c>
    </row>
    <row r="512" spans="1:22" x14ac:dyDescent="0.35">
      <c r="A512">
        <v>511</v>
      </c>
      <c r="B512" t="s">
        <v>94</v>
      </c>
      <c r="C512" t="s">
        <v>99</v>
      </c>
      <c r="D512">
        <v>2025</v>
      </c>
      <c r="E512" t="s">
        <v>47</v>
      </c>
      <c r="F512">
        <v>99.9</v>
      </c>
      <c r="G512" t="s">
        <v>350</v>
      </c>
      <c r="H512">
        <f>electric_vehicles_dataset[[#This Row],[Battery_Capacity_kWh]]/electric_vehicles_dataset[[#This Row],[Range_km]]</f>
        <v>0.22299107142857144</v>
      </c>
      <c r="I512">
        <v>448</v>
      </c>
      <c r="J512" t="s">
        <v>345</v>
      </c>
      <c r="K512">
        <v>1</v>
      </c>
      <c r="L512" s="1">
        <v>81253.740000000005</v>
      </c>
      <c r="M512" s="1" t="str" cm="1">
        <f t="array" ref="M51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12" t="s">
        <v>106</v>
      </c>
      <c r="O512" t="s">
        <v>67</v>
      </c>
      <c r="P512" s="2" t="s">
        <v>394</v>
      </c>
      <c r="Q512">
        <v>2</v>
      </c>
      <c r="R512" t="s">
        <v>391</v>
      </c>
      <c r="S512" s="1">
        <f>electric_vehicles_dataset[[#This Row],[Units_Sold_2024]]*electric_vehicles_dataset[[#This Row],[Price_USD]]</f>
        <v>324039915.12</v>
      </c>
      <c r="T512">
        <v>4</v>
      </c>
      <c r="U512">
        <v>3988</v>
      </c>
      <c r="V512">
        <v>5</v>
      </c>
    </row>
    <row r="513" spans="1:22" x14ac:dyDescent="0.35">
      <c r="A513">
        <v>512</v>
      </c>
      <c r="B513" t="s">
        <v>207</v>
      </c>
      <c r="C513" t="s">
        <v>287</v>
      </c>
      <c r="D513">
        <v>2022</v>
      </c>
      <c r="E513" t="s">
        <v>104</v>
      </c>
      <c r="F513">
        <v>87.2</v>
      </c>
      <c r="G513" t="s">
        <v>350</v>
      </c>
      <c r="H513">
        <f>electric_vehicles_dataset[[#This Row],[Battery_Capacity_kWh]]/electric_vehicles_dataset[[#This Row],[Range_km]]</f>
        <v>0.71475409836065573</v>
      </c>
      <c r="I513">
        <v>122</v>
      </c>
      <c r="J513" t="s">
        <v>353</v>
      </c>
      <c r="K513">
        <v>1</v>
      </c>
      <c r="L513" s="1">
        <v>140206.98000000001</v>
      </c>
      <c r="M513" s="1" t="str" cm="1">
        <f t="array" ref="M51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13" t="s">
        <v>19</v>
      </c>
      <c r="O513" t="s">
        <v>236</v>
      </c>
      <c r="P513" s="2" t="s">
        <v>394</v>
      </c>
      <c r="Q513">
        <v>3</v>
      </c>
      <c r="R513" t="s">
        <v>397</v>
      </c>
      <c r="S513" s="1">
        <f>electric_vehicles_dataset[[#This Row],[Units_Sold_2024]]*electric_vehicles_dataset[[#This Row],[Price_USD]]</f>
        <v>2627058184.2600002</v>
      </c>
      <c r="T513">
        <v>4</v>
      </c>
      <c r="U513">
        <v>18737</v>
      </c>
      <c r="V513">
        <v>3</v>
      </c>
    </row>
    <row r="514" spans="1:22" x14ac:dyDescent="0.35">
      <c r="A514">
        <v>513</v>
      </c>
      <c r="B514" t="s">
        <v>269</v>
      </c>
      <c r="C514" t="s">
        <v>329</v>
      </c>
      <c r="D514">
        <v>2021</v>
      </c>
      <c r="E514" t="s">
        <v>58</v>
      </c>
      <c r="F514">
        <v>139.19999999999999</v>
      </c>
      <c r="G514" t="s">
        <v>352</v>
      </c>
      <c r="H514">
        <f>electric_vehicles_dataset[[#This Row],[Battery_Capacity_kWh]]/electric_vehicles_dataset[[#This Row],[Range_km]]</f>
        <v>0.69599999999999995</v>
      </c>
      <c r="I514">
        <v>200</v>
      </c>
      <c r="J514" t="s">
        <v>85</v>
      </c>
      <c r="K514">
        <v>4</v>
      </c>
      <c r="L514" s="1">
        <v>37541.29</v>
      </c>
      <c r="M514" s="1" t="str" cm="1">
        <f t="array" ref="M51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14" t="s">
        <v>238</v>
      </c>
      <c r="O514" t="s">
        <v>93</v>
      </c>
      <c r="P514" s="2" t="s">
        <v>389</v>
      </c>
      <c r="Q514">
        <v>3</v>
      </c>
      <c r="R514" t="s">
        <v>397</v>
      </c>
      <c r="S514" s="1">
        <f>electric_vehicles_dataset[[#This Row],[Units_Sold_2024]]*electric_vehicles_dataset[[#This Row],[Price_USD]]</f>
        <v>411227290.66000003</v>
      </c>
      <c r="T514">
        <v>4</v>
      </c>
      <c r="U514">
        <v>10954</v>
      </c>
      <c r="V514">
        <v>4</v>
      </c>
    </row>
    <row r="515" spans="1:22" x14ac:dyDescent="0.35">
      <c r="A515">
        <v>514</v>
      </c>
      <c r="B515" t="s">
        <v>87</v>
      </c>
      <c r="C515" t="s">
        <v>88</v>
      </c>
      <c r="D515">
        <v>2022</v>
      </c>
      <c r="E515" t="s">
        <v>31</v>
      </c>
      <c r="F515">
        <v>144.6</v>
      </c>
      <c r="G515" t="s">
        <v>386</v>
      </c>
      <c r="H515">
        <f>electric_vehicles_dataset[[#This Row],[Battery_Capacity_kWh]]/electric_vehicles_dataset[[#This Row],[Range_km]]</f>
        <v>0.27490494296577944</v>
      </c>
      <c r="I515">
        <v>526</v>
      </c>
      <c r="J515" t="s">
        <v>27</v>
      </c>
      <c r="K515">
        <v>10</v>
      </c>
      <c r="L515" s="1">
        <v>92361.01</v>
      </c>
      <c r="M515" s="1" t="str" cm="1">
        <f t="array" ref="M51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15" t="s">
        <v>100</v>
      </c>
      <c r="O515" t="s">
        <v>92</v>
      </c>
      <c r="P515" s="2" t="s">
        <v>394</v>
      </c>
      <c r="Q515">
        <v>4</v>
      </c>
      <c r="R515" t="s">
        <v>392</v>
      </c>
      <c r="S515" s="1">
        <f>electric_vehicles_dataset[[#This Row],[Units_Sold_2024]]*electric_vehicles_dataset[[#This Row],[Price_USD]]</f>
        <v>1351149215.29</v>
      </c>
      <c r="T515">
        <v>4</v>
      </c>
      <c r="U515">
        <v>14629</v>
      </c>
      <c r="V515">
        <v>5</v>
      </c>
    </row>
    <row r="516" spans="1:22" x14ac:dyDescent="0.35">
      <c r="A516">
        <v>515</v>
      </c>
      <c r="B516" t="s">
        <v>64</v>
      </c>
      <c r="C516" t="s">
        <v>65</v>
      </c>
      <c r="D516">
        <v>2015</v>
      </c>
      <c r="E516" t="s">
        <v>53</v>
      </c>
      <c r="F516">
        <v>24.3</v>
      </c>
      <c r="G516" t="s">
        <v>357</v>
      </c>
      <c r="H516">
        <f>electric_vehicles_dataset[[#This Row],[Battery_Capacity_kWh]]/electric_vehicles_dataset[[#This Row],[Range_km]]</f>
        <v>9.3461538461538471E-2</v>
      </c>
      <c r="I516">
        <v>260</v>
      </c>
      <c r="J516" t="s">
        <v>364</v>
      </c>
      <c r="K516">
        <v>10</v>
      </c>
      <c r="L516" s="1">
        <v>37440.269999999997</v>
      </c>
      <c r="M516" s="1" t="str" cm="1">
        <f t="array" ref="M51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16" t="s">
        <v>271</v>
      </c>
      <c r="O516" t="s">
        <v>236</v>
      </c>
      <c r="P516" s="2" t="s">
        <v>394</v>
      </c>
      <c r="Q516">
        <v>4</v>
      </c>
      <c r="R516" t="s">
        <v>392</v>
      </c>
      <c r="S516" s="1">
        <f>electric_vehicles_dataset[[#This Row],[Units_Sold_2024]]*electric_vehicles_dataset[[#This Row],[Price_USD]]</f>
        <v>68440813.559999987</v>
      </c>
      <c r="T516">
        <v>3</v>
      </c>
      <c r="U516">
        <v>1828</v>
      </c>
      <c r="V516">
        <v>5</v>
      </c>
    </row>
    <row r="517" spans="1:22" x14ac:dyDescent="0.35">
      <c r="A517">
        <v>516</v>
      </c>
      <c r="B517" t="s">
        <v>71</v>
      </c>
      <c r="C517" t="s">
        <v>330</v>
      </c>
      <c r="D517">
        <v>2021</v>
      </c>
      <c r="E517" t="s">
        <v>42</v>
      </c>
      <c r="F517">
        <v>32.5</v>
      </c>
      <c r="G517" t="s">
        <v>357</v>
      </c>
      <c r="H517">
        <f>electric_vehicles_dataset[[#This Row],[Battery_Capacity_kWh]]/electric_vehicles_dataset[[#This Row],[Range_km]]</f>
        <v>6.7010309278350513E-2</v>
      </c>
      <c r="I517">
        <v>485</v>
      </c>
      <c r="J517" t="s">
        <v>358</v>
      </c>
      <c r="K517">
        <v>3</v>
      </c>
      <c r="L517" s="1">
        <v>101949.1</v>
      </c>
      <c r="M517" s="1" t="str" cm="1">
        <f t="array" ref="M5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17" t="s">
        <v>117</v>
      </c>
      <c r="O517" t="s">
        <v>118</v>
      </c>
      <c r="P517" s="2" t="s">
        <v>389</v>
      </c>
      <c r="Q517">
        <v>4</v>
      </c>
      <c r="R517" t="s">
        <v>392</v>
      </c>
      <c r="S517" s="1">
        <f>electric_vehicles_dataset[[#This Row],[Units_Sold_2024]]*electric_vehicles_dataset[[#This Row],[Price_USD]]</f>
        <v>338267113.80000001</v>
      </c>
      <c r="T517">
        <v>5</v>
      </c>
      <c r="U517">
        <v>3318</v>
      </c>
      <c r="V517">
        <v>4</v>
      </c>
    </row>
    <row r="518" spans="1:22" x14ac:dyDescent="0.35">
      <c r="A518">
        <v>517</v>
      </c>
      <c r="B518" t="s">
        <v>224</v>
      </c>
      <c r="C518" t="s">
        <v>280</v>
      </c>
      <c r="D518">
        <v>2022</v>
      </c>
      <c r="E518" t="s">
        <v>47</v>
      </c>
      <c r="F518">
        <v>62.7</v>
      </c>
      <c r="G518" t="s">
        <v>351</v>
      </c>
      <c r="H518">
        <f>electric_vehicles_dataset[[#This Row],[Battery_Capacity_kWh]]/electric_vehicles_dataset[[#This Row],[Range_km]]</f>
        <v>0.31666666666666671</v>
      </c>
      <c r="I518">
        <v>198</v>
      </c>
      <c r="J518" t="s">
        <v>48</v>
      </c>
      <c r="K518">
        <v>2</v>
      </c>
      <c r="L518" s="1">
        <v>101421.01</v>
      </c>
      <c r="M518" s="1" t="str" cm="1">
        <f t="array" ref="M51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18" t="s">
        <v>228</v>
      </c>
      <c r="O518" t="s">
        <v>167</v>
      </c>
      <c r="P518" s="2" t="s">
        <v>394</v>
      </c>
      <c r="Q518">
        <v>1</v>
      </c>
      <c r="R518" t="s">
        <v>391</v>
      </c>
      <c r="S518" s="1">
        <f>electric_vehicles_dataset[[#This Row],[Units_Sold_2024]]*electric_vehicles_dataset[[#This Row],[Price_USD]]</f>
        <v>851632220.96999991</v>
      </c>
      <c r="T518">
        <v>5</v>
      </c>
      <c r="U518">
        <v>8397</v>
      </c>
      <c r="V518">
        <v>4</v>
      </c>
    </row>
    <row r="519" spans="1:22" x14ac:dyDescent="0.35">
      <c r="A519">
        <v>518</v>
      </c>
      <c r="B519" t="s">
        <v>125</v>
      </c>
      <c r="C519" t="s">
        <v>126</v>
      </c>
      <c r="D519">
        <v>2024</v>
      </c>
      <c r="E519" t="s">
        <v>130</v>
      </c>
      <c r="F519">
        <v>44.2</v>
      </c>
      <c r="G519" t="s">
        <v>348</v>
      </c>
      <c r="H519">
        <f>electric_vehicles_dataset[[#This Row],[Battery_Capacity_kWh]]/electric_vehicles_dataset[[#This Row],[Range_km]]</f>
        <v>0.26</v>
      </c>
      <c r="I519">
        <v>170</v>
      </c>
      <c r="J519" t="s">
        <v>27</v>
      </c>
      <c r="K519">
        <v>1</v>
      </c>
      <c r="L519" s="1">
        <v>67400.02</v>
      </c>
      <c r="M519" s="1" t="str" cm="1">
        <f t="array" ref="M5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19" t="s">
        <v>196</v>
      </c>
      <c r="O519" t="s">
        <v>206</v>
      </c>
      <c r="P519" s="2" t="s">
        <v>394</v>
      </c>
      <c r="Q519">
        <v>2</v>
      </c>
      <c r="R519" t="s">
        <v>391</v>
      </c>
      <c r="S519" s="1">
        <f>electric_vehicles_dataset[[#This Row],[Units_Sold_2024]]*electric_vehicles_dataset[[#This Row],[Price_USD]]</f>
        <v>325542096.60000002</v>
      </c>
      <c r="T519">
        <v>3</v>
      </c>
      <c r="U519">
        <v>4830</v>
      </c>
      <c r="V519">
        <v>4</v>
      </c>
    </row>
    <row r="520" spans="1:22" x14ac:dyDescent="0.35">
      <c r="A520">
        <v>519</v>
      </c>
      <c r="B520" t="s">
        <v>234</v>
      </c>
      <c r="C520" t="s">
        <v>235</v>
      </c>
      <c r="D520">
        <v>2019</v>
      </c>
      <c r="E520" t="s">
        <v>104</v>
      </c>
      <c r="F520">
        <v>146.1</v>
      </c>
      <c r="G520" t="s">
        <v>386</v>
      </c>
      <c r="H520">
        <f>electric_vehicles_dataset[[#This Row],[Battery_Capacity_kWh]]/electric_vehicles_dataset[[#This Row],[Range_km]]</f>
        <v>0.40027397260273972</v>
      </c>
      <c r="I520">
        <v>365</v>
      </c>
      <c r="J520" t="s">
        <v>18</v>
      </c>
      <c r="K520">
        <v>1</v>
      </c>
      <c r="L520" s="1">
        <v>90852.94</v>
      </c>
      <c r="M520" s="1" t="str" cm="1">
        <f t="array" ref="M52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20" t="s">
        <v>142</v>
      </c>
      <c r="O520" t="s">
        <v>354</v>
      </c>
      <c r="P520" s="2" t="s">
        <v>394</v>
      </c>
      <c r="Q520">
        <v>3</v>
      </c>
      <c r="R520" t="s">
        <v>397</v>
      </c>
      <c r="S520" s="1">
        <f>electric_vehicles_dataset[[#This Row],[Units_Sold_2024]]*electric_vehicles_dataset[[#This Row],[Price_USD]]</f>
        <v>599084286.36000001</v>
      </c>
      <c r="T520">
        <v>5</v>
      </c>
      <c r="U520">
        <v>6594</v>
      </c>
      <c r="V520">
        <v>3</v>
      </c>
    </row>
    <row r="521" spans="1:22" x14ac:dyDescent="0.35">
      <c r="A521">
        <v>520</v>
      </c>
      <c r="B521" t="s">
        <v>313</v>
      </c>
      <c r="C521" t="s">
        <v>314</v>
      </c>
      <c r="D521">
        <v>2025</v>
      </c>
      <c r="E521" t="s">
        <v>130</v>
      </c>
      <c r="F521">
        <v>110.3</v>
      </c>
      <c r="G521" t="s">
        <v>361</v>
      </c>
      <c r="H521">
        <f>electric_vehicles_dataset[[#This Row],[Battery_Capacity_kWh]]/electric_vehicles_dataset[[#This Row],[Range_km]]</f>
        <v>0.32536873156342183</v>
      </c>
      <c r="I521">
        <v>339</v>
      </c>
      <c r="J521" t="s">
        <v>38</v>
      </c>
      <c r="K521">
        <v>10</v>
      </c>
      <c r="L521" s="1">
        <v>97931.63</v>
      </c>
      <c r="M521" s="1" t="str" cm="1">
        <f t="array" ref="M52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21" t="s">
        <v>219</v>
      </c>
      <c r="O521" t="s">
        <v>118</v>
      </c>
      <c r="P521" s="2" t="s">
        <v>389</v>
      </c>
      <c r="Q521">
        <v>2</v>
      </c>
      <c r="R521" t="s">
        <v>391</v>
      </c>
      <c r="S521" s="1">
        <f>electric_vehicles_dataset[[#This Row],[Units_Sold_2024]]*electric_vehicles_dataset[[#This Row],[Price_USD]]</f>
        <v>1591388987.5</v>
      </c>
      <c r="T521">
        <v>3</v>
      </c>
      <c r="U521">
        <v>16250</v>
      </c>
      <c r="V521">
        <v>3</v>
      </c>
    </row>
    <row r="522" spans="1:22" x14ac:dyDescent="0.35">
      <c r="A522">
        <v>521</v>
      </c>
      <c r="B522" t="s">
        <v>79</v>
      </c>
      <c r="C522" t="s">
        <v>376</v>
      </c>
      <c r="D522">
        <v>2018</v>
      </c>
      <c r="E522" t="s">
        <v>17</v>
      </c>
      <c r="F522">
        <v>49.9</v>
      </c>
      <c r="G522" t="s">
        <v>348</v>
      </c>
      <c r="H522">
        <f>electric_vehicles_dataset[[#This Row],[Battery_Capacity_kWh]]/electric_vehicles_dataset[[#This Row],[Range_km]]</f>
        <v>0.11909307875894988</v>
      </c>
      <c r="I522">
        <v>419</v>
      </c>
      <c r="J522" t="s">
        <v>359</v>
      </c>
      <c r="K522">
        <v>3</v>
      </c>
      <c r="L522" s="1">
        <v>118150.34</v>
      </c>
      <c r="M522" s="1" t="str" cm="1">
        <f t="array" ref="M52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22" t="s">
        <v>257</v>
      </c>
      <c r="O522" t="s">
        <v>50</v>
      </c>
      <c r="P522" s="2" t="s">
        <v>396</v>
      </c>
      <c r="Q522">
        <v>3</v>
      </c>
      <c r="R522" t="s">
        <v>397</v>
      </c>
      <c r="S522" s="1">
        <f>electric_vehicles_dataset[[#This Row],[Units_Sold_2024]]*electric_vehicles_dataset[[#This Row],[Price_USD]]</f>
        <v>1404571241.9200001</v>
      </c>
      <c r="T522">
        <v>3</v>
      </c>
      <c r="U522">
        <v>11888</v>
      </c>
      <c r="V522">
        <v>3</v>
      </c>
    </row>
    <row r="523" spans="1:22" x14ac:dyDescent="0.35">
      <c r="A523">
        <v>522</v>
      </c>
      <c r="B523" t="s">
        <v>29</v>
      </c>
      <c r="C523" t="s">
        <v>331</v>
      </c>
      <c r="D523">
        <v>2015</v>
      </c>
      <c r="E523" t="s">
        <v>47</v>
      </c>
      <c r="F523">
        <v>35</v>
      </c>
      <c r="G523" t="s">
        <v>357</v>
      </c>
      <c r="H523">
        <f>electric_vehicles_dataset[[#This Row],[Battery_Capacity_kWh]]/electric_vehicles_dataset[[#This Row],[Range_km]]</f>
        <v>0.14112903225806453</v>
      </c>
      <c r="I523">
        <v>248</v>
      </c>
      <c r="J523" t="s">
        <v>345</v>
      </c>
      <c r="K523">
        <v>3</v>
      </c>
      <c r="L523" s="1">
        <v>100282.37</v>
      </c>
      <c r="M523" s="1" t="str" cm="1">
        <f t="array" ref="M52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23" t="s">
        <v>62</v>
      </c>
      <c r="O523" t="s">
        <v>33</v>
      </c>
      <c r="P523" s="2" t="s">
        <v>393</v>
      </c>
      <c r="Q523">
        <v>3</v>
      </c>
      <c r="R523" t="s">
        <v>397</v>
      </c>
      <c r="S523" s="1">
        <f>electric_vehicles_dataset[[#This Row],[Units_Sold_2024]]*electric_vehicles_dataset[[#This Row],[Price_USD]]</f>
        <v>719425722.38</v>
      </c>
      <c r="T523">
        <v>3</v>
      </c>
      <c r="U523">
        <v>7174</v>
      </c>
      <c r="V523">
        <v>4</v>
      </c>
    </row>
    <row r="524" spans="1:22" x14ac:dyDescent="0.35">
      <c r="A524">
        <v>523</v>
      </c>
      <c r="B524" t="s">
        <v>259</v>
      </c>
      <c r="C524" t="s">
        <v>298</v>
      </c>
      <c r="D524">
        <v>2020</v>
      </c>
      <c r="E524" t="s">
        <v>26</v>
      </c>
      <c r="F524">
        <v>92.1</v>
      </c>
      <c r="G524" t="s">
        <v>350</v>
      </c>
      <c r="H524">
        <f>electric_vehicles_dataset[[#This Row],[Battery_Capacity_kWh]]/electric_vehicles_dataset[[#This Row],[Range_km]]</f>
        <v>0.48219895287958114</v>
      </c>
      <c r="I524">
        <v>191</v>
      </c>
      <c r="J524" t="s">
        <v>359</v>
      </c>
      <c r="K524">
        <v>1</v>
      </c>
      <c r="L524" s="1">
        <v>131145.76999999999</v>
      </c>
      <c r="M524" s="1" t="str" cm="1">
        <f t="array" ref="M52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24" t="s">
        <v>175</v>
      </c>
      <c r="O524" t="s">
        <v>135</v>
      </c>
      <c r="P524" s="2" t="s">
        <v>389</v>
      </c>
      <c r="Q524">
        <v>1</v>
      </c>
      <c r="R524" t="s">
        <v>391</v>
      </c>
      <c r="S524" s="1">
        <f>electric_vehicles_dataset[[#This Row],[Units_Sold_2024]]*electric_vehicles_dataset[[#This Row],[Price_USD]]</f>
        <v>1454144297.76</v>
      </c>
      <c r="T524">
        <v>3</v>
      </c>
      <c r="U524">
        <v>11088</v>
      </c>
      <c r="V524">
        <v>3</v>
      </c>
    </row>
    <row r="525" spans="1:22" x14ac:dyDescent="0.35">
      <c r="A525">
        <v>524</v>
      </c>
      <c r="B525" t="s">
        <v>234</v>
      </c>
      <c r="C525" t="s">
        <v>235</v>
      </c>
      <c r="D525">
        <v>2018</v>
      </c>
      <c r="E525" t="s">
        <v>104</v>
      </c>
      <c r="F525">
        <v>125.2</v>
      </c>
      <c r="G525" t="s">
        <v>352</v>
      </c>
      <c r="H525">
        <f>electric_vehicles_dataset[[#This Row],[Battery_Capacity_kWh]]/electric_vehicles_dataset[[#This Row],[Range_km]]</f>
        <v>0.28584474885844752</v>
      </c>
      <c r="I525">
        <v>438</v>
      </c>
      <c r="J525" t="s">
        <v>85</v>
      </c>
      <c r="K525">
        <v>11</v>
      </c>
      <c r="L525" s="1">
        <v>147252.22</v>
      </c>
      <c r="M525" s="1" t="str" cm="1">
        <f t="array" ref="M52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25" t="s">
        <v>217</v>
      </c>
      <c r="O525" t="s">
        <v>199</v>
      </c>
      <c r="P525" s="2" t="s">
        <v>394</v>
      </c>
      <c r="Q525">
        <v>0</v>
      </c>
      <c r="R525" t="s">
        <v>390</v>
      </c>
      <c r="S525" s="1">
        <f>electric_vehicles_dataset[[#This Row],[Units_Sold_2024]]*electric_vehicles_dataset[[#This Row],[Price_USD]]</f>
        <v>915025295.08000004</v>
      </c>
      <c r="T525">
        <v>3</v>
      </c>
      <c r="U525">
        <v>6214</v>
      </c>
      <c r="V525">
        <v>3</v>
      </c>
    </row>
    <row r="526" spans="1:22" x14ac:dyDescent="0.35">
      <c r="A526">
        <v>525</v>
      </c>
      <c r="B526" t="s">
        <v>82</v>
      </c>
      <c r="C526" t="s">
        <v>281</v>
      </c>
      <c r="D526">
        <v>2020</v>
      </c>
      <c r="E526" t="s">
        <v>104</v>
      </c>
      <c r="F526">
        <v>97.9</v>
      </c>
      <c r="G526" t="s">
        <v>350</v>
      </c>
      <c r="H526">
        <f>electric_vehicles_dataset[[#This Row],[Battery_Capacity_kWh]]/electric_vehicles_dataset[[#This Row],[Range_km]]</f>
        <v>0.16316666666666668</v>
      </c>
      <c r="I526">
        <v>600</v>
      </c>
      <c r="J526" t="s">
        <v>353</v>
      </c>
      <c r="K526">
        <v>11</v>
      </c>
      <c r="L526" s="1">
        <v>121569.88</v>
      </c>
      <c r="M526" s="1" t="str" cm="1">
        <f t="array" ref="M52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26" t="s">
        <v>98</v>
      </c>
      <c r="O526" t="s">
        <v>63</v>
      </c>
      <c r="P526" s="2" t="s">
        <v>389</v>
      </c>
      <c r="Q526">
        <v>2</v>
      </c>
      <c r="R526" t="s">
        <v>391</v>
      </c>
      <c r="S526" s="1">
        <f>electric_vehicles_dataset[[#This Row],[Units_Sold_2024]]*electric_vehicles_dataset[[#This Row],[Price_USD]]</f>
        <v>1115646788.76</v>
      </c>
      <c r="T526">
        <v>3</v>
      </c>
      <c r="U526">
        <v>9177</v>
      </c>
      <c r="V526">
        <v>3</v>
      </c>
    </row>
    <row r="527" spans="1:22" x14ac:dyDescent="0.35">
      <c r="A527">
        <v>526</v>
      </c>
      <c r="B527" t="s">
        <v>140</v>
      </c>
      <c r="C527" t="s">
        <v>256</v>
      </c>
      <c r="D527">
        <v>2018</v>
      </c>
      <c r="E527" t="s">
        <v>17</v>
      </c>
      <c r="F527">
        <v>30.6</v>
      </c>
      <c r="G527" t="s">
        <v>357</v>
      </c>
      <c r="H527">
        <f>electric_vehicles_dataset[[#This Row],[Battery_Capacity_kWh]]/electric_vehicles_dataset[[#This Row],[Range_km]]</f>
        <v>9.0000000000000011E-2</v>
      </c>
      <c r="I527">
        <v>340</v>
      </c>
      <c r="J527" t="s">
        <v>364</v>
      </c>
      <c r="K527">
        <v>2</v>
      </c>
      <c r="L527" s="1">
        <v>76573.899999999994</v>
      </c>
      <c r="M527" s="1" t="str" cm="1">
        <f t="array" ref="M52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27" t="s">
        <v>39</v>
      </c>
      <c r="O527" t="s">
        <v>206</v>
      </c>
      <c r="P527" s="2" t="s">
        <v>394</v>
      </c>
      <c r="Q527">
        <v>4</v>
      </c>
      <c r="R527" t="s">
        <v>392</v>
      </c>
      <c r="S527" s="1">
        <f>electric_vehicles_dataset[[#This Row],[Units_Sold_2024]]*electric_vehicles_dataset[[#This Row],[Price_USD]]</f>
        <v>1318449410.1999998</v>
      </c>
      <c r="T527">
        <v>4</v>
      </c>
      <c r="U527">
        <v>17218</v>
      </c>
      <c r="V527">
        <v>5</v>
      </c>
    </row>
    <row r="528" spans="1:22" x14ac:dyDescent="0.35">
      <c r="A528">
        <v>527</v>
      </c>
      <c r="B528" t="s">
        <v>173</v>
      </c>
      <c r="C528" t="s">
        <v>306</v>
      </c>
      <c r="D528">
        <v>2022</v>
      </c>
      <c r="E528" t="s">
        <v>130</v>
      </c>
      <c r="F528">
        <v>54.9</v>
      </c>
      <c r="G528" t="s">
        <v>348</v>
      </c>
      <c r="H528">
        <f>electric_vehicles_dataset[[#This Row],[Battery_Capacity_kWh]]/electric_vehicles_dataset[[#This Row],[Range_km]]</f>
        <v>0.18</v>
      </c>
      <c r="I528">
        <v>305</v>
      </c>
      <c r="J528" t="s">
        <v>27</v>
      </c>
      <c r="K528">
        <v>3</v>
      </c>
      <c r="L528" s="1">
        <v>137386.16</v>
      </c>
      <c r="M528" s="1" t="str" cm="1">
        <f t="array" ref="M5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28" t="s">
        <v>172</v>
      </c>
      <c r="O528" t="s">
        <v>78</v>
      </c>
      <c r="P528" s="2" t="s">
        <v>389</v>
      </c>
      <c r="Q528">
        <v>2</v>
      </c>
      <c r="R528" t="s">
        <v>391</v>
      </c>
      <c r="S528" s="1">
        <f>electric_vehicles_dataset[[#This Row],[Units_Sold_2024]]*electric_vehicles_dataset[[#This Row],[Price_USD]]</f>
        <v>1684079549.28</v>
      </c>
      <c r="T528">
        <v>3</v>
      </c>
      <c r="U528">
        <v>12258</v>
      </c>
      <c r="V528">
        <v>4</v>
      </c>
    </row>
    <row r="529" spans="1:22" x14ac:dyDescent="0.35">
      <c r="A529">
        <v>528</v>
      </c>
      <c r="B529" t="s">
        <v>21</v>
      </c>
      <c r="C529" t="s">
        <v>349</v>
      </c>
      <c r="D529">
        <v>2017</v>
      </c>
      <c r="E529" t="s">
        <v>183</v>
      </c>
      <c r="F529">
        <v>30.9</v>
      </c>
      <c r="G529" t="s">
        <v>357</v>
      </c>
      <c r="H529">
        <f>electric_vehicles_dataset[[#This Row],[Battery_Capacity_kWh]]/electric_vehicles_dataset[[#This Row],[Range_km]]</f>
        <v>9.4495412844036689E-2</v>
      </c>
      <c r="I529">
        <v>327</v>
      </c>
      <c r="J529" t="s">
        <v>149</v>
      </c>
      <c r="K529">
        <v>3</v>
      </c>
      <c r="L529" s="1">
        <v>34937.15</v>
      </c>
      <c r="M529" s="1" t="str" cm="1">
        <f t="array" ref="M5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29" t="s">
        <v>246</v>
      </c>
      <c r="O529" t="s">
        <v>118</v>
      </c>
      <c r="P529" s="2" t="s">
        <v>389</v>
      </c>
      <c r="Q529">
        <v>3</v>
      </c>
      <c r="R529" t="s">
        <v>397</v>
      </c>
      <c r="S529" s="1">
        <f>electric_vehicles_dataset[[#This Row],[Units_Sold_2024]]*electric_vehicles_dataset[[#This Row],[Price_USD]]</f>
        <v>362927114.19999999</v>
      </c>
      <c r="T529">
        <v>4</v>
      </c>
      <c r="U529">
        <v>10388</v>
      </c>
      <c r="V529">
        <v>4</v>
      </c>
    </row>
    <row r="530" spans="1:22" x14ac:dyDescent="0.35">
      <c r="A530">
        <v>529</v>
      </c>
      <c r="B530" t="s">
        <v>24</v>
      </c>
      <c r="C530" t="s">
        <v>264</v>
      </c>
      <c r="D530">
        <v>2017</v>
      </c>
      <c r="E530" t="s">
        <v>130</v>
      </c>
      <c r="F530">
        <v>50.4</v>
      </c>
      <c r="G530" t="s">
        <v>348</v>
      </c>
      <c r="H530">
        <f>electric_vehicles_dataset[[#This Row],[Battery_Capacity_kWh]]/electric_vehicles_dataset[[#This Row],[Range_km]]</f>
        <v>0.1172093023255814</v>
      </c>
      <c r="I530">
        <v>430</v>
      </c>
      <c r="J530" t="s">
        <v>364</v>
      </c>
      <c r="K530">
        <v>5</v>
      </c>
      <c r="L530" s="1">
        <v>39890.22</v>
      </c>
      <c r="M530" s="1" t="str" cm="1">
        <f t="array" ref="M53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30" t="s">
        <v>142</v>
      </c>
      <c r="O530" t="s">
        <v>206</v>
      </c>
      <c r="P530" s="2" t="s">
        <v>394</v>
      </c>
      <c r="Q530">
        <v>5</v>
      </c>
      <c r="R530" t="s">
        <v>392</v>
      </c>
      <c r="S530" s="1">
        <f>electric_vehicles_dataset[[#This Row],[Units_Sold_2024]]*electric_vehicles_dataset[[#This Row],[Price_USD]]</f>
        <v>128606069.28</v>
      </c>
      <c r="T530">
        <v>3</v>
      </c>
      <c r="U530">
        <v>3224</v>
      </c>
      <c r="V530">
        <v>3</v>
      </c>
    </row>
    <row r="531" spans="1:22" x14ac:dyDescent="0.35">
      <c r="A531">
        <v>530</v>
      </c>
      <c r="B531" t="s">
        <v>29</v>
      </c>
      <c r="C531" t="s">
        <v>331</v>
      </c>
      <c r="D531">
        <v>2015</v>
      </c>
      <c r="E531" t="s">
        <v>47</v>
      </c>
      <c r="F531">
        <v>46</v>
      </c>
      <c r="G531" t="s">
        <v>348</v>
      </c>
      <c r="H531">
        <f>electric_vehicles_dataset[[#This Row],[Battery_Capacity_kWh]]/electric_vehicles_dataset[[#This Row],[Range_km]]</f>
        <v>0.23</v>
      </c>
      <c r="I531">
        <v>200</v>
      </c>
      <c r="J531" t="s">
        <v>38</v>
      </c>
      <c r="K531">
        <v>3</v>
      </c>
      <c r="L531" s="1">
        <v>119425.36</v>
      </c>
      <c r="M531" s="1" t="str" cm="1">
        <f t="array" ref="M53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31" t="s">
        <v>168</v>
      </c>
      <c r="O531" t="s">
        <v>134</v>
      </c>
      <c r="P531" s="2" t="s">
        <v>389</v>
      </c>
      <c r="Q531">
        <v>4</v>
      </c>
      <c r="R531" t="s">
        <v>392</v>
      </c>
      <c r="S531" s="1">
        <f>electric_vehicles_dataset[[#This Row],[Units_Sold_2024]]*electric_vehicles_dataset[[#This Row],[Price_USD]]</f>
        <v>2125413131.9200001</v>
      </c>
      <c r="T531">
        <v>5</v>
      </c>
      <c r="U531">
        <v>17797</v>
      </c>
      <c r="V531">
        <v>4</v>
      </c>
    </row>
    <row r="532" spans="1:22" x14ac:dyDescent="0.35">
      <c r="A532">
        <v>531</v>
      </c>
      <c r="B532" t="s">
        <v>79</v>
      </c>
      <c r="C532" t="s">
        <v>299</v>
      </c>
      <c r="D532">
        <v>2019</v>
      </c>
      <c r="E532" t="s">
        <v>26</v>
      </c>
      <c r="F532">
        <v>65.099999999999994</v>
      </c>
      <c r="G532" t="s">
        <v>351</v>
      </c>
      <c r="H532">
        <f>electric_vehicles_dataset[[#This Row],[Battery_Capacity_kWh]]/electric_vehicles_dataset[[#This Row],[Range_km]]</f>
        <v>0.21274509803921568</v>
      </c>
      <c r="I532">
        <v>306</v>
      </c>
      <c r="J532" t="s">
        <v>34</v>
      </c>
      <c r="K532">
        <v>10</v>
      </c>
      <c r="L532" s="1">
        <v>120936.73</v>
      </c>
      <c r="M532" s="1" t="str" cm="1">
        <f t="array" ref="M53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32" t="s">
        <v>22</v>
      </c>
      <c r="O532" t="s">
        <v>226</v>
      </c>
      <c r="P532" s="2" t="s">
        <v>395</v>
      </c>
      <c r="Q532">
        <v>1</v>
      </c>
      <c r="R532" t="s">
        <v>391</v>
      </c>
      <c r="S532" s="1">
        <f>electric_vehicles_dataset[[#This Row],[Units_Sold_2024]]*electric_vehicles_dataset[[#This Row],[Price_USD]]</f>
        <v>831681892.20999992</v>
      </c>
      <c r="T532">
        <v>5</v>
      </c>
      <c r="U532">
        <v>6877</v>
      </c>
      <c r="V532">
        <v>4</v>
      </c>
    </row>
    <row r="533" spans="1:22" x14ac:dyDescent="0.35">
      <c r="A533">
        <v>532</v>
      </c>
      <c r="B533" t="s">
        <v>128</v>
      </c>
      <c r="C533" t="s">
        <v>332</v>
      </c>
      <c r="D533">
        <v>2022</v>
      </c>
      <c r="E533" t="s">
        <v>104</v>
      </c>
      <c r="F533">
        <v>122.9</v>
      </c>
      <c r="G533" t="s">
        <v>352</v>
      </c>
      <c r="H533">
        <f>electric_vehicles_dataset[[#This Row],[Battery_Capacity_kWh]]/electric_vehicles_dataset[[#This Row],[Range_km]]</f>
        <v>0.47269230769230769</v>
      </c>
      <c r="I533">
        <v>260</v>
      </c>
      <c r="J533" t="s">
        <v>359</v>
      </c>
      <c r="K533">
        <v>5</v>
      </c>
      <c r="L533" s="1">
        <v>143031.57</v>
      </c>
      <c r="M533" s="1" t="str" cm="1">
        <f t="array" ref="M5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33" t="s">
        <v>70</v>
      </c>
      <c r="O533" t="s">
        <v>124</v>
      </c>
      <c r="P533" s="2" t="s">
        <v>389</v>
      </c>
      <c r="Q533">
        <v>4</v>
      </c>
      <c r="R533" t="s">
        <v>392</v>
      </c>
      <c r="S533" s="1">
        <f>electric_vehicles_dataset[[#This Row],[Units_Sold_2024]]*electric_vehicles_dataset[[#This Row],[Price_USD]]</f>
        <v>1432032078.8400002</v>
      </c>
      <c r="T533">
        <v>3</v>
      </c>
      <c r="U533">
        <v>10012</v>
      </c>
      <c r="V533">
        <v>5</v>
      </c>
    </row>
    <row r="534" spans="1:22" x14ac:dyDescent="0.35">
      <c r="A534">
        <v>533</v>
      </c>
      <c r="B534" t="s">
        <v>79</v>
      </c>
      <c r="C534" t="s">
        <v>80</v>
      </c>
      <c r="D534">
        <v>2025</v>
      </c>
      <c r="E534" t="s">
        <v>26</v>
      </c>
      <c r="F534">
        <v>66.099999999999994</v>
      </c>
      <c r="G534" t="s">
        <v>351</v>
      </c>
      <c r="H534">
        <f>electric_vehicles_dataset[[#This Row],[Battery_Capacity_kWh]]/electric_vehicles_dataset[[#This Row],[Range_km]]</f>
        <v>0.30744186046511623</v>
      </c>
      <c r="I534">
        <v>215</v>
      </c>
      <c r="J534" t="s">
        <v>358</v>
      </c>
      <c r="K534">
        <v>5</v>
      </c>
      <c r="L534" s="1">
        <v>120315.14</v>
      </c>
      <c r="M534" s="1" t="str" cm="1">
        <f t="array" ref="M53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34" t="s">
        <v>62</v>
      </c>
      <c r="O534" t="s">
        <v>107</v>
      </c>
      <c r="P534" s="2" t="s">
        <v>394</v>
      </c>
      <c r="Q534">
        <v>4</v>
      </c>
      <c r="R534" t="s">
        <v>392</v>
      </c>
      <c r="S534" s="1">
        <f>electric_vehicles_dataset[[#This Row],[Units_Sold_2024]]*electric_vehicles_dataset[[#This Row],[Price_USD]]</f>
        <v>605907045.03999996</v>
      </c>
      <c r="T534">
        <v>3</v>
      </c>
      <c r="U534">
        <v>5036</v>
      </c>
      <c r="V534">
        <v>4</v>
      </c>
    </row>
    <row r="535" spans="1:22" x14ac:dyDescent="0.35">
      <c r="A535">
        <v>534</v>
      </c>
      <c r="B535" t="s">
        <v>261</v>
      </c>
      <c r="C535" t="s">
        <v>370</v>
      </c>
      <c r="D535">
        <v>2024</v>
      </c>
      <c r="E535" t="s">
        <v>53</v>
      </c>
      <c r="F535">
        <v>99</v>
      </c>
      <c r="G535" t="s">
        <v>350</v>
      </c>
      <c r="H535">
        <f>electric_vehicles_dataset[[#This Row],[Battery_Capacity_kWh]]/electric_vehicles_dataset[[#This Row],[Range_km]]</f>
        <v>0.18232044198895028</v>
      </c>
      <c r="I535">
        <v>543</v>
      </c>
      <c r="J535" t="s">
        <v>34</v>
      </c>
      <c r="K535">
        <v>12</v>
      </c>
      <c r="L535" s="1">
        <v>54504.55</v>
      </c>
      <c r="M535" s="1" t="str" cm="1">
        <f t="array" ref="M5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35" t="s">
        <v>253</v>
      </c>
      <c r="O535" t="s">
        <v>92</v>
      </c>
      <c r="P535" s="2" t="s">
        <v>394</v>
      </c>
      <c r="Q535">
        <v>1</v>
      </c>
      <c r="R535" t="s">
        <v>391</v>
      </c>
      <c r="S535" s="1">
        <f>electric_vehicles_dataset[[#This Row],[Units_Sold_2024]]*electric_vehicles_dataset[[#This Row],[Price_USD]]</f>
        <v>544064418.10000002</v>
      </c>
      <c r="T535">
        <v>4</v>
      </c>
      <c r="U535">
        <v>9982</v>
      </c>
      <c r="V535">
        <v>3</v>
      </c>
    </row>
    <row r="536" spans="1:22" x14ac:dyDescent="0.35">
      <c r="A536">
        <v>535</v>
      </c>
      <c r="B536" t="s">
        <v>220</v>
      </c>
      <c r="C536" t="s">
        <v>290</v>
      </c>
      <c r="D536">
        <v>2025</v>
      </c>
      <c r="E536" t="s">
        <v>47</v>
      </c>
      <c r="F536">
        <v>43.1</v>
      </c>
      <c r="G536" t="s">
        <v>348</v>
      </c>
      <c r="H536">
        <f>electric_vehicles_dataset[[#This Row],[Battery_Capacity_kWh]]/electric_vehicles_dataset[[#This Row],[Range_km]]</f>
        <v>8.2409177820267687E-2</v>
      </c>
      <c r="I536">
        <v>523</v>
      </c>
      <c r="J536" t="s">
        <v>356</v>
      </c>
      <c r="K536">
        <v>1</v>
      </c>
      <c r="L536" s="1">
        <v>53879.85</v>
      </c>
      <c r="M536" s="1" t="str" cm="1">
        <f t="array" ref="M5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36" t="s">
        <v>28</v>
      </c>
      <c r="O536" t="s">
        <v>265</v>
      </c>
      <c r="P536" s="2" t="s">
        <v>389</v>
      </c>
      <c r="Q536">
        <v>2</v>
      </c>
      <c r="R536" t="s">
        <v>391</v>
      </c>
      <c r="S536" s="1">
        <f>electric_vehicles_dataset[[#This Row],[Units_Sold_2024]]*electric_vehicles_dataset[[#This Row],[Price_USD]]</f>
        <v>101401877.7</v>
      </c>
      <c r="T536">
        <v>4</v>
      </c>
      <c r="U536">
        <v>1882</v>
      </c>
      <c r="V536">
        <v>4</v>
      </c>
    </row>
    <row r="537" spans="1:22" x14ac:dyDescent="0.35">
      <c r="A537">
        <v>536</v>
      </c>
      <c r="B537" t="s">
        <v>207</v>
      </c>
      <c r="C537" t="s">
        <v>304</v>
      </c>
      <c r="D537">
        <v>2017</v>
      </c>
      <c r="E537" t="s">
        <v>104</v>
      </c>
      <c r="F537">
        <v>131.80000000000001</v>
      </c>
      <c r="G537" t="s">
        <v>352</v>
      </c>
      <c r="H537">
        <f>electric_vehicles_dataset[[#This Row],[Battery_Capacity_kWh]]/electric_vehicles_dataset[[#This Row],[Range_km]]</f>
        <v>0.42516129032258071</v>
      </c>
      <c r="I537">
        <v>310</v>
      </c>
      <c r="J537" t="s">
        <v>34</v>
      </c>
      <c r="K537">
        <v>2</v>
      </c>
      <c r="L537" s="1">
        <v>43289.27</v>
      </c>
      <c r="M537" s="1" t="str" cm="1">
        <f t="array" ref="M5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37" t="s">
        <v>19</v>
      </c>
      <c r="O537" t="s">
        <v>169</v>
      </c>
      <c r="P537" s="2" t="s">
        <v>394</v>
      </c>
      <c r="Q537">
        <v>0</v>
      </c>
      <c r="R537" t="s">
        <v>390</v>
      </c>
      <c r="S537" s="1">
        <f>electric_vehicles_dataset[[#This Row],[Units_Sold_2024]]*electric_vehicles_dataset[[#This Row],[Price_USD]]</f>
        <v>184282422.38999999</v>
      </c>
      <c r="T537">
        <v>3</v>
      </c>
      <c r="U537">
        <v>4257</v>
      </c>
      <c r="V537">
        <v>3</v>
      </c>
    </row>
    <row r="538" spans="1:22" x14ac:dyDescent="0.35">
      <c r="A538">
        <v>537</v>
      </c>
      <c r="B538" t="s">
        <v>234</v>
      </c>
      <c r="C538" t="s">
        <v>235</v>
      </c>
      <c r="D538">
        <v>2025</v>
      </c>
      <c r="E538" t="s">
        <v>130</v>
      </c>
      <c r="F538">
        <v>40.6</v>
      </c>
      <c r="G538" t="s">
        <v>348</v>
      </c>
      <c r="H538">
        <f>electric_vehicles_dataset[[#This Row],[Battery_Capacity_kWh]]/electric_vehicles_dataset[[#This Row],[Range_km]]</f>
        <v>0.10304568527918782</v>
      </c>
      <c r="I538">
        <v>394</v>
      </c>
      <c r="J538" t="s">
        <v>54</v>
      </c>
      <c r="K538">
        <v>7</v>
      </c>
      <c r="L538" s="1">
        <v>90297</v>
      </c>
      <c r="M538" s="1" t="str" cm="1">
        <f t="array" ref="M53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38" t="s">
        <v>106</v>
      </c>
      <c r="O538" t="s">
        <v>40</v>
      </c>
      <c r="P538" s="2" t="s">
        <v>395</v>
      </c>
      <c r="Q538">
        <v>0</v>
      </c>
      <c r="R538" t="s">
        <v>390</v>
      </c>
      <c r="S538" s="1">
        <f>electric_vehicles_dataset[[#This Row],[Units_Sold_2024]]*electric_vehicles_dataset[[#This Row],[Price_USD]]</f>
        <v>1789596243</v>
      </c>
      <c r="T538">
        <v>4</v>
      </c>
      <c r="U538">
        <v>19819</v>
      </c>
      <c r="V538">
        <v>3</v>
      </c>
    </row>
    <row r="539" spans="1:22" x14ac:dyDescent="0.35">
      <c r="A539">
        <v>538</v>
      </c>
      <c r="B539" t="s">
        <v>207</v>
      </c>
      <c r="C539" t="s">
        <v>287</v>
      </c>
      <c r="D539">
        <v>2024</v>
      </c>
      <c r="E539" t="s">
        <v>53</v>
      </c>
      <c r="F539">
        <v>83.8</v>
      </c>
      <c r="G539" t="s">
        <v>350</v>
      </c>
      <c r="H539">
        <f>electric_vehicles_dataset[[#This Row],[Battery_Capacity_kWh]]/electric_vehicles_dataset[[#This Row],[Range_km]]</f>
        <v>0.24940476190476191</v>
      </c>
      <c r="I539">
        <v>336</v>
      </c>
      <c r="J539" t="s">
        <v>27</v>
      </c>
      <c r="K539">
        <v>9</v>
      </c>
      <c r="L539" s="1">
        <v>64549.41</v>
      </c>
      <c r="M539" s="1" t="str" cm="1">
        <f t="array" ref="M5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39" t="s">
        <v>32</v>
      </c>
      <c r="O539" t="s">
        <v>202</v>
      </c>
      <c r="P539" s="2" t="s">
        <v>393</v>
      </c>
      <c r="Q539">
        <v>5</v>
      </c>
      <c r="R539" t="s">
        <v>392</v>
      </c>
      <c r="S539" s="1">
        <f>electric_vehicles_dataset[[#This Row],[Units_Sold_2024]]*electric_vehicles_dataset[[#This Row],[Price_USD]]</f>
        <v>877871976</v>
      </c>
      <c r="T539">
        <v>3</v>
      </c>
      <c r="U539">
        <v>13600</v>
      </c>
      <c r="V539">
        <v>3</v>
      </c>
    </row>
    <row r="540" spans="1:22" x14ac:dyDescent="0.35">
      <c r="A540">
        <v>539</v>
      </c>
      <c r="B540" t="s">
        <v>120</v>
      </c>
      <c r="C540" t="s">
        <v>362</v>
      </c>
      <c r="D540">
        <v>2022</v>
      </c>
      <c r="E540" t="s">
        <v>42</v>
      </c>
      <c r="F540">
        <v>138.4</v>
      </c>
      <c r="G540" t="s">
        <v>352</v>
      </c>
      <c r="H540">
        <f>electric_vehicles_dataset[[#This Row],[Battery_Capacity_kWh]]/electric_vehicles_dataset[[#This Row],[Range_km]]</f>
        <v>0.71709844559585501</v>
      </c>
      <c r="I540">
        <v>193</v>
      </c>
      <c r="J540" t="s">
        <v>48</v>
      </c>
      <c r="K540">
        <v>5</v>
      </c>
      <c r="L540" s="1">
        <v>143482.48000000001</v>
      </c>
      <c r="M540" s="1" t="str" cm="1">
        <f t="array" ref="M5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40" t="s">
        <v>100</v>
      </c>
      <c r="O540" t="s">
        <v>23</v>
      </c>
      <c r="P540" s="2" t="s">
        <v>389</v>
      </c>
      <c r="Q540">
        <v>5</v>
      </c>
      <c r="R540" t="s">
        <v>392</v>
      </c>
      <c r="S540" s="1">
        <f>electric_vehicles_dataset[[#This Row],[Units_Sold_2024]]*electric_vehicles_dataset[[#This Row],[Price_USD]]</f>
        <v>1021451775.1200001</v>
      </c>
      <c r="T540">
        <v>3</v>
      </c>
      <c r="U540">
        <v>7119</v>
      </c>
      <c r="V540">
        <v>4</v>
      </c>
    </row>
    <row r="541" spans="1:22" x14ac:dyDescent="0.35">
      <c r="A541">
        <v>540</v>
      </c>
      <c r="B541" t="s">
        <v>125</v>
      </c>
      <c r="C541" t="s">
        <v>276</v>
      </c>
      <c r="D541">
        <v>2020</v>
      </c>
      <c r="E541" t="s">
        <v>58</v>
      </c>
      <c r="F541">
        <v>118.2</v>
      </c>
      <c r="G541" t="s">
        <v>361</v>
      </c>
      <c r="H541">
        <f>electric_vehicles_dataset[[#This Row],[Battery_Capacity_kWh]]/electric_vehicles_dataset[[#This Row],[Range_km]]</f>
        <v>0.33016759776536314</v>
      </c>
      <c r="I541">
        <v>358</v>
      </c>
      <c r="J541" t="s">
        <v>38</v>
      </c>
      <c r="K541">
        <v>5</v>
      </c>
      <c r="L541" s="1">
        <v>49780.69</v>
      </c>
      <c r="M541" s="1" t="str" cm="1">
        <f t="array" ref="M54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41" t="s">
        <v>205</v>
      </c>
      <c r="O541" t="s">
        <v>206</v>
      </c>
      <c r="P541" s="2" t="s">
        <v>394</v>
      </c>
      <c r="Q541">
        <v>5</v>
      </c>
      <c r="R541" t="s">
        <v>392</v>
      </c>
      <c r="S541" s="1">
        <f>electric_vehicles_dataset[[#This Row],[Units_Sold_2024]]*electric_vehicles_dataset[[#This Row],[Price_USD]]</f>
        <v>753430743.14999998</v>
      </c>
      <c r="T541">
        <v>5</v>
      </c>
      <c r="U541">
        <v>15135</v>
      </c>
      <c r="V541">
        <v>4</v>
      </c>
    </row>
    <row r="542" spans="1:22" x14ac:dyDescent="0.35">
      <c r="A542">
        <v>541</v>
      </c>
      <c r="B542" t="s">
        <v>313</v>
      </c>
      <c r="C542" t="s">
        <v>314</v>
      </c>
      <c r="D542">
        <v>2018</v>
      </c>
      <c r="E542" t="s">
        <v>42</v>
      </c>
      <c r="F542">
        <v>24.9</v>
      </c>
      <c r="G542" t="s">
        <v>357</v>
      </c>
      <c r="H542">
        <f>electric_vehicles_dataset[[#This Row],[Battery_Capacity_kWh]]/electric_vehicles_dataset[[#This Row],[Range_km]]</f>
        <v>0.10921052631578947</v>
      </c>
      <c r="I542">
        <v>228</v>
      </c>
      <c r="J542" t="s">
        <v>48</v>
      </c>
      <c r="K542">
        <v>9</v>
      </c>
      <c r="L542" s="1">
        <v>46377.67</v>
      </c>
      <c r="M542" s="1" t="str" cm="1">
        <f t="array" ref="M54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42" t="s">
        <v>117</v>
      </c>
      <c r="O542" t="s">
        <v>40</v>
      </c>
      <c r="P542" s="2" t="s">
        <v>395</v>
      </c>
      <c r="Q542">
        <v>0</v>
      </c>
      <c r="R542" t="s">
        <v>390</v>
      </c>
      <c r="S542" s="1">
        <f>electric_vehicles_dataset[[#This Row],[Units_Sold_2024]]*electric_vehicles_dataset[[#This Row],[Price_USD]]</f>
        <v>665194920.80999994</v>
      </c>
      <c r="T542">
        <v>5</v>
      </c>
      <c r="U542">
        <v>14343</v>
      </c>
      <c r="V542">
        <v>3</v>
      </c>
    </row>
    <row r="543" spans="1:22" x14ac:dyDescent="0.35">
      <c r="A543">
        <v>542</v>
      </c>
      <c r="B543" t="s">
        <v>173</v>
      </c>
      <c r="C543" t="s">
        <v>174</v>
      </c>
      <c r="D543">
        <v>2017</v>
      </c>
      <c r="E543" t="s">
        <v>101</v>
      </c>
      <c r="F543">
        <v>129</v>
      </c>
      <c r="G543" t="s">
        <v>352</v>
      </c>
      <c r="H543">
        <f>electric_vehicles_dataset[[#This Row],[Battery_Capacity_kWh]]/electric_vehicles_dataset[[#This Row],[Range_km]]</f>
        <v>0.31463414634146342</v>
      </c>
      <c r="I543">
        <v>410</v>
      </c>
      <c r="J543" t="s">
        <v>48</v>
      </c>
      <c r="K543">
        <v>3</v>
      </c>
      <c r="L543" s="1">
        <v>44898.17</v>
      </c>
      <c r="M543" s="1" t="str" cm="1">
        <f t="array" ref="M54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43" t="s">
        <v>277</v>
      </c>
      <c r="O543" t="s">
        <v>164</v>
      </c>
      <c r="P543" s="2" t="s">
        <v>394</v>
      </c>
      <c r="Q543">
        <v>5</v>
      </c>
      <c r="R543" t="s">
        <v>392</v>
      </c>
      <c r="S543" s="1">
        <f>electric_vehicles_dataset[[#This Row],[Units_Sold_2024]]*electric_vehicles_dataset[[#This Row],[Price_USD]]</f>
        <v>648284676.63</v>
      </c>
      <c r="T543">
        <v>3</v>
      </c>
      <c r="U543">
        <v>14439</v>
      </c>
      <c r="V543">
        <v>4</v>
      </c>
    </row>
    <row r="544" spans="1:22" x14ac:dyDescent="0.35">
      <c r="A544">
        <v>543</v>
      </c>
      <c r="B544" t="s">
        <v>120</v>
      </c>
      <c r="C544" t="s">
        <v>288</v>
      </c>
      <c r="D544">
        <v>2015</v>
      </c>
      <c r="E544" t="s">
        <v>53</v>
      </c>
      <c r="F544">
        <v>107.8</v>
      </c>
      <c r="G544" t="s">
        <v>361</v>
      </c>
      <c r="H544">
        <f>electric_vehicles_dataset[[#This Row],[Battery_Capacity_kWh]]/electric_vehicles_dataset[[#This Row],[Range_km]]</f>
        <v>0.51333333333333331</v>
      </c>
      <c r="I544">
        <v>210</v>
      </c>
      <c r="J544" t="s">
        <v>345</v>
      </c>
      <c r="K544">
        <v>9</v>
      </c>
      <c r="L544" s="1">
        <v>130380.14</v>
      </c>
      <c r="M544" s="1" t="str" cm="1">
        <f t="array" ref="M5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44" t="s">
        <v>271</v>
      </c>
      <c r="O544" t="s">
        <v>121</v>
      </c>
      <c r="P544" s="2" t="s">
        <v>398</v>
      </c>
      <c r="Q544">
        <v>5</v>
      </c>
      <c r="R544" t="s">
        <v>392</v>
      </c>
      <c r="S544" s="1">
        <f>electric_vehicles_dataset[[#This Row],[Units_Sold_2024]]*electric_vehicles_dataset[[#This Row],[Price_USD]]</f>
        <v>1317230554.4200001</v>
      </c>
      <c r="T544">
        <v>5</v>
      </c>
      <c r="U544">
        <v>10103</v>
      </c>
      <c r="V544">
        <v>4</v>
      </c>
    </row>
    <row r="545" spans="1:22" x14ac:dyDescent="0.35">
      <c r="A545">
        <v>544</v>
      </c>
      <c r="B545" t="s">
        <v>71</v>
      </c>
      <c r="C545" t="s">
        <v>255</v>
      </c>
      <c r="D545">
        <v>2015</v>
      </c>
      <c r="E545" t="s">
        <v>84</v>
      </c>
      <c r="F545">
        <v>120.4</v>
      </c>
      <c r="G545" t="s">
        <v>352</v>
      </c>
      <c r="H545">
        <f>electric_vehicles_dataset[[#This Row],[Battery_Capacity_kWh]]/electric_vehicles_dataset[[#This Row],[Range_km]]</f>
        <v>0.24471544715447155</v>
      </c>
      <c r="I545">
        <v>492</v>
      </c>
      <c r="J545" t="s">
        <v>359</v>
      </c>
      <c r="K545">
        <v>11</v>
      </c>
      <c r="L545" s="1">
        <v>74957.36</v>
      </c>
      <c r="M545" s="1" t="str" cm="1">
        <f t="array" ref="M54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45" t="s">
        <v>100</v>
      </c>
      <c r="O545" t="s">
        <v>63</v>
      </c>
      <c r="P545" s="2" t="s">
        <v>389</v>
      </c>
      <c r="Q545">
        <v>5</v>
      </c>
      <c r="R545" t="s">
        <v>392</v>
      </c>
      <c r="S545" s="1">
        <f>electric_vehicles_dataset[[#This Row],[Units_Sold_2024]]*electric_vehicles_dataset[[#This Row],[Price_USD]]</f>
        <v>471931538.56</v>
      </c>
      <c r="T545">
        <v>4</v>
      </c>
      <c r="U545">
        <v>6296</v>
      </c>
      <c r="V545">
        <v>5</v>
      </c>
    </row>
    <row r="546" spans="1:22" x14ac:dyDescent="0.35">
      <c r="A546">
        <v>545</v>
      </c>
      <c r="B546" t="s">
        <v>68</v>
      </c>
      <c r="C546" t="s">
        <v>103</v>
      </c>
      <c r="D546">
        <v>2018</v>
      </c>
      <c r="E546" t="s">
        <v>53</v>
      </c>
      <c r="F546">
        <v>32.6</v>
      </c>
      <c r="G546" t="s">
        <v>357</v>
      </c>
      <c r="H546">
        <f>electric_vehicles_dataset[[#This Row],[Battery_Capacity_kWh]]/electric_vehicles_dataset[[#This Row],[Range_km]]</f>
        <v>6.1859582542694497E-2</v>
      </c>
      <c r="I546">
        <v>527</v>
      </c>
      <c r="J546" t="s">
        <v>85</v>
      </c>
      <c r="K546">
        <v>9</v>
      </c>
      <c r="L546" s="1">
        <v>35281.5</v>
      </c>
      <c r="M546" s="1" t="str" cm="1">
        <f t="array" ref="M5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46" t="s">
        <v>246</v>
      </c>
      <c r="O546" t="s">
        <v>93</v>
      </c>
      <c r="P546" s="2" t="s">
        <v>389</v>
      </c>
      <c r="Q546">
        <v>2</v>
      </c>
      <c r="R546" t="s">
        <v>391</v>
      </c>
      <c r="S546" s="1">
        <f>electric_vehicles_dataset[[#This Row],[Units_Sold_2024]]*electric_vehicles_dataset[[#This Row],[Price_USD]]</f>
        <v>626246625</v>
      </c>
      <c r="T546">
        <v>3</v>
      </c>
      <c r="U546">
        <v>17750</v>
      </c>
      <c r="V546">
        <v>4</v>
      </c>
    </row>
    <row r="547" spans="1:22" x14ac:dyDescent="0.35">
      <c r="A547">
        <v>546</v>
      </c>
      <c r="B547" t="s">
        <v>222</v>
      </c>
      <c r="C547" t="s">
        <v>223</v>
      </c>
      <c r="D547">
        <v>2018</v>
      </c>
      <c r="E547" t="s">
        <v>31</v>
      </c>
      <c r="F547">
        <v>33.799999999999997</v>
      </c>
      <c r="G547" t="s">
        <v>357</v>
      </c>
      <c r="H547">
        <f>electric_vehicles_dataset[[#This Row],[Battery_Capacity_kWh]]/electric_vehicles_dataset[[#This Row],[Range_km]]</f>
        <v>0.12754716981132075</v>
      </c>
      <c r="I547">
        <v>265</v>
      </c>
      <c r="J547" t="s">
        <v>85</v>
      </c>
      <c r="K547">
        <v>1</v>
      </c>
      <c r="L547" s="1">
        <v>108479.13</v>
      </c>
      <c r="M547" s="1" t="str" cm="1">
        <f t="array" ref="M5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47" t="s">
        <v>22</v>
      </c>
      <c r="O547" t="s">
        <v>110</v>
      </c>
      <c r="P547" s="2" t="s">
        <v>394</v>
      </c>
      <c r="Q547">
        <v>1</v>
      </c>
      <c r="R547" t="s">
        <v>391</v>
      </c>
      <c r="S547" s="1">
        <f>electric_vehicles_dataset[[#This Row],[Units_Sold_2024]]*electric_vehicles_dataset[[#This Row],[Price_USD]]</f>
        <v>1311512681.7</v>
      </c>
      <c r="T547">
        <v>5</v>
      </c>
      <c r="U547">
        <v>12090</v>
      </c>
      <c r="V547">
        <v>3</v>
      </c>
    </row>
    <row r="548" spans="1:22" x14ac:dyDescent="0.35">
      <c r="A548">
        <v>547</v>
      </c>
      <c r="B548" t="s">
        <v>29</v>
      </c>
      <c r="C548" t="s">
        <v>197</v>
      </c>
      <c r="D548">
        <v>2021</v>
      </c>
      <c r="E548" t="s">
        <v>133</v>
      </c>
      <c r="F548">
        <v>119.8</v>
      </c>
      <c r="G548" t="s">
        <v>361</v>
      </c>
      <c r="H548">
        <f>electric_vehicles_dataset[[#This Row],[Battery_Capacity_kWh]]/electric_vehicles_dataset[[#This Row],[Range_km]]</f>
        <v>0.33746478873239438</v>
      </c>
      <c r="I548">
        <v>355</v>
      </c>
      <c r="J548" t="s">
        <v>48</v>
      </c>
      <c r="K548">
        <v>9</v>
      </c>
      <c r="L548" s="1">
        <v>124951.17</v>
      </c>
      <c r="M548" s="1" t="str" cm="1">
        <f t="array" ref="M54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48" t="s">
        <v>77</v>
      </c>
      <c r="O548" t="s">
        <v>182</v>
      </c>
      <c r="P548" s="2" t="s">
        <v>394</v>
      </c>
      <c r="Q548">
        <v>0</v>
      </c>
      <c r="R548" t="s">
        <v>390</v>
      </c>
      <c r="S548" s="1">
        <f>electric_vehicles_dataset[[#This Row],[Units_Sold_2024]]*electric_vehicles_dataset[[#This Row],[Price_USD]]</f>
        <v>1590878296.4400001</v>
      </c>
      <c r="T548">
        <v>5</v>
      </c>
      <c r="U548">
        <v>12732</v>
      </c>
      <c r="V548">
        <v>5</v>
      </c>
    </row>
    <row r="549" spans="1:22" x14ac:dyDescent="0.35">
      <c r="A549">
        <v>548</v>
      </c>
      <c r="B549" t="s">
        <v>193</v>
      </c>
      <c r="C549" t="s">
        <v>203</v>
      </c>
      <c r="D549">
        <v>2017</v>
      </c>
      <c r="E549" t="s">
        <v>104</v>
      </c>
      <c r="F549">
        <v>42.8</v>
      </c>
      <c r="G549" t="s">
        <v>348</v>
      </c>
      <c r="H549">
        <f>electric_vehicles_dataset[[#This Row],[Battery_Capacity_kWh]]/electric_vehicles_dataset[[#This Row],[Range_km]]</f>
        <v>8.7525562372188129E-2</v>
      </c>
      <c r="I549">
        <v>489</v>
      </c>
      <c r="J549" t="s">
        <v>38</v>
      </c>
      <c r="K549">
        <v>12</v>
      </c>
      <c r="L549" s="1">
        <v>109964.47</v>
      </c>
      <c r="M549" s="1" t="str" cm="1">
        <f t="array" ref="M54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49" t="s">
        <v>228</v>
      </c>
      <c r="O549" t="s">
        <v>50</v>
      </c>
      <c r="P549" s="2" t="s">
        <v>396</v>
      </c>
      <c r="Q549">
        <v>0</v>
      </c>
      <c r="R549" t="s">
        <v>390</v>
      </c>
      <c r="S549" s="1">
        <f>electric_vehicles_dataset[[#This Row],[Units_Sold_2024]]*electric_vehicles_dataset[[#This Row],[Price_USD]]</f>
        <v>837489403.51999998</v>
      </c>
      <c r="T549">
        <v>5</v>
      </c>
      <c r="U549">
        <v>7616</v>
      </c>
      <c r="V549">
        <v>5</v>
      </c>
    </row>
    <row r="550" spans="1:22" x14ac:dyDescent="0.35">
      <c r="A550">
        <v>549</v>
      </c>
      <c r="B550" t="s">
        <v>41</v>
      </c>
      <c r="C550" t="s">
        <v>380</v>
      </c>
      <c r="D550">
        <v>2018</v>
      </c>
      <c r="E550" t="s">
        <v>84</v>
      </c>
      <c r="F550">
        <v>100.1</v>
      </c>
      <c r="G550" t="s">
        <v>361</v>
      </c>
      <c r="H550">
        <f>electric_vehicles_dataset[[#This Row],[Battery_Capacity_kWh]]/electric_vehicles_dataset[[#This Row],[Range_km]]</f>
        <v>0.17906976744186046</v>
      </c>
      <c r="I550">
        <v>559</v>
      </c>
      <c r="J550" t="s">
        <v>48</v>
      </c>
      <c r="K550">
        <v>4</v>
      </c>
      <c r="L550" s="1">
        <v>118549.59</v>
      </c>
      <c r="M550" s="1" t="str" cm="1">
        <f t="array" ref="M55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50" t="s">
        <v>62</v>
      </c>
      <c r="O550" t="s">
        <v>78</v>
      </c>
      <c r="P550" s="2" t="s">
        <v>389</v>
      </c>
      <c r="Q550">
        <v>0</v>
      </c>
      <c r="R550" t="s">
        <v>390</v>
      </c>
      <c r="S550" s="1">
        <f>electric_vehicles_dataset[[#This Row],[Units_Sold_2024]]*electric_vehicles_dataset[[#This Row],[Price_USD]]</f>
        <v>589072912.71000004</v>
      </c>
      <c r="T550">
        <v>3</v>
      </c>
      <c r="U550">
        <v>4969</v>
      </c>
      <c r="V550">
        <v>4</v>
      </c>
    </row>
    <row r="551" spans="1:22" x14ac:dyDescent="0.35">
      <c r="A551">
        <v>550</v>
      </c>
      <c r="B551" t="s">
        <v>192</v>
      </c>
      <c r="C551" t="s">
        <v>366</v>
      </c>
      <c r="D551">
        <v>2015</v>
      </c>
      <c r="E551" t="s">
        <v>31</v>
      </c>
      <c r="F551">
        <v>140</v>
      </c>
      <c r="G551" t="s">
        <v>352</v>
      </c>
      <c r="H551">
        <f>electric_vehicles_dataset[[#This Row],[Battery_Capacity_kWh]]/electric_vehicles_dataset[[#This Row],[Range_km]]</f>
        <v>0.34482758620689657</v>
      </c>
      <c r="I551">
        <v>406</v>
      </c>
      <c r="J551" t="s">
        <v>345</v>
      </c>
      <c r="K551">
        <v>9</v>
      </c>
      <c r="L551" s="1">
        <v>69442.78</v>
      </c>
      <c r="M551" s="1" t="str" cm="1">
        <f t="array" ref="M55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51" t="s">
        <v>49</v>
      </c>
      <c r="O551" t="s">
        <v>89</v>
      </c>
      <c r="P551" s="2" t="s">
        <v>389</v>
      </c>
      <c r="Q551">
        <v>0</v>
      </c>
      <c r="R551" t="s">
        <v>390</v>
      </c>
      <c r="S551" s="1">
        <f>electric_vehicles_dataset[[#This Row],[Units_Sold_2024]]*electric_vehicles_dataset[[#This Row],[Price_USD]]</f>
        <v>656373156.55999994</v>
      </c>
      <c r="T551">
        <v>5</v>
      </c>
      <c r="U551">
        <v>9452</v>
      </c>
      <c r="V551">
        <v>3</v>
      </c>
    </row>
    <row r="552" spans="1:22" x14ac:dyDescent="0.35">
      <c r="A552">
        <v>551</v>
      </c>
      <c r="B552" t="s">
        <v>128</v>
      </c>
      <c r="C552" t="s">
        <v>129</v>
      </c>
      <c r="D552">
        <v>2020</v>
      </c>
      <c r="E552" t="s">
        <v>31</v>
      </c>
      <c r="F552">
        <v>46.8</v>
      </c>
      <c r="G552" t="s">
        <v>348</v>
      </c>
      <c r="H552">
        <f>electric_vehicles_dataset[[#This Row],[Battery_Capacity_kWh]]/electric_vehicles_dataset[[#This Row],[Range_km]]</f>
        <v>0.36850393700787398</v>
      </c>
      <c r="I552">
        <v>127</v>
      </c>
      <c r="J552" t="s">
        <v>353</v>
      </c>
      <c r="K552">
        <v>10</v>
      </c>
      <c r="L552" s="1">
        <v>113553.37</v>
      </c>
      <c r="M552" s="1" t="str" cm="1">
        <f t="array" ref="M55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52" t="s">
        <v>102</v>
      </c>
      <c r="O552" t="s">
        <v>139</v>
      </c>
      <c r="P552" s="2" t="s">
        <v>389</v>
      </c>
      <c r="Q552">
        <v>4</v>
      </c>
      <c r="R552" t="s">
        <v>392</v>
      </c>
      <c r="S552" s="1">
        <f>electric_vehicles_dataset[[#This Row],[Units_Sold_2024]]*electric_vehicles_dataset[[#This Row],[Price_USD]]</f>
        <v>240392484.28999999</v>
      </c>
      <c r="T552">
        <v>3</v>
      </c>
      <c r="U552">
        <v>2117</v>
      </c>
      <c r="V552">
        <v>4</v>
      </c>
    </row>
    <row r="553" spans="1:22" x14ac:dyDescent="0.35">
      <c r="A553">
        <v>552</v>
      </c>
      <c r="B553" t="s">
        <v>29</v>
      </c>
      <c r="C553" t="s">
        <v>197</v>
      </c>
      <c r="D553">
        <v>2015</v>
      </c>
      <c r="E553" t="s">
        <v>73</v>
      </c>
      <c r="F553">
        <v>149</v>
      </c>
      <c r="G553" t="s">
        <v>386</v>
      </c>
      <c r="H553">
        <f>electric_vehicles_dataset[[#This Row],[Battery_Capacity_kWh]]/electric_vehicles_dataset[[#This Row],[Range_km]]</f>
        <v>0.25689655172413794</v>
      </c>
      <c r="I553">
        <v>580</v>
      </c>
      <c r="J553" t="s">
        <v>359</v>
      </c>
      <c r="K553">
        <v>2</v>
      </c>
      <c r="L553" s="1">
        <v>50841.1</v>
      </c>
      <c r="M553" s="1" t="str" cm="1">
        <f t="array" ref="M55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53" t="s">
        <v>114</v>
      </c>
      <c r="O553" t="s">
        <v>124</v>
      </c>
      <c r="P553" s="2" t="s">
        <v>389</v>
      </c>
      <c r="Q553">
        <v>0</v>
      </c>
      <c r="R553" t="s">
        <v>390</v>
      </c>
      <c r="S553" s="1">
        <f>electric_vehicles_dataset[[#This Row],[Units_Sold_2024]]*electric_vehicles_dataset[[#This Row],[Price_USD]]</f>
        <v>329043599.19999999</v>
      </c>
      <c r="T553">
        <v>3</v>
      </c>
      <c r="U553">
        <v>6472</v>
      </c>
      <c r="V553">
        <v>3</v>
      </c>
    </row>
    <row r="554" spans="1:22" x14ac:dyDescent="0.35">
      <c r="A554">
        <v>553</v>
      </c>
      <c r="B554" t="s">
        <v>222</v>
      </c>
      <c r="C554" t="s">
        <v>231</v>
      </c>
      <c r="D554">
        <v>2024</v>
      </c>
      <c r="E554" t="s">
        <v>31</v>
      </c>
      <c r="F554">
        <v>59.4</v>
      </c>
      <c r="G554" t="s">
        <v>348</v>
      </c>
      <c r="H554">
        <f>electric_vehicles_dataset[[#This Row],[Battery_Capacity_kWh]]/electric_vehicles_dataset[[#This Row],[Range_km]]</f>
        <v>0.15037974683544303</v>
      </c>
      <c r="I554">
        <v>395</v>
      </c>
      <c r="J554" t="s">
        <v>345</v>
      </c>
      <c r="K554">
        <v>12</v>
      </c>
      <c r="L554" s="1">
        <v>54168.12</v>
      </c>
      <c r="M554" s="1" t="str" cm="1">
        <f t="array" ref="M5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54" t="s">
        <v>81</v>
      </c>
      <c r="O554" t="s">
        <v>226</v>
      </c>
      <c r="P554" s="2" t="s">
        <v>395</v>
      </c>
      <c r="Q554">
        <v>0</v>
      </c>
      <c r="R554" t="s">
        <v>390</v>
      </c>
      <c r="S554" s="1">
        <f>electric_vehicles_dataset[[#This Row],[Units_Sold_2024]]*electric_vehicles_dataset[[#This Row],[Price_USD]]</f>
        <v>835489082.88</v>
      </c>
      <c r="T554">
        <v>3</v>
      </c>
      <c r="U554">
        <v>15424</v>
      </c>
      <c r="V554">
        <v>4</v>
      </c>
    </row>
    <row r="555" spans="1:22" x14ac:dyDescent="0.35">
      <c r="A555">
        <v>554</v>
      </c>
      <c r="B555" t="s">
        <v>222</v>
      </c>
      <c r="C555" t="s">
        <v>295</v>
      </c>
      <c r="D555">
        <v>2017</v>
      </c>
      <c r="E555" t="s">
        <v>26</v>
      </c>
      <c r="F555">
        <v>144</v>
      </c>
      <c r="G555" t="s">
        <v>386</v>
      </c>
      <c r="H555">
        <f>electric_vehicles_dataset[[#This Row],[Battery_Capacity_kWh]]/electric_vehicles_dataset[[#This Row],[Range_km]]</f>
        <v>0.41618497109826591</v>
      </c>
      <c r="I555">
        <v>346</v>
      </c>
      <c r="J555" t="s">
        <v>76</v>
      </c>
      <c r="K555">
        <v>9</v>
      </c>
      <c r="L555" s="1">
        <v>81287.67</v>
      </c>
      <c r="M555" s="1" t="str" cm="1">
        <f t="array" ref="M55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55" t="s">
        <v>143</v>
      </c>
      <c r="O555" t="s">
        <v>111</v>
      </c>
      <c r="P555" s="2" t="s">
        <v>389</v>
      </c>
      <c r="Q555">
        <v>1</v>
      </c>
      <c r="R555" t="s">
        <v>391</v>
      </c>
      <c r="S555" s="1">
        <f>electric_vehicles_dataset[[#This Row],[Units_Sold_2024]]*electric_vehicles_dataset[[#This Row],[Price_USD]]</f>
        <v>1234922282.6399999</v>
      </c>
      <c r="T555">
        <v>4</v>
      </c>
      <c r="U555">
        <v>15192</v>
      </c>
      <c r="V555">
        <v>4</v>
      </c>
    </row>
    <row r="556" spans="1:22" x14ac:dyDescent="0.35">
      <c r="A556">
        <v>555</v>
      </c>
      <c r="B556" t="s">
        <v>45</v>
      </c>
      <c r="C556" t="s">
        <v>283</v>
      </c>
      <c r="D556">
        <v>2021</v>
      </c>
      <c r="E556" t="s">
        <v>47</v>
      </c>
      <c r="F556">
        <v>98.8</v>
      </c>
      <c r="G556" t="s">
        <v>350</v>
      </c>
      <c r="H556">
        <f>electric_vehicles_dataset[[#This Row],[Battery_Capacity_kWh]]/electric_vehicles_dataset[[#This Row],[Range_km]]</f>
        <v>0.72647058823529409</v>
      </c>
      <c r="I556">
        <v>136</v>
      </c>
      <c r="J556" t="s">
        <v>38</v>
      </c>
      <c r="K556">
        <v>2</v>
      </c>
      <c r="L556" s="1">
        <v>86311.02</v>
      </c>
      <c r="M556" s="1" t="str" cm="1">
        <f t="array" ref="M5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56" t="s">
        <v>240</v>
      </c>
      <c r="O556" t="s">
        <v>63</v>
      </c>
      <c r="P556" s="2" t="s">
        <v>389</v>
      </c>
      <c r="Q556">
        <v>1</v>
      </c>
      <c r="R556" t="s">
        <v>391</v>
      </c>
      <c r="S556" s="1">
        <f>electric_vehicles_dataset[[#This Row],[Units_Sold_2024]]*electric_vehicles_dataset[[#This Row],[Price_USD]]</f>
        <v>1389866355.0600002</v>
      </c>
      <c r="T556">
        <v>4</v>
      </c>
      <c r="U556">
        <v>16103</v>
      </c>
      <c r="V556">
        <v>4</v>
      </c>
    </row>
    <row r="557" spans="1:22" x14ac:dyDescent="0.35">
      <c r="A557">
        <v>556</v>
      </c>
      <c r="B557" t="s">
        <v>125</v>
      </c>
      <c r="C557" t="s">
        <v>126</v>
      </c>
      <c r="D557">
        <v>2020</v>
      </c>
      <c r="E557" t="s">
        <v>42</v>
      </c>
      <c r="F557">
        <v>83.6</v>
      </c>
      <c r="G557" t="s">
        <v>350</v>
      </c>
      <c r="H557">
        <f>electric_vehicles_dataset[[#This Row],[Battery_Capacity_kWh]]/electric_vehicles_dataset[[#This Row],[Range_km]]</f>
        <v>0.1953271028037383</v>
      </c>
      <c r="I557">
        <v>428</v>
      </c>
      <c r="J557" t="s">
        <v>364</v>
      </c>
      <c r="K557">
        <v>5</v>
      </c>
      <c r="L557" s="1">
        <v>34659.230000000003</v>
      </c>
      <c r="M557" s="1" t="str" cm="1">
        <f t="array" ref="M55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57" t="s">
        <v>43</v>
      </c>
      <c r="O557" t="s">
        <v>110</v>
      </c>
      <c r="P557" s="2" t="s">
        <v>394</v>
      </c>
      <c r="Q557">
        <v>1</v>
      </c>
      <c r="R557" t="s">
        <v>391</v>
      </c>
      <c r="S557" s="1">
        <f>electric_vehicles_dataset[[#This Row],[Units_Sold_2024]]*electric_vehicles_dataset[[#This Row],[Price_USD]]</f>
        <v>395877725.06000006</v>
      </c>
      <c r="T557">
        <v>4</v>
      </c>
      <c r="U557">
        <v>11422</v>
      </c>
      <c r="V557">
        <v>5</v>
      </c>
    </row>
    <row r="558" spans="1:22" x14ac:dyDescent="0.35">
      <c r="A558">
        <v>557</v>
      </c>
      <c r="B558" t="s">
        <v>215</v>
      </c>
      <c r="C558" t="s">
        <v>377</v>
      </c>
      <c r="D558">
        <v>2025</v>
      </c>
      <c r="E558" t="s">
        <v>17</v>
      </c>
      <c r="F558">
        <v>67.900000000000006</v>
      </c>
      <c r="G558" t="s">
        <v>351</v>
      </c>
      <c r="H558">
        <f>electric_vehicles_dataset[[#This Row],[Battery_Capacity_kWh]]/electric_vehicles_dataset[[#This Row],[Range_km]]</f>
        <v>0.52635658914728689</v>
      </c>
      <c r="I558">
        <v>129</v>
      </c>
      <c r="J558" t="s">
        <v>34</v>
      </c>
      <c r="K558">
        <v>11</v>
      </c>
      <c r="L558" s="1">
        <v>118279.7</v>
      </c>
      <c r="M558" s="1" t="str" cm="1">
        <f t="array" ref="M55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58" t="s">
        <v>100</v>
      </c>
      <c r="O558" t="s">
        <v>226</v>
      </c>
      <c r="P558" s="2" t="s">
        <v>395</v>
      </c>
      <c r="Q558">
        <v>1</v>
      </c>
      <c r="R558" t="s">
        <v>391</v>
      </c>
      <c r="S558" s="1">
        <f>electric_vehicles_dataset[[#This Row],[Units_Sold_2024]]*electric_vehicles_dataset[[#This Row],[Price_USD]]</f>
        <v>109408722.5</v>
      </c>
      <c r="T558">
        <v>5</v>
      </c>
      <c r="U558">
        <v>925</v>
      </c>
      <c r="V558">
        <v>5</v>
      </c>
    </row>
    <row r="559" spans="1:22" x14ac:dyDescent="0.35">
      <c r="A559">
        <v>558</v>
      </c>
      <c r="B559" t="s">
        <v>68</v>
      </c>
      <c r="C559" t="s">
        <v>289</v>
      </c>
      <c r="D559">
        <v>2017</v>
      </c>
      <c r="E559" t="s">
        <v>133</v>
      </c>
      <c r="F559">
        <v>98.7</v>
      </c>
      <c r="G559" t="s">
        <v>350</v>
      </c>
      <c r="H559">
        <f>electric_vehicles_dataset[[#This Row],[Battery_Capacity_kWh]]/electric_vehicles_dataset[[#This Row],[Range_km]]</f>
        <v>0.1692967409948542</v>
      </c>
      <c r="I559">
        <v>583</v>
      </c>
      <c r="J559" t="s">
        <v>18</v>
      </c>
      <c r="K559">
        <v>3</v>
      </c>
      <c r="L559" s="1">
        <v>102257.92</v>
      </c>
      <c r="M559" s="1" t="str" cm="1">
        <f t="array" ref="M55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59" t="s">
        <v>117</v>
      </c>
      <c r="O559" t="s">
        <v>23</v>
      </c>
      <c r="P559" s="2" t="s">
        <v>389</v>
      </c>
      <c r="Q559">
        <v>1</v>
      </c>
      <c r="R559" t="s">
        <v>391</v>
      </c>
      <c r="S559" s="1">
        <f>electric_vehicles_dataset[[#This Row],[Units_Sold_2024]]*electric_vehicles_dataset[[#This Row],[Price_USD]]</f>
        <v>1332420697.5999999</v>
      </c>
      <c r="T559">
        <v>4</v>
      </c>
      <c r="U559">
        <v>13030</v>
      </c>
      <c r="V559">
        <v>5</v>
      </c>
    </row>
    <row r="560" spans="1:22" x14ac:dyDescent="0.35">
      <c r="A560">
        <v>559</v>
      </c>
      <c r="B560" t="s">
        <v>41</v>
      </c>
      <c r="C560" t="s">
        <v>380</v>
      </c>
      <c r="D560">
        <v>2023</v>
      </c>
      <c r="E560" t="s">
        <v>53</v>
      </c>
      <c r="F560">
        <v>44.5</v>
      </c>
      <c r="G560" t="s">
        <v>348</v>
      </c>
      <c r="H560">
        <f>electric_vehicles_dataset[[#This Row],[Battery_Capacity_kWh]]/electric_vehicles_dataset[[#This Row],[Range_km]]</f>
        <v>0.14082278481012658</v>
      </c>
      <c r="I560">
        <v>316</v>
      </c>
      <c r="J560" t="s">
        <v>85</v>
      </c>
      <c r="K560">
        <v>10</v>
      </c>
      <c r="L560" s="1">
        <v>60344.55</v>
      </c>
      <c r="M560" s="1" t="str" cm="1">
        <f t="array" ref="M56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60" t="s">
        <v>127</v>
      </c>
      <c r="O560" t="s">
        <v>206</v>
      </c>
      <c r="P560" s="2" t="s">
        <v>394</v>
      </c>
      <c r="Q560">
        <v>5</v>
      </c>
      <c r="R560" t="s">
        <v>392</v>
      </c>
      <c r="S560" s="1">
        <f>electric_vehicles_dataset[[#This Row],[Units_Sold_2024]]*electric_vehicles_dataset[[#This Row],[Price_USD]]</f>
        <v>813866945.85000002</v>
      </c>
      <c r="T560">
        <v>5</v>
      </c>
      <c r="U560">
        <v>13487</v>
      </c>
      <c r="V560">
        <v>5</v>
      </c>
    </row>
    <row r="561" spans="1:22" x14ac:dyDescent="0.35">
      <c r="A561">
        <v>560</v>
      </c>
      <c r="B561" t="s">
        <v>200</v>
      </c>
      <c r="C561" t="s">
        <v>201</v>
      </c>
      <c r="D561">
        <v>2025</v>
      </c>
      <c r="E561" t="s">
        <v>90</v>
      </c>
      <c r="F561">
        <v>121</v>
      </c>
      <c r="G561" t="s">
        <v>352</v>
      </c>
      <c r="H561">
        <f>electric_vehicles_dataset[[#This Row],[Battery_Capacity_kWh]]/electric_vehicles_dataset[[#This Row],[Range_km]]</f>
        <v>0.43840579710144928</v>
      </c>
      <c r="I561">
        <v>276</v>
      </c>
      <c r="J561" t="s">
        <v>18</v>
      </c>
      <c r="K561">
        <v>4</v>
      </c>
      <c r="L561" s="1">
        <v>55143.07</v>
      </c>
      <c r="M561" s="1" t="str" cm="1">
        <f t="array" ref="M56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61" t="s">
        <v>277</v>
      </c>
      <c r="O561" t="s">
        <v>164</v>
      </c>
      <c r="P561" s="2" t="s">
        <v>394</v>
      </c>
      <c r="Q561">
        <v>0</v>
      </c>
      <c r="R561" t="s">
        <v>390</v>
      </c>
      <c r="S561" s="1">
        <f>electric_vehicles_dataset[[#This Row],[Units_Sold_2024]]*electric_vehicles_dataset[[#This Row],[Price_USD]]</f>
        <v>175024104.18000001</v>
      </c>
      <c r="T561">
        <v>3</v>
      </c>
      <c r="U561">
        <v>3174</v>
      </c>
      <c r="V561">
        <v>3</v>
      </c>
    </row>
    <row r="562" spans="1:22" x14ac:dyDescent="0.35">
      <c r="A562">
        <v>561</v>
      </c>
      <c r="B562" t="s">
        <v>193</v>
      </c>
      <c r="C562" t="s">
        <v>203</v>
      </c>
      <c r="D562">
        <v>2021</v>
      </c>
      <c r="E562" t="s">
        <v>47</v>
      </c>
      <c r="F562">
        <v>74.2</v>
      </c>
      <c r="G562" t="s">
        <v>351</v>
      </c>
      <c r="H562">
        <f>electric_vehicles_dataset[[#This Row],[Battery_Capacity_kWh]]/electric_vehicles_dataset[[#This Row],[Range_km]]</f>
        <v>0.30040485829959518</v>
      </c>
      <c r="I562">
        <v>247</v>
      </c>
      <c r="J562" t="s">
        <v>358</v>
      </c>
      <c r="K562">
        <v>3</v>
      </c>
      <c r="L562" s="1">
        <v>74958.17</v>
      </c>
      <c r="M562" s="1" t="str" cm="1">
        <f t="array" ref="M5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62" t="s">
        <v>66</v>
      </c>
      <c r="O562" t="s">
        <v>150</v>
      </c>
      <c r="P562" s="2" t="s">
        <v>389</v>
      </c>
      <c r="Q562">
        <v>1</v>
      </c>
      <c r="R562" t="s">
        <v>391</v>
      </c>
      <c r="S562" s="1">
        <f>electric_vehicles_dataset[[#This Row],[Units_Sold_2024]]*electric_vehicles_dataset[[#This Row],[Price_USD]]</f>
        <v>522083654.05000001</v>
      </c>
      <c r="T562">
        <v>5</v>
      </c>
      <c r="U562">
        <v>6965</v>
      </c>
      <c r="V562">
        <v>3</v>
      </c>
    </row>
    <row r="563" spans="1:22" x14ac:dyDescent="0.35">
      <c r="A563">
        <v>562</v>
      </c>
      <c r="B563" t="s">
        <v>112</v>
      </c>
      <c r="C563" t="s">
        <v>138</v>
      </c>
      <c r="D563">
        <v>2017</v>
      </c>
      <c r="E563" t="s">
        <v>183</v>
      </c>
      <c r="F563">
        <v>118.7</v>
      </c>
      <c r="G563" t="s">
        <v>361</v>
      </c>
      <c r="H563">
        <f>electric_vehicles_dataset[[#This Row],[Battery_Capacity_kWh]]/electric_vehicles_dataset[[#This Row],[Range_km]]</f>
        <v>0.51163793103448274</v>
      </c>
      <c r="I563">
        <v>232</v>
      </c>
      <c r="J563" t="s">
        <v>358</v>
      </c>
      <c r="K563">
        <v>6</v>
      </c>
      <c r="L563" s="1">
        <v>139556.57</v>
      </c>
      <c r="M563" s="1" t="str" cm="1">
        <f t="array" ref="M5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63" t="s">
        <v>175</v>
      </c>
      <c r="O563" t="s">
        <v>23</v>
      </c>
      <c r="P563" s="2" t="s">
        <v>389</v>
      </c>
      <c r="Q563">
        <v>1</v>
      </c>
      <c r="R563" t="s">
        <v>391</v>
      </c>
      <c r="S563" s="1">
        <f>electric_vehicles_dataset[[#This Row],[Units_Sold_2024]]*electric_vehicles_dataset[[#This Row],[Price_USD]]</f>
        <v>1564568706.27</v>
      </c>
      <c r="T563">
        <v>3</v>
      </c>
      <c r="U563">
        <v>11211</v>
      </c>
      <c r="V563">
        <v>3</v>
      </c>
    </row>
    <row r="564" spans="1:22" x14ac:dyDescent="0.35">
      <c r="A564">
        <v>563</v>
      </c>
      <c r="B564" t="s">
        <v>41</v>
      </c>
      <c r="C564" t="s">
        <v>374</v>
      </c>
      <c r="D564">
        <v>2022</v>
      </c>
      <c r="E564" t="s">
        <v>130</v>
      </c>
      <c r="F564">
        <v>107.5</v>
      </c>
      <c r="G564" t="s">
        <v>361</v>
      </c>
      <c r="H564">
        <f>electric_vehicles_dataset[[#This Row],[Battery_Capacity_kWh]]/electric_vehicles_dataset[[#This Row],[Range_km]]</f>
        <v>0.71192052980132448</v>
      </c>
      <c r="I564">
        <v>151</v>
      </c>
      <c r="J564" t="s">
        <v>76</v>
      </c>
      <c r="K564">
        <v>1</v>
      </c>
      <c r="L564" s="1">
        <v>120215.84</v>
      </c>
      <c r="M564" s="1" t="str" cm="1">
        <f t="array" ref="M5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64" t="s">
        <v>22</v>
      </c>
      <c r="O564" t="s">
        <v>167</v>
      </c>
      <c r="P564" s="2" t="s">
        <v>394</v>
      </c>
      <c r="Q564">
        <v>0</v>
      </c>
      <c r="R564" t="s">
        <v>390</v>
      </c>
      <c r="S564" s="1">
        <f>electric_vehicles_dataset[[#This Row],[Units_Sold_2024]]*electric_vehicles_dataset[[#This Row],[Price_USD]]</f>
        <v>1479736774.5599999</v>
      </c>
      <c r="T564">
        <v>3</v>
      </c>
      <c r="U564">
        <v>12309</v>
      </c>
      <c r="V564">
        <v>5</v>
      </c>
    </row>
    <row r="565" spans="1:22" x14ac:dyDescent="0.35">
      <c r="A565">
        <v>564</v>
      </c>
      <c r="B565" t="s">
        <v>207</v>
      </c>
      <c r="C565" t="s">
        <v>287</v>
      </c>
      <c r="D565">
        <v>2022</v>
      </c>
      <c r="E565" t="s">
        <v>130</v>
      </c>
      <c r="F565">
        <v>118.4</v>
      </c>
      <c r="G565" t="s">
        <v>361</v>
      </c>
      <c r="H565">
        <f>electric_vehicles_dataset[[#This Row],[Battery_Capacity_kWh]]/electric_vehicles_dataset[[#This Row],[Range_km]]</f>
        <v>0.28948655256723715</v>
      </c>
      <c r="I565">
        <v>409</v>
      </c>
      <c r="J565" t="s">
        <v>358</v>
      </c>
      <c r="K565">
        <v>4</v>
      </c>
      <c r="L565" s="1">
        <v>111823.2</v>
      </c>
      <c r="M565" s="1" t="str" cm="1">
        <f t="array" ref="M56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65" t="s">
        <v>219</v>
      </c>
      <c r="O565" t="s">
        <v>89</v>
      </c>
      <c r="P565" s="2" t="s">
        <v>389</v>
      </c>
      <c r="Q565">
        <v>2</v>
      </c>
      <c r="R565" t="s">
        <v>391</v>
      </c>
      <c r="S565" s="1">
        <f>electric_vehicles_dataset[[#This Row],[Units_Sold_2024]]*electric_vehicles_dataset[[#This Row],[Price_USD]]</f>
        <v>1304529451.2</v>
      </c>
      <c r="T565">
        <v>3</v>
      </c>
      <c r="U565">
        <v>11666</v>
      </c>
      <c r="V565">
        <v>4</v>
      </c>
    </row>
    <row r="566" spans="1:22" x14ac:dyDescent="0.35">
      <c r="A566">
        <v>565</v>
      </c>
      <c r="B566" t="s">
        <v>74</v>
      </c>
      <c r="C566" t="s">
        <v>75</v>
      </c>
      <c r="D566">
        <v>2015</v>
      </c>
      <c r="E566" t="s">
        <v>130</v>
      </c>
      <c r="F566">
        <v>133.19999999999999</v>
      </c>
      <c r="G566" t="s">
        <v>352</v>
      </c>
      <c r="H566">
        <f>electric_vehicles_dataset[[#This Row],[Battery_Capacity_kWh]]/electric_vehicles_dataset[[#This Row],[Range_km]]</f>
        <v>0.43672131147540982</v>
      </c>
      <c r="I566">
        <v>305</v>
      </c>
      <c r="J566" t="s">
        <v>18</v>
      </c>
      <c r="K566">
        <v>1</v>
      </c>
      <c r="L566" s="1">
        <v>44747.34</v>
      </c>
      <c r="M566" s="1" t="str" cm="1">
        <f t="array" ref="M56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66" t="s">
        <v>212</v>
      </c>
      <c r="O566" t="s">
        <v>134</v>
      </c>
      <c r="P566" s="2" t="s">
        <v>389</v>
      </c>
      <c r="Q566">
        <v>1</v>
      </c>
      <c r="R566" t="s">
        <v>391</v>
      </c>
      <c r="S566" s="1">
        <f>electric_vehicles_dataset[[#This Row],[Units_Sold_2024]]*electric_vehicles_dataset[[#This Row],[Price_USD]]</f>
        <v>696760831.13999999</v>
      </c>
      <c r="T566">
        <v>5</v>
      </c>
      <c r="U566">
        <v>15571</v>
      </c>
      <c r="V566">
        <v>5</v>
      </c>
    </row>
    <row r="567" spans="1:22" x14ac:dyDescent="0.35">
      <c r="A567">
        <v>566</v>
      </c>
      <c r="B567" t="s">
        <v>125</v>
      </c>
      <c r="C567" t="s">
        <v>291</v>
      </c>
      <c r="D567">
        <v>2015</v>
      </c>
      <c r="E567" t="s">
        <v>73</v>
      </c>
      <c r="F567">
        <v>144.5</v>
      </c>
      <c r="G567" t="s">
        <v>386</v>
      </c>
      <c r="H567">
        <f>electric_vehicles_dataset[[#This Row],[Battery_Capacity_kWh]]/electric_vehicles_dataset[[#This Row],[Range_km]]</f>
        <v>0.28003875968992248</v>
      </c>
      <c r="I567">
        <v>516</v>
      </c>
      <c r="J567" t="s">
        <v>38</v>
      </c>
      <c r="K567">
        <v>1</v>
      </c>
      <c r="L567" s="1">
        <v>73224.67</v>
      </c>
      <c r="M567" s="1" t="str" cm="1">
        <f t="array" ref="M56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67" t="s">
        <v>210</v>
      </c>
      <c r="O567" t="s">
        <v>89</v>
      </c>
      <c r="P567" s="2" t="s">
        <v>389</v>
      </c>
      <c r="Q567">
        <v>1</v>
      </c>
      <c r="R567" t="s">
        <v>391</v>
      </c>
      <c r="S567" s="1">
        <f>electric_vehicles_dataset[[#This Row],[Units_Sold_2024]]*electric_vehicles_dataset[[#This Row],[Price_USD]]</f>
        <v>195216970.22</v>
      </c>
      <c r="T567">
        <v>5</v>
      </c>
      <c r="U567">
        <v>2666</v>
      </c>
      <c r="V567">
        <v>4</v>
      </c>
    </row>
    <row r="568" spans="1:22" x14ac:dyDescent="0.35">
      <c r="A568">
        <v>567</v>
      </c>
      <c r="B568" t="s">
        <v>222</v>
      </c>
      <c r="C568" t="s">
        <v>295</v>
      </c>
      <c r="D568">
        <v>2025</v>
      </c>
      <c r="E568" t="s">
        <v>26</v>
      </c>
      <c r="F568">
        <v>110.9</v>
      </c>
      <c r="G568" t="s">
        <v>361</v>
      </c>
      <c r="H568">
        <f>electric_vehicles_dataset[[#This Row],[Battery_Capacity_kWh]]/electric_vehicles_dataset[[#This Row],[Range_km]]</f>
        <v>0.7344370860927153</v>
      </c>
      <c r="I568">
        <v>151</v>
      </c>
      <c r="J568" t="s">
        <v>34</v>
      </c>
      <c r="K568">
        <v>4</v>
      </c>
      <c r="L568" s="1">
        <v>53409.23</v>
      </c>
      <c r="M568" s="1" t="str" cm="1">
        <f t="array" ref="M56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68" t="s">
        <v>240</v>
      </c>
      <c r="O568" t="s">
        <v>121</v>
      </c>
      <c r="P568" s="2" t="s">
        <v>398</v>
      </c>
      <c r="Q568">
        <v>5</v>
      </c>
      <c r="R568" t="s">
        <v>392</v>
      </c>
      <c r="S568" s="1">
        <f>electric_vehicles_dataset[[#This Row],[Units_Sold_2024]]*electric_vehicles_dataset[[#This Row],[Price_USD]]</f>
        <v>527362737.02000004</v>
      </c>
      <c r="T568">
        <v>3</v>
      </c>
      <c r="U568">
        <v>9874</v>
      </c>
      <c r="V568">
        <v>5</v>
      </c>
    </row>
    <row r="569" spans="1:22" x14ac:dyDescent="0.35">
      <c r="A569">
        <v>568</v>
      </c>
      <c r="B569" t="s">
        <v>21</v>
      </c>
      <c r="C569" t="s">
        <v>363</v>
      </c>
      <c r="D569">
        <v>2017</v>
      </c>
      <c r="E569" t="s">
        <v>53</v>
      </c>
      <c r="F569">
        <v>78</v>
      </c>
      <c r="G569" t="s">
        <v>351</v>
      </c>
      <c r="H569">
        <f>electric_vehicles_dataset[[#This Row],[Battery_Capacity_kWh]]/electric_vehicles_dataset[[#This Row],[Range_km]]</f>
        <v>0.49056603773584906</v>
      </c>
      <c r="I569">
        <v>159</v>
      </c>
      <c r="J569" t="s">
        <v>356</v>
      </c>
      <c r="K569">
        <v>8</v>
      </c>
      <c r="L569" s="1">
        <v>58908.19</v>
      </c>
      <c r="M569" s="1" t="str" cm="1">
        <f t="array" ref="M56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69" t="s">
        <v>205</v>
      </c>
      <c r="O569" t="s">
        <v>23</v>
      </c>
      <c r="P569" s="2" t="s">
        <v>389</v>
      </c>
      <c r="Q569">
        <v>5</v>
      </c>
      <c r="R569" t="s">
        <v>392</v>
      </c>
      <c r="S569" s="1">
        <f>electric_vehicles_dataset[[#This Row],[Units_Sold_2024]]*electric_vehicles_dataset[[#This Row],[Price_USD]]</f>
        <v>56375137.830000006</v>
      </c>
      <c r="T569">
        <v>5</v>
      </c>
      <c r="U569">
        <v>957</v>
      </c>
      <c r="V569">
        <v>3</v>
      </c>
    </row>
    <row r="570" spans="1:22" x14ac:dyDescent="0.35">
      <c r="A570">
        <v>569</v>
      </c>
      <c r="B570" t="s">
        <v>56</v>
      </c>
      <c r="C570" t="s">
        <v>57</v>
      </c>
      <c r="D570">
        <v>2019</v>
      </c>
      <c r="E570" t="s">
        <v>31</v>
      </c>
      <c r="F570">
        <v>113.5</v>
      </c>
      <c r="G570" t="s">
        <v>361</v>
      </c>
      <c r="H570">
        <f>electric_vehicles_dataset[[#This Row],[Battery_Capacity_kWh]]/electric_vehicles_dataset[[#This Row],[Range_km]]</f>
        <v>0.25795454545454544</v>
      </c>
      <c r="I570">
        <v>440</v>
      </c>
      <c r="J570" t="s">
        <v>356</v>
      </c>
      <c r="K570">
        <v>11</v>
      </c>
      <c r="L570" s="1">
        <v>110472.15</v>
      </c>
      <c r="M570" s="1" t="str" cm="1">
        <f t="array" ref="M57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70" t="s">
        <v>117</v>
      </c>
      <c r="O570" t="s">
        <v>150</v>
      </c>
      <c r="P570" s="2" t="s">
        <v>389</v>
      </c>
      <c r="Q570">
        <v>5</v>
      </c>
      <c r="R570" t="s">
        <v>392</v>
      </c>
      <c r="S570" s="1">
        <f>electric_vehicles_dataset[[#This Row],[Units_Sold_2024]]*electric_vehicles_dataset[[#This Row],[Price_USD]]</f>
        <v>1204698795.75</v>
      </c>
      <c r="T570">
        <v>4</v>
      </c>
      <c r="U570">
        <v>10905</v>
      </c>
      <c r="V570">
        <v>3</v>
      </c>
    </row>
    <row r="571" spans="1:22" x14ac:dyDescent="0.35">
      <c r="A571">
        <v>570</v>
      </c>
      <c r="B571" t="s">
        <v>261</v>
      </c>
      <c r="C571" t="s">
        <v>370</v>
      </c>
      <c r="D571">
        <v>2016</v>
      </c>
      <c r="E571" t="s">
        <v>73</v>
      </c>
      <c r="F571">
        <v>64.599999999999994</v>
      </c>
      <c r="G571" t="s">
        <v>351</v>
      </c>
      <c r="H571">
        <f>electric_vehicles_dataset[[#This Row],[Battery_Capacity_kWh]]/electric_vehicles_dataset[[#This Row],[Range_km]]</f>
        <v>0.11413427561837455</v>
      </c>
      <c r="I571">
        <v>566</v>
      </c>
      <c r="J571" t="s">
        <v>34</v>
      </c>
      <c r="K571">
        <v>8</v>
      </c>
      <c r="L571" s="1">
        <v>124209.83</v>
      </c>
      <c r="M571" s="1" t="str" cm="1">
        <f t="array" ref="M57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71" t="s">
        <v>77</v>
      </c>
      <c r="O571" t="s">
        <v>199</v>
      </c>
      <c r="P571" s="2" t="s">
        <v>394</v>
      </c>
      <c r="Q571">
        <v>1</v>
      </c>
      <c r="R571" t="s">
        <v>391</v>
      </c>
      <c r="S571" s="1">
        <f>electric_vehicles_dataset[[#This Row],[Units_Sold_2024]]*electric_vehicles_dataset[[#This Row],[Price_USD]]</f>
        <v>362692703.60000002</v>
      </c>
      <c r="T571">
        <v>3</v>
      </c>
      <c r="U571">
        <v>2920</v>
      </c>
      <c r="V571">
        <v>4</v>
      </c>
    </row>
    <row r="572" spans="1:22" x14ac:dyDescent="0.35">
      <c r="A572">
        <v>571</v>
      </c>
      <c r="B572" t="s">
        <v>269</v>
      </c>
      <c r="C572" t="s">
        <v>329</v>
      </c>
      <c r="D572">
        <v>2016</v>
      </c>
      <c r="E572" t="s">
        <v>90</v>
      </c>
      <c r="F572">
        <v>67.8</v>
      </c>
      <c r="G572" t="s">
        <v>351</v>
      </c>
      <c r="H572">
        <f>electric_vehicles_dataset[[#This Row],[Battery_Capacity_kWh]]/electric_vehicles_dataset[[#This Row],[Range_km]]</f>
        <v>0.12649253731343282</v>
      </c>
      <c r="I572">
        <v>536</v>
      </c>
      <c r="J572" t="s">
        <v>38</v>
      </c>
      <c r="K572">
        <v>12</v>
      </c>
      <c r="L572" s="1">
        <v>99230.02</v>
      </c>
      <c r="M572" s="1" t="str" cm="1">
        <f t="array" ref="M57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72" t="s">
        <v>22</v>
      </c>
      <c r="O572" t="s">
        <v>111</v>
      </c>
      <c r="P572" s="2" t="s">
        <v>389</v>
      </c>
      <c r="Q572">
        <v>1</v>
      </c>
      <c r="R572" t="s">
        <v>391</v>
      </c>
      <c r="S572" s="1">
        <f>electric_vehicles_dataset[[#This Row],[Units_Sold_2024]]*electric_vehicles_dataset[[#This Row],[Price_USD]]</f>
        <v>1039335229.48</v>
      </c>
      <c r="T572">
        <v>4</v>
      </c>
      <c r="U572">
        <v>10474</v>
      </c>
      <c r="V572">
        <v>4</v>
      </c>
    </row>
    <row r="573" spans="1:22" x14ac:dyDescent="0.35">
      <c r="A573">
        <v>572</v>
      </c>
      <c r="B573" t="s">
        <v>74</v>
      </c>
      <c r="C573" t="s">
        <v>75</v>
      </c>
      <c r="D573">
        <v>2023</v>
      </c>
      <c r="E573" t="s">
        <v>73</v>
      </c>
      <c r="F573">
        <v>98.2</v>
      </c>
      <c r="G573" t="s">
        <v>350</v>
      </c>
      <c r="H573">
        <f>electric_vehicles_dataset[[#This Row],[Battery_Capacity_kWh]]/electric_vehicles_dataset[[#This Row],[Range_km]]</f>
        <v>0.46103286384976527</v>
      </c>
      <c r="I573">
        <v>213</v>
      </c>
      <c r="J573" t="s">
        <v>48</v>
      </c>
      <c r="K573">
        <v>5</v>
      </c>
      <c r="L573" s="1">
        <v>94595.15</v>
      </c>
      <c r="M573" s="1" t="str" cm="1">
        <f t="array" ref="M57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73" t="s">
        <v>32</v>
      </c>
      <c r="O573" t="s">
        <v>89</v>
      </c>
      <c r="P573" s="2" t="s">
        <v>389</v>
      </c>
      <c r="Q573">
        <v>1</v>
      </c>
      <c r="R573" t="s">
        <v>391</v>
      </c>
      <c r="S573" s="1">
        <f>electric_vehicles_dataset[[#This Row],[Units_Sold_2024]]*electric_vehicles_dataset[[#This Row],[Price_USD]]</f>
        <v>1412778565.25</v>
      </c>
      <c r="T573">
        <v>4</v>
      </c>
      <c r="U573">
        <v>14935</v>
      </c>
      <c r="V573">
        <v>3</v>
      </c>
    </row>
    <row r="574" spans="1:22" x14ac:dyDescent="0.35">
      <c r="A574">
        <v>573</v>
      </c>
      <c r="B574" t="s">
        <v>157</v>
      </c>
      <c r="C574" t="s">
        <v>158</v>
      </c>
      <c r="D574">
        <v>2017</v>
      </c>
      <c r="E574" t="s">
        <v>17</v>
      </c>
      <c r="F574">
        <v>106.5</v>
      </c>
      <c r="G574" t="s">
        <v>361</v>
      </c>
      <c r="H574">
        <f>electric_vehicles_dataset[[#This Row],[Battery_Capacity_kWh]]/electric_vehicles_dataset[[#This Row],[Range_km]]</f>
        <v>0.20882352941176471</v>
      </c>
      <c r="I574">
        <v>510</v>
      </c>
      <c r="J574" t="s">
        <v>27</v>
      </c>
      <c r="K574">
        <v>7</v>
      </c>
      <c r="L574" s="1">
        <v>67066.97</v>
      </c>
      <c r="M574" s="1" t="str" cm="1">
        <f t="array" ref="M5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74" t="s">
        <v>35</v>
      </c>
      <c r="O574" t="s">
        <v>147</v>
      </c>
      <c r="P574" s="2" t="s">
        <v>396</v>
      </c>
      <c r="Q574">
        <v>5</v>
      </c>
      <c r="R574" t="s">
        <v>392</v>
      </c>
      <c r="S574" s="1">
        <f>electric_vehicles_dataset[[#This Row],[Units_Sold_2024]]*electric_vehicles_dataset[[#This Row],[Price_USD]]</f>
        <v>1087826253.4000001</v>
      </c>
      <c r="T574">
        <v>3</v>
      </c>
      <c r="U574">
        <v>16220</v>
      </c>
      <c r="V574">
        <v>4</v>
      </c>
    </row>
    <row r="575" spans="1:22" x14ac:dyDescent="0.35">
      <c r="A575">
        <v>574</v>
      </c>
      <c r="B575" t="s">
        <v>215</v>
      </c>
      <c r="C575" t="s">
        <v>377</v>
      </c>
      <c r="D575">
        <v>2015</v>
      </c>
      <c r="E575" t="s">
        <v>183</v>
      </c>
      <c r="F575">
        <v>63.3</v>
      </c>
      <c r="G575" t="s">
        <v>351</v>
      </c>
      <c r="H575">
        <f>electric_vehicles_dataset[[#This Row],[Battery_Capacity_kWh]]/electric_vehicles_dataset[[#This Row],[Range_km]]</f>
        <v>0.12103250478011472</v>
      </c>
      <c r="I575">
        <v>523</v>
      </c>
      <c r="J575" t="s">
        <v>359</v>
      </c>
      <c r="K575">
        <v>10</v>
      </c>
      <c r="L575" s="1">
        <v>142131.95000000001</v>
      </c>
      <c r="M575" s="1" t="str" cm="1">
        <f t="array" ref="M5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75" t="s">
        <v>102</v>
      </c>
      <c r="O575" t="s">
        <v>67</v>
      </c>
      <c r="P575" s="2" t="s">
        <v>394</v>
      </c>
      <c r="Q575">
        <v>1</v>
      </c>
      <c r="R575" t="s">
        <v>391</v>
      </c>
      <c r="S575" s="1">
        <f>electric_vehicles_dataset[[#This Row],[Units_Sold_2024]]*electric_vehicles_dataset[[#This Row],[Price_USD]]</f>
        <v>741360251.20000005</v>
      </c>
      <c r="T575">
        <v>4</v>
      </c>
      <c r="U575">
        <v>5216</v>
      </c>
      <c r="V575">
        <v>3</v>
      </c>
    </row>
    <row r="576" spans="1:22" x14ac:dyDescent="0.35">
      <c r="A576">
        <v>575</v>
      </c>
      <c r="B576" t="s">
        <v>21</v>
      </c>
      <c r="C576" t="s">
        <v>363</v>
      </c>
      <c r="D576">
        <v>2020</v>
      </c>
      <c r="E576" t="s">
        <v>42</v>
      </c>
      <c r="F576">
        <v>108.1</v>
      </c>
      <c r="G576" t="s">
        <v>361</v>
      </c>
      <c r="H576">
        <f>electric_vehicles_dataset[[#This Row],[Battery_Capacity_kWh]]/electric_vehicles_dataset[[#This Row],[Range_km]]</f>
        <v>0.38884892086330936</v>
      </c>
      <c r="I576">
        <v>278</v>
      </c>
      <c r="J576" t="s">
        <v>34</v>
      </c>
      <c r="K576">
        <v>5</v>
      </c>
      <c r="L576" s="1">
        <v>93341.33</v>
      </c>
      <c r="M576" s="1" t="str" cm="1">
        <f t="array" ref="M57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76" t="s">
        <v>179</v>
      </c>
      <c r="O576" t="s">
        <v>265</v>
      </c>
      <c r="P576" s="2" t="s">
        <v>389</v>
      </c>
      <c r="Q576">
        <v>1</v>
      </c>
      <c r="R576" t="s">
        <v>391</v>
      </c>
      <c r="S576" s="1">
        <f>electric_vehicles_dataset[[#This Row],[Units_Sold_2024]]*electric_vehicles_dataset[[#This Row],[Price_USD]]</f>
        <v>400340964.37</v>
      </c>
      <c r="T576">
        <v>3</v>
      </c>
      <c r="U576">
        <v>4289</v>
      </c>
      <c r="V576">
        <v>4</v>
      </c>
    </row>
    <row r="577" spans="1:22" x14ac:dyDescent="0.35">
      <c r="A577">
        <v>576</v>
      </c>
      <c r="B577" t="s">
        <v>51</v>
      </c>
      <c r="C577" t="s">
        <v>162</v>
      </c>
      <c r="D577">
        <v>2015</v>
      </c>
      <c r="E577" t="s">
        <v>26</v>
      </c>
      <c r="F577">
        <v>141.5</v>
      </c>
      <c r="G577" t="s">
        <v>386</v>
      </c>
      <c r="H577">
        <f>electric_vehicles_dataset[[#This Row],[Battery_Capacity_kWh]]/electric_vehicles_dataset[[#This Row],[Range_km]]</f>
        <v>0.55490196078431375</v>
      </c>
      <c r="I577">
        <v>255</v>
      </c>
      <c r="J577" t="s">
        <v>345</v>
      </c>
      <c r="K577">
        <v>8</v>
      </c>
      <c r="L577" s="1">
        <v>99258.89</v>
      </c>
      <c r="M577" s="1" t="str" cm="1">
        <f t="array" ref="M57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77" t="s">
        <v>172</v>
      </c>
      <c r="O577" t="s">
        <v>226</v>
      </c>
      <c r="P577" s="2" t="s">
        <v>395</v>
      </c>
      <c r="Q577">
        <v>1</v>
      </c>
      <c r="R577" t="s">
        <v>391</v>
      </c>
      <c r="S577" s="1">
        <f>electric_vehicles_dataset[[#This Row],[Units_Sold_2024]]*electric_vehicles_dataset[[#This Row],[Price_USD]]</f>
        <v>29678408.109999999</v>
      </c>
      <c r="T577">
        <v>3</v>
      </c>
      <c r="U577">
        <v>299</v>
      </c>
      <c r="V577">
        <v>4</v>
      </c>
    </row>
    <row r="578" spans="1:22" x14ac:dyDescent="0.35">
      <c r="A578">
        <v>577</v>
      </c>
      <c r="B578" t="s">
        <v>259</v>
      </c>
      <c r="C578" t="s">
        <v>311</v>
      </c>
      <c r="D578">
        <v>2025</v>
      </c>
      <c r="E578" t="s">
        <v>183</v>
      </c>
      <c r="F578">
        <v>148.5</v>
      </c>
      <c r="G578" t="s">
        <v>386</v>
      </c>
      <c r="H578">
        <f>electric_vehicles_dataset[[#This Row],[Battery_Capacity_kWh]]/electric_vehicles_dataset[[#This Row],[Range_km]]</f>
        <v>0.84857142857142853</v>
      </c>
      <c r="I578">
        <v>175</v>
      </c>
      <c r="J578" t="s">
        <v>34</v>
      </c>
      <c r="K578">
        <v>11</v>
      </c>
      <c r="L578" s="1">
        <v>81253.33</v>
      </c>
      <c r="M578" s="1" t="str" cm="1">
        <f t="array" ref="M57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78" t="s">
        <v>142</v>
      </c>
      <c r="O578" t="s">
        <v>23</v>
      </c>
      <c r="P578" s="2" t="s">
        <v>389</v>
      </c>
      <c r="Q578">
        <v>0</v>
      </c>
      <c r="R578" t="s">
        <v>390</v>
      </c>
      <c r="S578" s="1">
        <f>electric_vehicles_dataset[[#This Row],[Units_Sold_2024]]*electric_vehicles_dataset[[#This Row],[Price_USD]]</f>
        <v>312419053.85000002</v>
      </c>
      <c r="T578">
        <v>3</v>
      </c>
      <c r="U578">
        <v>3845</v>
      </c>
      <c r="V578">
        <v>5</v>
      </c>
    </row>
    <row r="579" spans="1:22" x14ac:dyDescent="0.35">
      <c r="A579">
        <v>578</v>
      </c>
      <c r="B579" t="s">
        <v>224</v>
      </c>
      <c r="C579" t="s">
        <v>225</v>
      </c>
      <c r="D579">
        <v>2024</v>
      </c>
      <c r="E579" t="s">
        <v>42</v>
      </c>
      <c r="F579">
        <v>146.1</v>
      </c>
      <c r="G579" t="s">
        <v>386</v>
      </c>
      <c r="H579">
        <f>electric_vehicles_dataset[[#This Row],[Battery_Capacity_kWh]]/electric_vehicles_dataset[[#This Row],[Range_km]]</f>
        <v>0.34703087885985745</v>
      </c>
      <c r="I579">
        <v>421</v>
      </c>
      <c r="J579" t="s">
        <v>34</v>
      </c>
      <c r="K579">
        <v>3</v>
      </c>
      <c r="L579" s="1">
        <v>44256.31</v>
      </c>
      <c r="M579" s="1" t="str" cm="1">
        <f t="array" ref="M57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79" t="s">
        <v>253</v>
      </c>
      <c r="O579" t="s">
        <v>230</v>
      </c>
      <c r="P579" s="2" t="s">
        <v>389</v>
      </c>
      <c r="Q579">
        <v>4</v>
      </c>
      <c r="R579" t="s">
        <v>392</v>
      </c>
      <c r="S579" s="1">
        <f>electric_vehicles_dataset[[#This Row],[Units_Sold_2024]]*electric_vehicles_dataset[[#This Row],[Price_USD]]</f>
        <v>129936526.16</v>
      </c>
      <c r="T579">
        <v>4</v>
      </c>
      <c r="U579">
        <v>2936</v>
      </c>
      <c r="V579">
        <v>4</v>
      </c>
    </row>
    <row r="580" spans="1:22" x14ac:dyDescent="0.35">
      <c r="A580">
        <v>579</v>
      </c>
      <c r="B580" t="s">
        <v>241</v>
      </c>
      <c r="C580" t="s">
        <v>247</v>
      </c>
      <c r="D580">
        <v>2021</v>
      </c>
      <c r="E580" t="s">
        <v>133</v>
      </c>
      <c r="F580">
        <v>102.2</v>
      </c>
      <c r="G580" t="s">
        <v>361</v>
      </c>
      <c r="H580">
        <f>electric_vehicles_dataset[[#This Row],[Battery_Capacity_kWh]]/electric_vehicles_dataset[[#This Row],[Range_km]]</f>
        <v>0.31253822629969419</v>
      </c>
      <c r="I580">
        <v>327</v>
      </c>
      <c r="J580" t="s">
        <v>149</v>
      </c>
      <c r="K580">
        <v>1</v>
      </c>
      <c r="L580" s="1">
        <v>43995.32</v>
      </c>
      <c r="M580" s="1" t="str" cm="1">
        <f t="array" ref="M5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80" t="s">
        <v>43</v>
      </c>
      <c r="O580" t="s">
        <v>230</v>
      </c>
      <c r="P580" s="2" t="s">
        <v>389</v>
      </c>
      <c r="Q580">
        <v>4</v>
      </c>
      <c r="R580" t="s">
        <v>392</v>
      </c>
      <c r="S580" s="1">
        <f>electric_vehicles_dataset[[#This Row],[Units_Sold_2024]]*electric_vehicles_dataset[[#This Row],[Price_USD]]</f>
        <v>691254467.84000003</v>
      </c>
      <c r="T580">
        <v>5</v>
      </c>
      <c r="U580">
        <v>15712</v>
      </c>
      <c r="V580">
        <v>4</v>
      </c>
    </row>
    <row r="581" spans="1:22" x14ac:dyDescent="0.35">
      <c r="A581">
        <v>580</v>
      </c>
      <c r="B581" t="s">
        <v>136</v>
      </c>
      <c r="C581" t="s">
        <v>137</v>
      </c>
      <c r="D581">
        <v>2024</v>
      </c>
      <c r="E581" t="s">
        <v>101</v>
      </c>
      <c r="F581">
        <v>69.900000000000006</v>
      </c>
      <c r="G581" t="s">
        <v>351</v>
      </c>
      <c r="H581">
        <f>electric_vehicles_dataset[[#This Row],[Battery_Capacity_kWh]]/electric_vehicles_dataset[[#This Row],[Range_km]]</f>
        <v>0.16255813953488374</v>
      </c>
      <c r="I581">
        <v>430</v>
      </c>
      <c r="J581" t="s">
        <v>358</v>
      </c>
      <c r="K581">
        <v>4</v>
      </c>
      <c r="L581" s="1">
        <v>45028.37</v>
      </c>
      <c r="M581" s="1" t="str" cm="1">
        <f t="array" ref="M58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81" t="s">
        <v>146</v>
      </c>
      <c r="O581" t="s">
        <v>92</v>
      </c>
      <c r="P581" s="2" t="s">
        <v>394</v>
      </c>
      <c r="Q581">
        <v>4</v>
      </c>
      <c r="R581" t="s">
        <v>392</v>
      </c>
      <c r="S581" s="1">
        <f>electric_vehicles_dataset[[#This Row],[Units_Sold_2024]]*electric_vehicles_dataset[[#This Row],[Price_USD]]</f>
        <v>581001058.11000001</v>
      </c>
      <c r="T581">
        <v>3</v>
      </c>
      <c r="U581">
        <v>12903</v>
      </c>
      <c r="V581">
        <v>5</v>
      </c>
    </row>
    <row r="582" spans="1:22" x14ac:dyDescent="0.35">
      <c r="A582">
        <v>581</v>
      </c>
      <c r="B582" t="s">
        <v>241</v>
      </c>
      <c r="C582" t="s">
        <v>247</v>
      </c>
      <c r="D582">
        <v>2023</v>
      </c>
      <c r="E582" t="s">
        <v>130</v>
      </c>
      <c r="F582">
        <v>28.3</v>
      </c>
      <c r="G582" t="s">
        <v>357</v>
      </c>
      <c r="H582">
        <f>electric_vehicles_dataset[[#This Row],[Battery_Capacity_kWh]]/electric_vehicles_dataset[[#This Row],[Range_km]]</f>
        <v>5.3598484848484847E-2</v>
      </c>
      <c r="I582">
        <v>528</v>
      </c>
      <c r="J582" t="s">
        <v>48</v>
      </c>
      <c r="K582">
        <v>9</v>
      </c>
      <c r="L582" s="1">
        <v>54895.65</v>
      </c>
      <c r="M582" s="1" t="str" cm="1">
        <f t="array" ref="M5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82" t="s">
        <v>117</v>
      </c>
      <c r="O582" t="s">
        <v>147</v>
      </c>
      <c r="P582" s="2" t="s">
        <v>396</v>
      </c>
      <c r="Q582">
        <v>4</v>
      </c>
      <c r="R582" t="s">
        <v>392</v>
      </c>
      <c r="S582" s="1">
        <f>electric_vehicles_dataset[[#This Row],[Units_Sold_2024]]*electric_vehicles_dataset[[#This Row],[Price_USD]]</f>
        <v>804440855.10000002</v>
      </c>
      <c r="T582">
        <v>4</v>
      </c>
      <c r="U582">
        <v>14654</v>
      </c>
      <c r="V582">
        <v>4</v>
      </c>
    </row>
    <row r="583" spans="1:22" x14ac:dyDescent="0.35">
      <c r="A583">
        <v>582</v>
      </c>
      <c r="B583" t="s">
        <v>64</v>
      </c>
      <c r="C583" t="s">
        <v>65</v>
      </c>
      <c r="D583">
        <v>2017</v>
      </c>
      <c r="E583" t="s">
        <v>90</v>
      </c>
      <c r="F583">
        <v>46.8</v>
      </c>
      <c r="G583" t="s">
        <v>348</v>
      </c>
      <c r="H583">
        <f>electric_vehicles_dataset[[#This Row],[Battery_Capacity_kWh]]/electric_vehicles_dataset[[#This Row],[Range_km]]</f>
        <v>0.25714285714285712</v>
      </c>
      <c r="I583">
        <v>182</v>
      </c>
      <c r="J583" t="s">
        <v>364</v>
      </c>
      <c r="K583">
        <v>7</v>
      </c>
      <c r="L583" s="1">
        <v>132174.01</v>
      </c>
      <c r="M583" s="1" t="str" cm="1">
        <f t="array" ref="M58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83" t="s">
        <v>210</v>
      </c>
      <c r="O583" t="s">
        <v>20</v>
      </c>
      <c r="P583" s="2" t="s">
        <v>389</v>
      </c>
      <c r="Q583">
        <v>4</v>
      </c>
      <c r="R583" t="s">
        <v>392</v>
      </c>
      <c r="S583" s="1">
        <f>electric_vehicles_dataset[[#This Row],[Units_Sold_2024]]*electric_vehicles_dataset[[#This Row],[Price_USD]]</f>
        <v>1832196126.6200001</v>
      </c>
      <c r="T583">
        <v>3</v>
      </c>
      <c r="U583">
        <v>13862</v>
      </c>
      <c r="V583">
        <v>5</v>
      </c>
    </row>
    <row r="584" spans="1:22" x14ac:dyDescent="0.35">
      <c r="A584">
        <v>583</v>
      </c>
      <c r="B584" t="s">
        <v>79</v>
      </c>
      <c r="C584" t="s">
        <v>333</v>
      </c>
      <c r="D584">
        <v>2019</v>
      </c>
      <c r="E584" t="s">
        <v>84</v>
      </c>
      <c r="F584">
        <v>143</v>
      </c>
      <c r="G584" t="s">
        <v>386</v>
      </c>
      <c r="H584">
        <f>electric_vehicles_dataset[[#This Row],[Battery_Capacity_kWh]]/electric_vehicles_dataset[[#This Row],[Range_km]]</f>
        <v>0.39178082191780822</v>
      </c>
      <c r="I584">
        <v>365</v>
      </c>
      <c r="J584" t="s">
        <v>54</v>
      </c>
      <c r="K584">
        <v>8</v>
      </c>
      <c r="L584" s="1">
        <v>83390.429999999993</v>
      </c>
      <c r="M584" s="1" t="str" cm="1">
        <f t="array" ref="M58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84" t="s">
        <v>59</v>
      </c>
      <c r="O584" t="s">
        <v>230</v>
      </c>
      <c r="P584" s="2" t="s">
        <v>389</v>
      </c>
      <c r="Q584">
        <v>4</v>
      </c>
      <c r="R584" t="s">
        <v>392</v>
      </c>
      <c r="S584" s="1">
        <f>electric_vehicles_dataset[[#This Row],[Units_Sold_2024]]*electric_vehicles_dataset[[#This Row],[Price_USD]]</f>
        <v>1470673623.4799998</v>
      </c>
      <c r="T584">
        <v>5</v>
      </c>
      <c r="U584">
        <v>17636</v>
      </c>
      <c r="V584">
        <v>5</v>
      </c>
    </row>
    <row r="585" spans="1:22" x14ac:dyDescent="0.35">
      <c r="A585">
        <v>584</v>
      </c>
      <c r="B585" t="s">
        <v>192</v>
      </c>
      <c r="C585" t="s">
        <v>366</v>
      </c>
      <c r="D585">
        <v>2016</v>
      </c>
      <c r="E585" t="s">
        <v>73</v>
      </c>
      <c r="F585">
        <v>126.6</v>
      </c>
      <c r="G585" t="s">
        <v>352</v>
      </c>
      <c r="H585">
        <f>electric_vehicles_dataset[[#This Row],[Battery_Capacity_kWh]]/electric_vehicles_dataset[[#This Row],[Range_km]]</f>
        <v>0.57285067873303164</v>
      </c>
      <c r="I585">
        <v>221</v>
      </c>
      <c r="J585" t="s">
        <v>27</v>
      </c>
      <c r="K585">
        <v>3</v>
      </c>
      <c r="L585" s="1">
        <v>65965.11</v>
      </c>
      <c r="M585" s="1" t="str" cm="1">
        <f t="array" ref="M58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85" t="s">
        <v>142</v>
      </c>
      <c r="O585" t="s">
        <v>124</v>
      </c>
      <c r="P585" s="2" t="s">
        <v>389</v>
      </c>
      <c r="Q585">
        <v>4</v>
      </c>
      <c r="R585" t="s">
        <v>392</v>
      </c>
      <c r="S585" s="1">
        <f>electric_vehicles_dataset[[#This Row],[Units_Sold_2024]]*electric_vehicles_dataset[[#This Row],[Price_USD]]</f>
        <v>277713113.10000002</v>
      </c>
      <c r="T585">
        <v>4</v>
      </c>
      <c r="U585">
        <v>4210</v>
      </c>
      <c r="V585">
        <v>5</v>
      </c>
    </row>
    <row r="586" spans="1:22" x14ac:dyDescent="0.35">
      <c r="A586">
        <v>585</v>
      </c>
      <c r="B586" t="s">
        <v>155</v>
      </c>
      <c r="C586" t="s">
        <v>190</v>
      </c>
      <c r="D586">
        <v>2016</v>
      </c>
      <c r="E586" t="s">
        <v>47</v>
      </c>
      <c r="F586">
        <v>53.1</v>
      </c>
      <c r="G586" t="s">
        <v>348</v>
      </c>
      <c r="H586">
        <f>electric_vehicles_dataset[[#This Row],[Battery_Capacity_kWh]]/electric_vehicles_dataset[[#This Row],[Range_km]]</f>
        <v>0.18</v>
      </c>
      <c r="I586">
        <v>295</v>
      </c>
      <c r="J586" t="s">
        <v>85</v>
      </c>
      <c r="K586">
        <v>5</v>
      </c>
      <c r="L586" s="1">
        <v>39990.49</v>
      </c>
      <c r="M586" s="1" t="str" cm="1">
        <f t="array" ref="M58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86" t="s">
        <v>189</v>
      </c>
      <c r="O586" t="s">
        <v>199</v>
      </c>
      <c r="P586" s="2" t="s">
        <v>394</v>
      </c>
      <c r="Q586">
        <v>1</v>
      </c>
      <c r="R586" t="s">
        <v>391</v>
      </c>
      <c r="S586" s="1">
        <f>electric_vehicles_dataset[[#This Row],[Units_Sold_2024]]*electric_vehicles_dataset[[#This Row],[Price_USD]]</f>
        <v>352996055.22999996</v>
      </c>
      <c r="T586">
        <v>4</v>
      </c>
      <c r="U586">
        <v>8827</v>
      </c>
      <c r="V586">
        <v>5</v>
      </c>
    </row>
    <row r="587" spans="1:22" x14ac:dyDescent="0.35">
      <c r="A587">
        <v>586</v>
      </c>
      <c r="B587" t="s">
        <v>136</v>
      </c>
      <c r="C587" t="s">
        <v>137</v>
      </c>
      <c r="D587">
        <v>2020</v>
      </c>
      <c r="E587" t="s">
        <v>90</v>
      </c>
      <c r="F587">
        <v>105.5</v>
      </c>
      <c r="G587" t="s">
        <v>361</v>
      </c>
      <c r="H587">
        <f>electric_vehicles_dataset[[#This Row],[Battery_Capacity_kWh]]/electric_vehicles_dataset[[#This Row],[Range_km]]</f>
        <v>0.20288461538461539</v>
      </c>
      <c r="I587">
        <v>520</v>
      </c>
      <c r="J587" t="s">
        <v>85</v>
      </c>
      <c r="K587">
        <v>5</v>
      </c>
      <c r="L587" s="1">
        <v>48418.97</v>
      </c>
      <c r="M587" s="1" t="str" cm="1">
        <f t="array" ref="M58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87" t="s">
        <v>81</v>
      </c>
      <c r="O587" t="s">
        <v>199</v>
      </c>
      <c r="P587" s="2" t="s">
        <v>394</v>
      </c>
      <c r="Q587">
        <v>4</v>
      </c>
      <c r="R587" t="s">
        <v>392</v>
      </c>
      <c r="S587" s="1">
        <f>electric_vehicles_dataset[[#This Row],[Units_Sold_2024]]*electric_vehicles_dataset[[#This Row],[Price_USD]]</f>
        <v>174501967.88</v>
      </c>
      <c r="T587">
        <v>5</v>
      </c>
      <c r="U587">
        <v>3604</v>
      </c>
      <c r="V587">
        <v>5</v>
      </c>
    </row>
    <row r="588" spans="1:22" x14ac:dyDescent="0.35">
      <c r="A588">
        <v>587</v>
      </c>
      <c r="B588" t="s">
        <v>21</v>
      </c>
      <c r="C588" t="s">
        <v>363</v>
      </c>
      <c r="D588">
        <v>2016</v>
      </c>
      <c r="E588" t="s">
        <v>104</v>
      </c>
      <c r="F588">
        <v>103.2</v>
      </c>
      <c r="G588" t="s">
        <v>361</v>
      </c>
      <c r="H588">
        <f>electric_vehicles_dataset[[#This Row],[Battery_Capacity_kWh]]/electric_vehicles_dataset[[#This Row],[Range_km]]</f>
        <v>0.36210526315789476</v>
      </c>
      <c r="I588">
        <v>285</v>
      </c>
      <c r="J588" t="s">
        <v>38</v>
      </c>
      <c r="K588">
        <v>9</v>
      </c>
      <c r="L588" s="1">
        <v>47559.56</v>
      </c>
      <c r="M588" s="1" t="str" cm="1">
        <f t="array" ref="M5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88" t="s">
        <v>271</v>
      </c>
      <c r="O588" t="s">
        <v>159</v>
      </c>
      <c r="P588" s="2" t="s">
        <v>389</v>
      </c>
      <c r="Q588">
        <v>0</v>
      </c>
      <c r="R588" t="s">
        <v>390</v>
      </c>
      <c r="S588" s="1">
        <f>electric_vehicles_dataset[[#This Row],[Units_Sold_2024]]*electric_vehicles_dataset[[#This Row],[Price_USD]]</f>
        <v>163604886.40000001</v>
      </c>
      <c r="T588">
        <v>4</v>
      </c>
      <c r="U588">
        <v>3440</v>
      </c>
      <c r="V588">
        <v>3</v>
      </c>
    </row>
    <row r="589" spans="1:22" x14ac:dyDescent="0.35">
      <c r="A589">
        <v>588</v>
      </c>
      <c r="B589" t="s">
        <v>120</v>
      </c>
      <c r="C589" t="s">
        <v>195</v>
      </c>
      <c r="D589">
        <v>2024</v>
      </c>
      <c r="E589" t="s">
        <v>26</v>
      </c>
      <c r="F589">
        <v>124.9</v>
      </c>
      <c r="G589" t="s">
        <v>352</v>
      </c>
      <c r="H589">
        <f>electric_vehicles_dataset[[#This Row],[Battery_Capacity_kWh]]/electric_vehicles_dataset[[#This Row],[Range_km]]</f>
        <v>0.8439189189189189</v>
      </c>
      <c r="I589">
        <v>148</v>
      </c>
      <c r="J589" t="s">
        <v>149</v>
      </c>
      <c r="K589">
        <v>9</v>
      </c>
      <c r="L589" s="1">
        <v>133847.79999999999</v>
      </c>
      <c r="M589" s="1" t="str" cm="1">
        <f t="array" ref="M58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89" t="s">
        <v>114</v>
      </c>
      <c r="O589" t="s">
        <v>134</v>
      </c>
      <c r="P589" s="2" t="s">
        <v>389</v>
      </c>
      <c r="Q589">
        <v>0</v>
      </c>
      <c r="R589" t="s">
        <v>390</v>
      </c>
      <c r="S589" s="1">
        <f>electric_vehicles_dataset[[#This Row],[Units_Sold_2024]]*electric_vehicles_dataset[[#This Row],[Price_USD]]</f>
        <v>792378975.99999988</v>
      </c>
      <c r="T589">
        <v>4</v>
      </c>
      <c r="U589">
        <v>5920</v>
      </c>
      <c r="V589">
        <v>4</v>
      </c>
    </row>
    <row r="590" spans="1:22" x14ac:dyDescent="0.35">
      <c r="A590">
        <v>589</v>
      </c>
      <c r="B590" t="s">
        <v>74</v>
      </c>
      <c r="C590" t="s">
        <v>75</v>
      </c>
      <c r="D590">
        <v>2022</v>
      </c>
      <c r="E590" t="s">
        <v>90</v>
      </c>
      <c r="F590">
        <v>36.6</v>
      </c>
      <c r="G590" t="s">
        <v>357</v>
      </c>
      <c r="H590">
        <f>electric_vehicles_dataset[[#This Row],[Battery_Capacity_kWh]]/electric_vehicles_dataset[[#This Row],[Range_km]]</f>
        <v>0.35192307692307695</v>
      </c>
      <c r="I590">
        <v>104</v>
      </c>
      <c r="J590" t="s">
        <v>18</v>
      </c>
      <c r="K590">
        <v>8</v>
      </c>
      <c r="L590" s="1">
        <v>47120.42</v>
      </c>
      <c r="M590" s="1" t="str" cm="1">
        <f t="array" ref="M59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90" t="s">
        <v>59</v>
      </c>
      <c r="O590" t="s">
        <v>134</v>
      </c>
      <c r="P590" s="2" t="s">
        <v>389</v>
      </c>
      <c r="Q590">
        <v>0</v>
      </c>
      <c r="R590" t="s">
        <v>390</v>
      </c>
      <c r="S590" s="1">
        <f>electric_vehicles_dataset[[#This Row],[Units_Sold_2024]]*electric_vehicles_dataset[[#This Row],[Price_USD]]</f>
        <v>384596868.03999996</v>
      </c>
      <c r="T590">
        <v>5</v>
      </c>
      <c r="U590">
        <v>8162</v>
      </c>
      <c r="V590">
        <v>5</v>
      </c>
    </row>
    <row r="591" spans="1:22" x14ac:dyDescent="0.35">
      <c r="A591">
        <v>590</v>
      </c>
      <c r="B591" t="s">
        <v>157</v>
      </c>
      <c r="C591" t="s">
        <v>158</v>
      </c>
      <c r="D591">
        <v>2022</v>
      </c>
      <c r="E591" t="s">
        <v>101</v>
      </c>
      <c r="F591">
        <v>77.099999999999994</v>
      </c>
      <c r="G591" t="s">
        <v>351</v>
      </c>
      <c r="H591">
        <f>electric_vehicles_dataset[[#This Row],[Battery_Capacity_kWh]]/electric_vehicles_dataset[[#This Row],[Range_km]]</f>
        <v>0.27437722419928823</v>
      </c>
      <c r="I591">
        <v>281</v>
      </c>
      <c r="J591" t="s">
        <v>345</v>
      </c>
      <c r="K591">
        <v>6</v>
      </c>
      <c r="L591" s="1">
        <v>63098.76</v>
      </c>
      <c r="M591" s="1" t="str" cm="1">
        <f t="array" ref="M59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91" t="s">
        <v>196</v>
      </c>
      <c r="O591" t="s">
        <v>121</v>
      </c>
      <c r="P591" s="2" t="s">
        <v>398</v>
      </c>
      <c r="Q591">
        <v>1</v>
      </c>
      <c r="R591" t="s">
        <v>391</v>
      </c>
      <c r="S591" s="1">
        <f>electric_vehicles_dataset[[#This Row],[Units_Sold_2024]]*electric_vehicles_dataset[[#This Row],[Price_USD]]</f>
        <v>840475483.20000005</v>
      </c>
      <c r="T591">
        <v>4</v>
      </c>
      <c r="U591">
        <v>13320</v>
      </c>
      <c r="V591">
        <v>4</v>
      </c>
    </row>
    <row r="592" spans="1:22" x14ac:dyDescent="0.35">
      <c r="A592">
        <v>591</v>
      </c>
      <c r="B592" t="s">
        <v>200</v>
      </c>
      <c r="C592" t="s">
        <v>201</v>
      </c>
      <c r="D592">
        <v>2016</v>
      </c>
      <c r="E592" t="s">
        <v>17</v>
      </c>
      <c r="F592">
        <v>51.2</v>
      </c>
      <c r="G592" t="s">
        <v>348</v>
      </c>
      <c r="H592">
        <f>electric_vehicles_dataset[[#This Row],[Battery_Capacity_kWh]]/electric_vehicles_dataset[[#This Row],[Range_km]]</f>
        <v>0.34829931972789119</v>
      </c>
      <c r="I592">
        <v>147</v>
      </c>
      <c r="J592" t="s">
        <v>85</v>
      </c>
      <c r="K592">
        <v>7</v>
      </c>
      <c r="L592" s="1">
        <v>40150.21</v>
      </c>
      <c r="M592" s="1" t="str" cm="1">
        <f t="array" ref="M59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92" t="s">
        <v>179</v>
      </c>
      <c r="O592" t="s">
        <v>354</v>
      </c>
      <c r="P592" s="2" t="s">
        <v>394</v>
      </c>
      <c r="Q592">
        <v>0</v>
      </c>
      <c r="R592" t="s">
        <v>390</v>
      </c>
      <c r="S592" s="1">
        <f>electric_vehicles_dataset[[#This Row],[Units_Sold_2024]]*electric_vehicles_dataset[[#This Row],[Price_USD]]</f>
        <v>179471438.69999999</v>
      </c>
      <c r="T592">
        <v>5</v>
      </c>
      <c r="U592">
        <v>4470</v>
      </c>
      <c r="V592">
        <v>4</v>
      </c>
    </row>
    <row r="593" spans="1:22" x14ac:dyDescent="0.35">
      <c r="A593">
        <v>592</v>
      </c>
      <c r="B593" t="s">
        <v>262</v>
      </c>
      <c r="C593" t="s">
        <v>263</v>
      </c>
      <c r="D593">
        <v>2021</v>
      </c>
      <c r="E593" t="s">
        <v>84</v>
      </c>
      <c r="F593">
        <v>100.1</v>
      </c>
      <c r="G593" t="s">
        <v>361</v>
      </c>
      <c r="H593">
        <f>electric_vehicles_dataset[[#This Row],[Battery_Capacity_kWh]]/electric_vehicles_dataset[[#This Row],[Range_km]]</f>
        <v>0.17685512367491166</v>
      </c>
      <c r="I593">
        <v>566</v>
      </c>
      <c r="J593" t="s">
        <v>76</v>
      </c>
      <c r="K593">
        <v>9</v>
      </c>
      <c r="L593" s="1">
        <v>114311.01</v>
      </c>
      <c r="M593" s="1" t="str" cm="1">
        <f t="array" ref="M59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593" t="s">
        <v>277</v>
      </c>
      <c r="O593" t="s">
        <v>202</v>
      </c>
      <c r="P593" s="2" t="s">
        <v>393</v>
      </c>
      <c r="Q593">
        <v>5</v>
      </c>
      <c r="R593" t="s">
        <v>392</v>
      </c>
      <c r="S593" s="1">
        <f>electric_vehicles_dataset[[#This Row],[Units_Sold_2024]]*electric_vehicles_dataset[[#This Row],[Price_USD]]</f>
        <v>2281876381.6199999</v>
      </c>
      <c r="T593">
        <v>5</v>
      </c>
      <c r="U593">
        <v>19962</v>
      </c>
      <c r="V593">
        <v>3</v>
      </c>
    </row>
    <row r="594" spans="1:22" x14ac:dyDescent="0.35">
      <c r="A594">
        <v>593</v>
      </c>
      <c r="B594" t="s">
        <v>157</v>
      </c>
      <c r="C594" t="s">
        <v>158</v>
      </c>
      <c r="D594">
        <v>2017</v>
      </c>
      <c r="E594" t="s">
        <v>73</v>
      </c>
      <c r="F594">
        <v>140.9</v>
      </c>
      <c r="G594" t="s">
        <v>386</v>
      </c>
      <c r="H594">
        <f>electric_vehicles_dataset[[#This Row],[Battery_Capacity_kWh]]/electric_vehicles_dataset[[#This Row],[Range_km]]</f>
        <v>0.2869653767820774</v>
      </c>
      <c r="I594">
        <v>491</v>
      </c>
      <c r="J594" t="s">
        <v>353</v>
      </c>
      <c r="K594">
        <v>3</v>
      </c>
      <c r="L594" s="1">
        <v>74046.11</v>
      </c>
      <c r="M594" s="1" t="str" cm="1">
        <f t="array" ref="M59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94" t="s">
        <v>131</v>
      </c>
      <c r="O594" t="s">
        <v>206</v>
      </c>
      <c r="P594" s="2" t="s">
        <v>394</v>
      </c>
      <c r="Q594">
        <v>0</v>
      </c>
      <c r="R594" t="s">
        <v>390</v>
      </c>
      <c r="S594" s="1">
        <f>electric_vehicles_dataset[[#This Row],[Units_Sold_2024]]*electric_vehicles_dataset[[#This Row],[Price_USD]]</f>
        <v>274711068.10000002</v>
      </c>
      <c r="T594">
        <v>4</v>
      </c>
      <c r="U594">
        <v>3710</v>
      </c>
      <c r="V594">
        <v>4</v>
      </c>
    </row>
    <row r="595" spans="1:22" x14ac:dyDescent="0.35">
      <c r="A595">
        <v>594</v>
      </c>
      <c r="B595" t="s">
        <v>94</v>
      </c>
      <c r="C595" t="s">
        <v>99</v>
      </c>
      <c r="D595">
        <v>2023</v>
      </c>
      <c r="E595" t="s">
        <v>26</v>
      </c>
      <c r="F595">
        <v>119.6</v>
      </c>
      <c r="G595" t="s">
        <v>361</v>
      </c>
      <c r="H595">
        <f>electric_vehicles_dataset[[#This Row],[Battery_Capacity_kWh]]/electric_vehicles_dataset[[#This Row],[Range_km]]</f>
        <v>0.74749999999999994</v>
      </c>
      <c r="I595">
        <v>160</v>
      </c>
      <c r="J595" t="s">
        <v>54</v>
      </c>
      <c r="K595">
        <v>4</v>
      </c>
      <c r="L595" s="1">
        <v>65225.4</v>
      </c>
      <c r="M595" s="1" t="str" cm="1">
        <f t="array" ref="M59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95" t="s">
        <v>205</v>
      </c>
      <c r="O595" t="s">
        <v>115</v>
      </c>
      <c r="P595" s="2" t="s">
        <v>396</v>
      </c>
      <c r="Q595">
        <v>4</v>
      </c>
      <c r="R595" t="s">
        <v>392</v>
      </c>
      <c r="S595" s="1">
        <f>electric_vehicles_dataset[[#This Row],[Units_Sold_2024]]*electric_vehicles_dataset[[#This Row],[Price_USD]]</f>
        <v>1101787456.8</v>
      </c>
      <c r="T595">
        <v>5</v>
      </c>
      <c r="U595">
        <v>16892</v>
      </c>
      <c r="V595">
        <v>3</v>
      </c>
    </row>
    <row r="596" spans="1:22" x14ac:dyDescent="0.35">
      <c r="A596">
        <v>595</v>
      </c>
      <c r="B596" t="s">
        <v>45</v>
      </c>
      <c r="C596" t="s">
        <v>46</v>
      </c>
      <c r="D596">
        <v>2022</v>
      </c>
      <c r="E596" t="s">
        <v>84</v>
      </c>
      <c r="F596">
        <v>66.2</v>
      </c>
      <c r="G596" t="s">
        <v>351</v>
      </c>
      <c r="H596">
        <f>electric_vehicles_dataset[[#This Row],[Battery_Capacity_kWh]]/electric_vehicles_dataset[[#This Row],[Range_km]]</f>
        <v>0.15951807228915663</v>
      </c>
      <c r="I596">
        <v>415</v>
      </c>
      <c r="J596" t="s">
        <v>345</v>
      </c>
      <c r="K596">
        <v>4</v>
      </c>
      <c r="L596" s="1">
        <v>72467.13</v>
      </c>
      <c r="M596" s="1" t="str" cm="1">
        <f t="array" ref="M59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96" t="s">
        <v>22</v>
      </c>
      <c r="O596" t="s">
        <v>202</v>
      </c>
      <c r="P596" s="2" t="s">
        <v>393</v>
      </c>
      <c r="Q596">
        <v>1</v>
      </c>
      <c r="R596" t="s">
        <v>391</v>
      </c>
      <c r="S596" s="1">
        <f>electric_vehicles_dataset[[#This Row],[Units_Sold_2024]]*electric_vehicles_dataset[[#This Row],[Price_USD]]</f>
        <v>1022946007.08</v>
      </c>
      <c r="T596">
        <v>4</v>
      </c>
      <c r="U596">
        <v>14116</v>
      </c>
      <c r="V596">
        <v>4</v>
      </c>
    </row>
    <row r="597" spans="1:22" x14ac:dyDescent="0.35">
      <c r="A597">
        <v>596</v>
      </c>
      <c r="B597" t="s">
        <v>112</v>
      </c>
      <c r="C597" t="s">
        <v>138</v>
      </c>
      <c r="D597">
        <v>2023</v>
      </c>
      <c r="E597" t="s">
        <v>47</v>
      </c>
      <c r="F597">
        <v>136.80000000000001</v>
      </c>
      <c r="G597" t="s">
        <v>352</v>
      </c>
      <c r="H597">
        <f>electric_vehicles_dataset[[#This Row],[Battery_Capacity_kWh]]/electric_vehicles_dataset[[#This Row],[Range_km]]</f>
        <v>0.44129032258064521</v>
      </c>
      <c r="I597">
        <v>310</v>
      </c>
      <c r="J597" t="s">
        <v>48</v>
      </c>
      <c r="K597">
        <v>11</v>
      </c>
      <c r="L597" s="1">
        <v>30829.25</v>
      </c>
      <c r="M597" s="1" t="str" cm="1">
        <f t="array" ref="M5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97" t="s">
        <v>168</v>
      </c>
      <c r="O597" t="s">
        <v>161</v>
      </c>
      <c r="P597" s="2" t="s">
        <v>389</v>
      </c>
      <c r="Q597">
        <v>3</v>
      </c>
      <c r="R597" t="s">
        <v>397</v>
      </c>
      <c r="S597" s="1">
        <f>electric_vehicles_dataset[[#This Row],[Units_Sold_2024]]*electric_vehicles_dataset[[#This Row],[Price_USD]]</f>
        <v>541885727.25</v>
      </c>
      <c r="T597">
        <v>3</v>
      </c>
      <c r="U597">
        <v>17577</v>
      </c>
      <c r="V597">
        <v>4</v>
      </c>
    </row>
    <row r="598" spans="1:22" x14ac:dyDescent="0.35">
      <c r="A598">
        <v>597</v>
      </c>
      <c r="B598" t="s">
        <v>184</v>
      </c>
      <c r="C598" t="s">
        <v>309</v>
      </c>
      <c r="D598">
        <v>2025</v>
      </c>
      <c r="E598" t="s">
        <v>26</v>
      </c>
      <c r="F598">
        <v>77.099999999999994</v>
      </c>
      <c r="G598" t="s">
        <v>351</v>
      </c>
      <c r="H598">
        <f>electric_vehicles_dataset[[#This Row],[Battery_Capacity_kWh]]/electric_vehicles_dataset[[#This Row],[Range_km]]</f>
        <v>0.4508771929824561</v>
      </c>
      <c r="I598">
        <v>171</v>
      </c>
      <c r="J598" t="s">
        <v>149</v>
      </c>
      <c r="K598">
        <v>9</v>
      </c>
      <c r="L598" s="1">
        <v>30697.23</v>
      </c>
      <c r="M598" s="1" t="str" cm="1">
        <f t="array" ref="M59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598" t="s">
        <v>66</v>
      </c>
      <c r="O598" t="s">
        <v>63</v>
      </c>
      <c r="P598" s="2" t="s">
        <v>389</v>
      </c>
      <c r="Q598">
        <v>3</v>
      </c>
      <c r="R598" t="s">
        <v>397</v>
      </c>
      <c r="S598" s="1">
        <f>electric_vehicles_dataset[[#This Row],[Units_Sold_2024]]*electric_vehicles_dataset[[#This Row],[Price_USD]]</f>
        <v>333157037.19</v>
      </c>
      <c r="T598">
        <v>4</v>
      </c>
      <c r="U598">
        <v>10853</v>
      </c>
      <c r="V598">
        <v>3</v>
      </c>
    </row>
    <row r="599" spans="1:22" x14ac:dyDescent="0.35">
      <c r="A599">
        <v>598</v>
      </c>
      <c r="B599" t="s">
        <v>220</v>
      </c>
      <c r="C599" t="s">
        <v>221</v>
      </c>
      <c r="D599">
        <v>2022</v>
      </c>
      <c r="E599" t="s">
        <v>73</v>
      </c>
      <c r="F599">
        <v>147.80000000000001</v>
      </c>
      <c r="G599" t="s">
        <v>386</v>
      </c>
      <c r="H599">
        <f>electric_vehicles_dataset[[#This Row],[Battery_Capacity_kWh]]/electric_vehicles_dataset[[#This Row],[Range_km]]</f>
        <v>0.92375000000000007</v>
      </c>
      <c r="I599">
        <v>160</v>
      </c>
      <c r="J599" t="s">
        <v>358</v>
      </c>
      <c r="K599">
        <v>6</v>
      </c>
      <c r="L599" s="1">
        <v>89468.11</v>
      </c>
      <c r="M599" s="1" t="str" cm="1">
        <f t="array" ref="M59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599" t="s">
        <v>106</v>
      </c>
      <c r="O599" t="s">
        <v>150</v>
      </c>
      <c r="P599" s="2" t="s">
        <v>389</v>
      </c>
      <c r="Q599">
        <v>3</v>
      </c>
      <c r="R599" t="s">
        <v>397</v>
      </c>
      <c r="S599" s="1">
        <f>electric_vehicles_dataset[[#This Row],[Units_Sold_2024]]*electric_vehicles_dataset[[#This Row],[Price_USD]]</f>
        <v>385249681.66000003</v>
      </c>
      <c r="T599">
        <v>4</v>
      </c>
      <c r="U599">
        <v>4306</v>
      </c>
      <c r="V599">
        <v>3</v>
      </c>
    </row>
    <row r="600" spans="1:22" x14ac:dyDescent="0.35">
      <c r="A600">
        <v>599</v>
      </c>
      <c r="B600" t="s">
        <v>184</v>
      </c>
      <c r="C600" t="s">
        <v>185</v>
      </c>
      <c r="D600">
        <v>2017</v>
      </c>
      <c r="E600" t="s">
        <v>101</v>
      </c>
      <c r="F600">
        <v>64.7</v>
      </c>
      <c r="G600" t="s">
        <v>351</v>
      </c>
      <c r="H600">
        <f>electric_vehicles_dataset[[#This Row],[Battery_Capacity_kWh]]/electric_vehicles_dataset[[#This Row],[Range_km]]</f>
        <v>0.61037735849056607</v>
      </c>
      <c r="I600">
        <v>106</v>
      </c>
      <c r="J600" t="s">
        <v>353</v>
      </c>
      <c r="K600">
        <v>1</v>
      </c>
      <c r="L600" s="1">
        <v>129580.29</v>
      </c>
      <c r="M600" s="1" t="str" cm="1">
        <f t="array" ref="M60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00" t="s">
        <v>196</v>
      </c>
      <c r="O600" t="s">
        <v>139</v>
      </c>
      <c r="P600" s="2" t="s">
        <v>389</v>
      </c>
      <c r="Q600">
        <v>3</v>
      </c>
      <c r="R600" t="s">
        <v>397</v>
      </c>
      <c r="S600" s="1">
        <f>electric_vehicles_dataset[[#This Row],[Units_Sold_2024]]*electric_vehicles_dataset[[#This Row],[Price_USD]]</f>
        <v>1821250975.9499998</v>
      </c>
      <c r="T600">
        <v>3</v>
      </c>
      <c r="U600">
        <v>14055</v>
      </c>
      <c r="V600">
        <v>3</v>
      </c>
    </row>
    <row r="601" spans="1:22" x14ac:dyDescent="0.35">
      <c r="A601">
        <v>600</v>
      </c>
      <c r="B601" t="s">
        <v>155</v>
      </c>
      <c r="C601" t="s">
        <v>156</v>
      </c>
      <c r="D601">
        <v>2023</v>
      </c>
      <c r="E601" t="s">
        <v>101</v>
      </c>
      <c r="F601">
        <v>52.4</v>
      </c>
      <c r="G601" t="s">
        <v>348</v>
      </c>
      <c r="H601">
        <f>electric_vehicles_dataset[[#This Row],[Battery_Capacity_kWh]]/electric_vehicles_dataset[[#This Row],[Range_km]]</f>
        <v>0.10650406504065041</v>
      </c>
      <c r="I601">
        <v>492</v>
      </c>
      <c r="J601" t="s">
        <v>48</v>
      </c>
      <c r="K601">
        <v>10</v>
      </c>
      <c r="L601" s="1">
        <v>149310.85</v>
      </c>
      <c r="M601" s="1" t="str" cm="1">
        <f t="array" ref="M6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01" t="s">
        <v>100</v>
      </c>
      <c r="O601" t="s">
        <v>199</v>
      </c>
      <c r="P601" s="2" t="s">
        <v>394</v>
      </c>
      <c r="Q601">
        <v>5</v>
      </c>
      <c r="R601" t="s">
        <v>392</v>
      </c>
      <c r="S601" s="1">
        <f>electric_vehicles_dataset[[#This Row],[Units_Sold_2024]]*electric_vehicles_dataset[[#This Row],[Price_USD]]</f>
        <v>2457656591</v>
      </c>
      <c r="T601">
        <v>5</v>
      </c>
      <c r="U601">
        <v>16460</v>
      </c>
      <c r="V601">
        <v>5</v>
      </c>
    </row>
    <row r="602" spans="1:22" x14ac:dyDescent="0.35">
      <c r="A602">
        <v>601</v>
      </c>
      <c r="B602" t="s">
        <v>120</v>
      </c>
      <c r="C602" t="s">
        <v>288</v>
      </c>
      <c r="D602">
        <v>2024</v>
      </c>
      <c r="E602" t="s">
        <v>73</v>
      </c>
      <c r="F602">
        <v>102.5</v>
      </c>
      <c r="G602" t="s">
        <v>361</v>
      </c>
      <c r="H602">
        <f>electric_vehicles_dataset[[#This Row],[Battery_Capacity_kWh]]/electric_vehicles_dataset[[#This Row],[Range_km]]</f>
        <v>0.47235023041474655</v>
      </c>
      <c r="I602">
        <v>217</v>
      </c>
      <c r="J602" t="s">
        <v>48</v>
      </c>
      <c r="K602">
        <v>2</v>
      </c>
      <c r="L602" s="1">
        <v>34603.97</v>
      </c>
      <c r="M602" s="1" t="str" cm="1">
        <f t="array" ref="M60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02" t="s">
        <v>55</v>
      </c>
      <c r="O602" t="s">
        <v>44</v>
      </c>
      <c r="P602" s="2" t="s">
        <v>389</v>
      </c>
      <c r="Q602">
        <v>4</v>
      </c>
      <c r="R602" t="s">
        <v>392</v>
      </c>
      <c r="S602" s="1">
        <f>electric_vehicles_dataset[[#This Row],[Units_Sold_2024]]*electric_vehicles_dataset[[#This Row],[Price_USD]]</f>
        <v>461824583.62</v>
      </c>
      <c r="T602">
        <v>4</v>
      </c>
      <c r="U602">
        <v>13346</v>
      </c>
      <c r="V602">
        <v>5</v>
      </c>
    </row>
    <row r="603" spans="1:22" x14ac:dyDescent="0.35">
      <c r="A603">
        <v>602</v>
      </c>
      <c r="B603" t="s">
        <v>234</v>
      </c>
      <c r="C603" t="s">
        <v>235</v>
      </c>
      <c r="D603">
        <v>2018</v>
      </c>
      <c r="E603" t="s">
        <v>104</v>
      </c>
      <c r="F603">
        <v>75.400000000000006</v>
      </c>
      <c r="G603" t="s">
        <v>351</v>
      </c>
      <c r="H603">
        <f>electric_vehicles_dataset[[#This Row],[Battery_Capacity_kWh]]/electric_vehicles_dataset[[#This Row],[Range_km]]</f>
        <v>0.57557251908396956</v>
      </c>
      <c r="I603">
        <v>131</v>
      </c>
      <c r="J603" t="s">
        <v>358</v>
      </c>
      <c r="K603">
        <v>8</v>
      </c>
      <c r="L603" s="1">
        <v>66514.8</v>
      </c>
      <c r="M603" s="1" t="str" cm="1">
        <f t="array" ref="M60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03" t="s">
        <v>49</v>
      </c>
      <c r="O603" t="s">
        <v>33</v>
      </c>
      <c r="P603" s="2" t="s">
        <v>393</v>
      </c>
      <c r="Q603">
        <v>2</v>
      </c>
      <c r="R603" t="s">
        <v>391</v>
      </c>
      <c r="S603" s="1">
        <f>electric_vehicles_dataset[[#This Row],[Units_Sold_2024]]*electric_vehicles_dataset[[#This Row],[Price_USD]]</f>
        <v>396095634</v>
      </c>
      <c r="T603">
        <v>3</v>
      </c>
      <c r="U603">
        <v>5955</v>
      </c>
      <c r="V603">
        <v>3</v>
      </c>
    </row>
    <row r="604" spans="1:22" x14ac:dyDescent="0.35">
      <c r="A604">
        <v>603</v>
      </c>
      <c r="B604" t="s">
        <v>79</v>
      </c>
      <c r="C604" t="s">
        <v>267</v>
      </c>
      <c r="D604">
        <v>2025</v>
      </c>
      <c r="E604" t="s">
        <v>17</v>
      </c>
      <c r="F604">
        <v>61.8</v>
      </c>
      <c r="G604" t="s">
        <v>351</v>
      </c>
      <c r="H604">
        <f>electric_vehicles_dataset[[#This Row],[Battery_Capacity_kWh]]/electric_vehicles_dataset[[#This Row],[Range_km]]</f>
        <v>0.25121951219512195</v>
      </c>
      <c r="I604">
        <v>246</v>
      </c>
      <c r="J604" t="s">
        <v>356</v>
      </c>
      <c r="K604">
        <v>4</v>
      </c>
      <c r="L604" s="1">
        <v>102782.62</v>
      </c>
      <c r="M604" s="1" t="str" cm="1">
        <f t="array" ref="M60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04" t="s">
        <v>196</v>
      </c>
      <c r="O604" t="s">
        <v>86</v>
      </c>
      <c r="P604" s="2" t="s">
        <v>389</v>
      </c>
      <c r="Q604">
        <v>3</v>
      </c>
      <c r="R604" t="s">
        <v>397</v>
      </c>
      <c r="S604" s="1">
        <f>electric_vehicles_dataset[[#This Row],[Units_Sold_2024]]*electric_vehicles_dataset[[#This Row],[Price_USD]]</f>
        <v>45943831.140000001</v>
      </c>
      <c r="T604">
        <v>3</v>
      </c>
      <c r="U604">
        <v>447</v>
      </c>
      <c r="V604">
        <v>5</v>
      </c>
    </row>
    <row r="605" spans="1:22" x14ac:dyDescent="0.35">
      <c r="A605">
        <v>604</v>
      </c>
      <c r="B605" t="s">
        <v>21</v>
      </c>
      <c r="C605" t="s">
        <v>349</v>
      </c>
      <c r="D605">
        <v>2020</v>
      </c>
      <c r="E605" t="s">
        <v>104</v>
      </c>
      <c r="F605">
        <v>116.4</v>
      </c>
      <c r="G605" t="s">
        <v>361</v>
      </c>
      <c r="H605">
        <f>electric_vehicles_dataset[[#This Row],[Battery_Capacity_kWh]]/electric_vehicles_dataset[[#This Row],[Range_km]]</f>
        <v>0.40842105263157896</v>
      </c>
      <c r="I605">
        <v>285</v>
      </c>
      <c r="J605" t="s">
        <v>149</v>
      </c>
      <c r="K605">
        <v>3</v>
      </c>
      <c r="L605" s="1">
        <v>63113.63</v>
      </c>
      <c r="M605" s="1" t="str" cm="1">
        <f t="array" ref="M6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05" t="s">
        <v>98</v>
      </c>
      <c r="O605" t="s">
        <v>110</v>
      </c>
      <c r="P605" s="2" t="s">
        <v>394</v>
      </c>
      <c r="Q605">
        <v>3</v>
      </c>
      <c r="R605" t="s">
        <v>397</v>
      </c>
      <c r="S605" s="1">
        <f>electric_vehicles_dataset[[#This Row],[Units_Sold_2024]]*electric_vehicles_dataset[[#This Row],[Price_USD]]</f>
        <v>248857043.09</v>
      </c>
      <c r="T605">
        <v>5</v>
      </c>
      <c r="U605">
        <v>3943</v>
      </c>
      <c r="V605">
        <v>3</v>
      </c>
    </row>
    <row r="606" spans="1:22" x14ac:dyDescent="0.35">
      <c r="A606">
        <v>605</v>
      </c>
      <c r="B606" t="s">
        <v>41</v>
      </c>
      <c r="C606" t="s">
        <v>374</v>
      </c>
      <c r="D606">
        <v>2018</v>
      </c>
      <c r="E606" t="s">
        <v>17</v>
      </c>
      <c r="F606">
        <v>78</v>
      </c>
      <c r="G606" t="s">
        <v>351</v>
      </c>
      <c r="H606">
        <f>electric_vehicles_dataset[[#This Row],[Battery_Capacity_kWh]]/electric_vehicles_dataset[[#This Row],[Range_km]]</f>
        <v>0.52</v>
      </c>
      <c r="I606">
        <v>150</v>
      </c>
      <c r="J606" t="s">
        <v>364</v>
      </c>
      <c r="K606">
        <v>11</v>
      </c>
      <c r="L606" s="1">
        <v>104281.24</v>
      </c>
      <c r="M606" s="1" t="str" cm="1">
        <f t="array" ref="M60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06" t="s">
        <v>127</v>
      </c>
      <c r="O606" t="s">
        <v>226</v>
      </c>
      <c r="P606" s="2" t="s">
        <v>395</v>
      </c>
      <c r="Q606">
        <v>1</v>
      </c>
      <c r="R606" t="s">
        <v>391</v>
      </c>
      <c r="S606" s="1">
        <f>electric_vehicles_dataset[[#This Row],[Units_Sold_2024]]*electric_vehicles_dataset[[#This Row],[Price_USD]]</f>
        <v>654990468.44000006</v>
      </c>
      <c r="T606">
        <v>3</v>
      </c>
      <c r="U606">
        <v>6281</v>
      </c>
      <c r="V606">
        <v>4</v>
      </c>
    </row>
    <row r="607" spans="1:22" x14ac:dyDescent="0.35">
      <c r="A607">
        <v>606</v>
      </c>
      <c r="B607" t="s">
        <v>21</v>
      </c>
      <c r="C607" t="s">
        <v>363</v>
      </c>
      <c r="D607">
        <v>2023</v>
      </c>
      <c r="E607" t="s">
        <v>104</v>
      </c>
      <c r="F607">
        <v>136.30000000000001</v>
      </c>
      <c r="G607" t="s">
        <v>352</v>
      </c>
      <c r="H607">
        <f>electric_vehicles_dataset[[#This Row],[Battery_Capacity_kWh]]/electric_vehicles_dataset[[#This Row],[Range_km]]</f>
        <v>0.41428571428571431</v>
      </c>
      <c r="I607">
        <v>329</v>
      </c>
      <c r="J607" t="s">
        <v>48</v>
      </c>
      <c r="K607">
        <v>11</v>
      </c>
      <c r="L607" s="1">
        <v>38125.019999999997</v>
      </c>
      <c r="M607" s="1" t="str" cm="1">
        <f t="array" ref="M60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07" t="s">
        <v>70</v>
      </c>
      <c r="O607" t="s">
        <v>121</v>
      </c>
      <c r="P607" s="2" t="s">
        <v>398</v>
      </c>
      <c r="Q607">
        <v>4</v>
      </c>
      <c r="R607" t="s">
        <v>392</v>
      </c>
      <c r="S607" s="1">
        <f>electric_vehicles_dataset[[#This Row],[Units_Sold_2024]]*electric_vehicles_dataset[[#This Row],[Price_USD]]</f>
        <v>161040084.47999999</v>
      </c>
      <c r="T607">
        <v>4</v>
      </c>
      <c r="U607">
        <v>4224</v>
      </c>
      <c r="V607">
        <v>4</v>
      </c>
    </row>
    <row r="608" spans="1:22" x14ac:dyDescent="0.35">
      <c r="A608">
        <v>607</v>
      </c>
      <c r="B608" t="s">
        <v>108</v>
      </c>
      <c r="C608" t="s">
        <v>308</v>
      </c>
      <c r="D608">
        <v>2015</v>
      </c>
      <c r="E608" t="s">
        <v>183</v>
      </c>
      <c r="F608">
        <v>146.4</v>
      </c>
      <c r="G608" t="s">
        <v>386</v>
      </c>
      <c r="H608">
        <f>electric_vehicles_dataset[[#This Row],[Battery_Capacity_kWh]]/electric_vehicles_dataset[[#This Row],[Range_km]]</f>
        <v>0.74314720812182744</v>
      </c>
      <c r="I608">
        <v>197</v>
      </c>
      <c r="J608" t="s">
        <v>34</v>
      </c>
      <c r="K608">
        <v>6</v>
      </c>
      <c r="L608" s="1">
        <v>93896.38</v>
      </c>
      <c r="M608" s="1" t="str" cm="1">
        <f t="array" ref="M60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08" t="s">
        <v>246</v>
      </c>
      <c r="O608" t="s">
        <v>92</v>
      </c>
      <c r="P608" s="2" t="s">
        <v>394</v>
      </c>
      <c r="Q608">
        <v>4</v>
      </c>
      <c r="R608" t="s">
        <v>392</v>
      </c>
      <c r="S608" s="1">
        <f>electric_vehicles_dataset[[#This Row],[Units_Sold_2024]]*electric_vehicles_dataset[[#This Row],[Price_USD]]</f>
        <v>1868256272.8600001</v>
      </c>
      <c r="T608">
        <v>4</v>
      </c>
      <c r="U608">
        <v>19897</v>
      </c>
      <c r="V608">
        <v>4</v>
      </c>
    </row>
    <row r="609" spans="1:22" x14ac:dyDescent="0.35">
      <c r="A609">
        <v>608</v>
      </c>
      <c r="B609" t="s">
        <v>192</v>
      </c>
      <c r="C609" t="s">
        <v>316</v>
      </c>
      <c r="D609">
        <v>2015</v>
      </c>
      <c r="E609" t="s">
        <v>101</v>
      </c>
      <c r="F609">
        <v>94.3</v>
      </c>
      <c r="G609" t="s">
        <v>350</v>
      </c>
      <c r="H609">
        <f>electric_vehicles_dataset[[#This Row],[Battery_Capacity_kWh]]/electric_vehicles_dataset[[#This Row],[Range_km]]</f>
        <v>0.23399503722084367</v>
      </c>
      <c r="I609">
        <v>403</v>
      </c>
      <c r="J609" t="s">
        <v>76</v>
      </c>
      <c r="K609">
        <v>11</v>
      </c>
      <c r="L609" s="1">
        <v>124877.63</v>
      </c>
      <c r="M609" s="1" t="str" cm="1">
        <f t="array" ref="M60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09" t="s">
        <v>32</v>
      </c>
      <c r="O609" t="s">
        <v>206</v>
      </c>
      <c r="P609" s="2" t="s">
        <v>394</v>
      </c>
      <c r="Q609">
        <v>4</v>
      </c>
      <c r="R609" t="s">
        <v>392</v>
      </c>
      <c r="S609" s="1">
        <f>electric_vehicles_dataset[[#This Row],[Units_Sold_2024]]*electric_vehicles_dataset[[#This Row],[Price_USD]]</f>
        <v>1098673388.74</v>
      </c>
      <c r="T609">
        <v>4</v>
      </c>
      <c r="U609">
        <v>8798</v>
      </c>
      <c r="V609">
        <v>5</v>
      </c>
    </row>
    <row r="610" spans="1:22" x14ac:dyDescent="0.35">
      <c r="A610">
        <v>609</v>
      </c>
      <c r="B610" t="s">
        <v>64</v>
      </c>
      <c r="C610" t="s">
        <v>65</v>
      </c>
      <c r="D610">
        <v>2018</v>
      </c>
      <c r="E610" t="s">
        <v>84</v>
      </c>
      <c r="F610">
        <v>89.4</v>
      </c>
      <c r="G610" t="s">
        <v>350</v>
      </c>
      <c r="H610">
        <f>electric_vehicles_dataset[[#This Row],[Battery_Capacity_kWh]]/electric_vehicles_dataset[[#This Row],[Range_km]]</f>
        <v>0.35903614457831329</v>
      </c>
      <c r="I610">
        <v>249</v>
      </c>
      <c r="J610" t="s">
        <v>27</v>
      </c>
      <c r="K610">
        <v>8</v>
      </c>
      <c r="L610" s="1">
        <v>143045.51999999999</v>
      </c>
      <c r="M610" s="1" t="str" cm="1">
        <f t="array" ref="M61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10" t="s">
        <v>49</v>
      </c>
      <c r="O610" t="s">
        <v>150</v>
      </c>
      <c r="P610" s="2" t="s">
        <v>389</v>
      </c>
      <c r="Q610">
        <v>0</v>
      </c>
      <c r="R610" t="s">
        <v>390</v>
      </c>
      <c r="S610" s="1">
        <f>electric_vehicles_dataset[[#This Row],[Units_Sold_2024]]*electric_vehicles_dataset[[#This Row],[Price_USD]]</f>
        <v>2505728373.8399997</v>
      </c>
      <c r="T610">
        <v>3</v>
      </c>
      <c r="U610">
        <v>17517</v>
      </c>
      <c r="V610">
        <v>3</v>
      </c>
    </row>
    <row r="611" spans="1:22" x14ac:dyDescent="0.35">
      <c r="A611">
        <v>610</v>
      </c>
      <c r="B611" t="s">
        <v>79</v>
      </c>
      <c r="C611" t="s">
        <v>376</v>
      </c>
      <c r="D611">
        <v>2020</v>
      </c>
      <c r="E611" t="s">
        <v>73</v>
      </c>
      <c r="F611">
        <v>98.7</v>
      </c>
      <c r="G611" t="s">
        <v>350</v>
      </c>
      <c r="H611">
        <f>electric_vehicles_dataset[[#This Row],[Battery_Capacity_kWh]]/electric_vehicles_dataset[[#This Row],[Range_km]]</f>
        <v>0.34270833333333334</v>
      </c>
      <c r="I611">
        <v>288</v>
      </c>
      <c r="J611" t="s">
        <v>38</v>
      </c>
      <c r="K611">
        <v>2</v>
      </c>
      <c r="L611" s="1">
        <v>114655.41</v>
      </c>
      <c r="M611" s="1" t="str" cm="1">
        <f t="array" ref="M61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11" t="s">
        <v>114</v>
      </c>
      <c r="O611" t="s">
        <v>161</v>
      </c>
      <c r="P611" s="2" t="s">
        <v>389</v>
      </c>
      <c r="Q611">
        <v>3</v>
      </c>
      <c r="R611" t="s">
        <v>397</v>
      </c>
      <c r="S611" s="1">
        <f>electric_vehicles_dataset[[#This Row],[Units_Sold_2024]]*electric_vehicles_dataset[[#This Row],[Price_USD]]</f>
        <v>39097494.810000002</v>
      </c>
      <c r="T611">
        <v>3</v>
      </c>
      <c r="U611">
        <v>341</v>
      </c>
      <c r="V611">
        <v>4</v>
      </c>
    </row>
    <row r="612" spans="1:22" x14ac:dyDescent="0.35">
      <c r="A612">
        <v>611</v>
      </c>
      <c r="B612" t="s">
        <v>128</v>
      </c>
      <c r="C612" t="s">
        <v>129</v>
      </c>
      <c r="D612">
        <v>2017</v>
      </c>
      <c r="E612" t="s">
        <v>133</v>
      </c>
      <c r="F612">
        <v>146.30000000000001</v>
      </c>
      <c r="G612" t="s">
        <v>386</v>
      </c>
      <c r="H612">
        <f>electric_vehicles_dataset[[#This Row],[Battery_Capacity_kWh]]/electric_vehicles_dataset[[#This Row],[Range_km]]</f>
        <v>0.39013333333333339</v>
      </c>
      <c r="I612">
        <v>375</v>
      </c>
      <c r="J612" t="s">
        <v>48</v>
      </c>
      <c r="K612">
        <v>9</v>
      </c>
      <c r="L612" s="1">
        <v>112573.85</v>
      </c>
      <c r="M612" s="1" t="str" cm="1">
        <f t="array" ref="M61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12" t="s">
        <v>39</v>
      </c>
      <c r="O612" t="s">
        <v>161</v>
      </c>
      <c r="P612" s="2" t="s">
        <v>389</v>
      </c>
      <c r="Q612">
        <v>5</v>
      </c>
      <c r="R612" t="s">
        <v>392</v>
      </c>
      <c r="S612" s="1">
        <f>electric_vehicles_dataset[[#This Row],[Units_Sold_2024]]*electric_vehicles_dataset[[#This Row],[Price_USD]]</f>
        <v>813796361.6500001</v>
      </c>
      <c r="T612">
        <v>4</v>
      </c>
      <c r="U612">
        <v>7229</v>
      </c>
      <c r="V612">
        <v>4</v>
      </c>
    </row>
    <row r="613" spans="1:22" x14ac:dyDescent="0.35">
      <c r="A613">
        <v>612</v>
      </c>
      <c r="B613" t="s">
        <v>122</v>
      </c>
      <c r="C613" t="s">
        <v>186</v>
      </c>
      <c r="D613">
        <v>2024</v>
      </c>
      <c r="E613" t="s">
        <v>73</v>
      </c>
      <c r="F613">
        <v>125</v>
      </c>
      <c r="G613" t="s">
        <v>352</v>
      </c>
      <c r="H613">
        <f>electric_vehicles_dataset[[#This Row],[Battery_Capacity_kWh]]/electric_vehicles_dataset[[#This Row],[Range_km]]</f>
        <v>0.25773195876288657</v>
      </c>
      <c r="I613">
        <v>485</v>
      </c>
      <c r="J613" t="s">
        <v>34</v>
      </c>
      <c r="K613">
        <v>2</v>
      </c>
      <c r="L613" s="1">
        <v>57806.78</v>
      </c>
      <c r="M613" s="1" t="str" cm="1">
        <f t="array" ref="M6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13" t="s">
        <v>254</v>
      </c>
      <c r="O613" t="s">
        <v>199</v>
      </c>
      <c r="P613" s="2" t="s">
        <v>394</v>
      </c>
      <c r="Q613">
        <v>3</v>
      </c>
      <c r="R613" t="s">
        <v>397</v>
      </c>
      <c r="S613" s="1">
        <f>electric_vehicles_dataset[[#This Row],[Units_Sold_2024]]*electric_vehicles_dataset[[#This Row],[Price_USD]]</f>
        <v>333545120.59999996</v>
      </c>
      <c r="T613">
        <v>3</v>
      </c>
      <c r="U613">
        <v>5770</v>
      </c>
      <c r="V613">
        <v>3</v>
      </c>
    </row>
    <row r="614" spans="1:22" x14ac:dyDescent="0.35">
      <c r="A614">
        <v>613</v>
      </c>
      <c r="B614" t="s">
        <v>261</v>
      </c>
      <c r="C614" t="s">
        <v>278</v>
      </c>
      <c r="D614">
        <v>2017</v>
      </c>
      <c r="E614" t="s">
        <v>73</v>
      </c>
      <c r="F614">
        <v>56.7</v>
      </c>
      <c r="G614" t="s">
        <v>348</v>
      </c>
      <c r="H614">
        <f>electric_vehicles_dataset[[#This Row],[Battery_Capacity_kWh]]/electric_vehicles_dataset[[#This Row],[Range_km]]</f>
        <v>0.21976744186046512</v>
      </c>
      <c r="I614">
        <v>258</v>
      </c>
      <c r="J614" t="s">
        <v>85</v>
      </c>
      <c r="K614">
        <v>11</v>
      </c>
      <c r="L614" s="1">
        <v>128099.9</v>
      </c>
      <c r="M614" s="1" t="str" cm="1">
        <f t="array" ref="M61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14" t="s">
        <v>106</v>
      </c>
      <c r="O614" t="s">
        <v>139</v>
      </c>
      <c r="P614" s="2" t="s">
        <v>389</v>
      </c>
      <c r="Q614">
        <v>1</v>
      </c>
      <c r="R614" t="s">
        <v>391</v>
      </c>
      <c r="S614" s="1">
        <f>electric_vehicles_dataset[[#This Row],[Units_Sold_2024]]*electric_vehicles_dataset[[#This Row],[Price_USD]]</f>
        <v>1689509581.0999999</v>
      </c>
      <c r="T614">
        <v>5</v>
      </c>
      <c r="U614">
        <v>13189</v>
      </c>
      <c r="V614">
        <v>3</v>
      </c>
    </row>
    <row r="615" spans="1:22" x14ac:dyDescent="0.35">
      <c r="A615">
        <v>614</v>
      </c>
      <c r="B615" t="s">
        <v>259</v>
      </c>
      <c r="C615" t="s">
        <v>298</v>
      </c>
      <c r="D615">
        <v>2015</v>
      </c>
      <c r="E615" t="s">
        <v>90</v>
      </c>
      <c r="F615">
        <v>33</v>
      </c>
      <c r="G615" t="s">
        <v>357</v>
      </c>
      <c r="H615">
        <f>electric_vehicles_dataset[[#This Row],[Battery_Capacity_kWh]]/electric_vehicles_dataset[[#This Row],[Range_km]]</f>
        <v>0.11148648648648649</v>
      </c>
      <c r="I615">
        <v>296</v>
      </c>
      <c r="J615" t="s">
        <v>76</v>
      </c>
      <c r="K615">
        <v>2</v>
      </c>
      <c r="L615" s="1">
        <v>31626.25</v>
      </c>
      <c r="M615" s="1" t="str" cm="1">
        <f t="array" ref="M61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15" t="s">
        <v>142</v>
      </c>
      <c r="O615" t="s">
        <v>95</v>
      </c>
      <c r="P615" s="2" t="s">
        <v>394</v>
      </c>
      <c r="Q615">
        <v>1</v>
      </c>
      <c r="R615" t="s">
        <v>391</v>
      </c>
      <c r="S615" s="1">
        <f>electric_vehicles_dataset[[#This Row],[Units_Sold_2024]]*electric_vehicles_dataset[[#This Row],[Price_USD]]</f>
        <v>621392560</v>
      </c>
      <c r="T615">
        <v>5</v>
      </c>
      <c r="U615">
        <v>19648</v>
      </c>
      <c r="V615">
        <v>3</v>
      </c>
    </row>
    <row r="616" spans="1:22" x14ac:dyDescent="0.35">
      <c r="A616">
        <v>615</v>
      </c>
      <c r="B616" t="s">
        <v>170</v>
      </c>
      <c r="C616" t="s">
        <v>334</v>
      </c>
      <c r="D616">
        <v>2016</v>
      </c>
      <c r="E616" t="s">
        <v>47</v>
      </c>
      <c r="F616">
        <v>115.7</v>
      </c>
      <c r="G616" t="s">
        <v>361</v>
      </c>
      <c r="H616">
        <f>electric_vehicles_dataset[[#This Row],[Battery_Capacity_kWh]]/electric_vehicles_dataset[[#This Row],[Range_km]]</f>
        <v>0.4238095238095238</v>
      </c>
      <c r="I616">
        <v>273</v>
      </c>
      <c r="J616" t="s">
        <v>364</v>
      </c>
      <c r="K616">
        <v>3</v>
      </c>
      <c r="L616" s="1">
        <v>87651.05</v>
      </c>
      <c r="M616" s="1" t="str" cm="1">
        <f t="array" ref="M61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16" t="s">
        <v>59</v>
      </c>
      <c r="O616" t="s">
        <v>236</v>
      </c>
      <c r="P616" s="2" t="s">
        <v>394</v>
      </c>
      <c r="Q616">
        <v>2</v>
      </c>
      <c r="R616" t="s">
        <v>391</v>
      </c>
      <c r="S616" s="1">
        <f>electric_vehicles_dataset[[#This Row],[Units_Sold_2024]]*electric_vehicles_dataset[[#This Row],[Price_USD]]</f>
        <v>1561065200.5</v>
      </c>
      <c r="T616">
        <v>3</v>
      </c>
      <c r="U616">
        <v>17810</v>
      </c>
      <c r="V616">
        <v>5</v>
      </c>
    </row>
    <row r="617" spans="1:22" x14ac:dyDescent="0.35">
      <c r="A617">
        <v>616</v>
      </c>
      <c r="B617" t="s">
        <v>122</v>
      </c>
      <c r="C617" t="s">
        <v>250</v>
      </c>
      <c r="D617">
        <v>2023</v>
      </c>
      <c r="E617" t="s">
        <v>58</v>
      </c>
      <c r="F617">
        <v>22.8</v>
      </c>
      <c r="G617" t="s">
        <v>357</v>
      </c>
      <c r="H617">
        <f>electric_vehicles_dataset[[#This Row],[Battery_Capacity_kWh]]/electric_vehicles_dataset[[#This Row],[Range_km]]</f>
        <v>0.18688524590163935</v>
      </c>
      <c r="I617">
        <v>122</v>
      </c>
      <c r="J617" t="s">
        <v>48</v>
      </c>
      <c r="K617">
        <v>7</v>
      </c>
      <c r="L617" s="1">
        <v>42307.93</v>
      </c>
      <c r="M617" s="1" t="str" cm="1">
        <f t="array" ref="M61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17" t="s">
        <v>142</v>
      </c>
      <c r="O617" t="s">
        <v>169</v>
      </c>
      <c r="P617" s="2" t="s">
        <v>394</v>
      </c>
      <c r="Q617">
        <v>2</v>
      </c>
      <c r="R617" t="s">
        <v>391</v>
      </c>
      <c r="S617" s="1">
        <f>electric_vehicles_dataset[[#This Row],[Units_Sold_2024]]*electric_vehicles_dataset[[#This Row],[Price_USD]]</f>
        <v>592141788.27999997</v>
      </c>
      <c r="T617">
        <v>4</v>
      </c>
      <c r="U617">
        <v>13996</v>
      </c>
      <c r="V617">
        <v>4</v>
      </c>
    </row>
    <row r="618" spans="1:22" x14ac:dyDescent="0.35">
      <c r="A618">
        <v>617</v>
      </c>
      <c r="B618" t="s">
        <v>153</v>
      </c>
      <c r="C618" t="s">
        <v>154</v>
      </c>
      <c r="D618">
        <v>2025</v>
      </c>
      <c r="E618" t="s">
        <v>133</v>
      </c>
      <c r="F618">
        <v>49.4</v>
      </c>
      <c r="G618" t="s">
        <v>348</v>
      </c>
      <c r="H618">
        <f>electric_vehicles_dataset[[#This Row],[Battery_Capacity_kWh]]/electric_vehicles_dataset[[#This Row],[Range_km]]</f>
        <v>8.9818181818181811E-2</v>
      </c>
      <c r="I618">
        <v>550</v>
      </c>
      <c r="J618" t="s">
        <v>34</v>
      </c>
      <c r="K618">
        <v>8</v>
      </c>
      <c r="L618" s="1">
        <v>115782.14</v>
      </c>
      <c r="M618" s="1" t="str" cm="1">
        <f t="array" ref="M6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18" t="s">
        <v>43</v>
      </c>
      <c r="O618" t="s">
        <v>230</v>
      </c>
      <c r="P618" s="2" t="s">
        <v>389</v>
      </c>
      <c r="Q618">
        <v>0</v>
      </c>
      <c r="R618" t="s">
        <v>390</v>
      </c>
      <c r="S618" s="1">
        <f>electric_vehicles_dataset[[#This Row],[Units_Sold_2024]]*electric_vehicles_dataset[[#This Row],[Price_USD]]</f>
        <v>1355577295.1199999</v>
      </c>
      <c r="T618">
        <v>4</v>
      </c>
      <c r="U618">
        <v>11708</v>
      </c>
      <c r="V618">
        <v>3</v>
      </c>
    </row>
    <row r="619" spans="1:22" x14ac:dyDescent="0.35">
      <c r="A619">
        <v>618</v>
      </c>
      <c r="B619" t="s">
        <v>155</v>
      </c>
      <c r="C619" t="s">
        <v>190</v>
      </c>
      <c r="D619">
        <v>2016</v>
      </c>
      <c r="E619" t="s">
        <v>104</v>
      </c>
      <c r="F619">
        <v>140</v>
      </c>
      <c r="G619" t="s">
        <v>352</v>
      </c>
      <c r="H619">
        <f>electric_vehicles_dataset[[#This Row],[Battery_Capacity_kWh]]/electric_vehicles_dataset[[#This Row],[Range_km]]</f>
        <v>0.24561403508771928</v>
      </c>
      <c r="I619">
        <v>570</v>
      </c>
      <c r="J619" t="s">
        <v>364</v>
      </c>
      <c r="K619">
        <v>11</v>
      </c>
      <c r="L619" s="1">
        <v>102540.77</v>
      </c>
      <c r="M619" s="1" t="str" cm="1">
        <f t="array" ref="M61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19" t="s">
        <v>229</v>
      </c>
      <c r="O619" t="s">
        <v>199</v>
      </c>
      <c r="P619" s="2" t="s">
        <v>394</v>
      </c>
      <c r="Q619">
        <v>4</v>
      </c>
      <c r="R619" t="s">
        <v>392</v>
      </c>
      <c r="S619" s="1">
        <f>electric_vehicles_dataset[[#This Row],[Units_Sold_2024]]*electric_vehicles_dataset[[#This Row],[Price_USD]]</f>
        <v>1013205348.37</v>
      </c>
      <c r="T619">
        <v>5</v>
      </c>
      <c r="U619">
        <v>9881</v>
      </c>
      <c r="V619">
        <v>5</v>
      </c>
    </row>
    <row r="620" spans="1:22" x14ac:dyDescent="0.35">
      <c r="A620">
        <v>619</v>
      </c>
      <c r="B620" t="s">
        <v>241</v>
      </c>
      <c r="C620" t="s">
        <v>242</v>
      </c>
      <c r="D620">
        <v>2020</v>
      </c>
      <c r="E620" t="s">
        <v>53</v>
      </c>
      <c r="F620">
        <v>33.5</v>
      </c>
      <c r="G620" t="s">
        <v>357</v>
      </c>
      <c r="H620">
        <f>electric_vehicles_dataset[[#This Row],[Battery_Capacity_kWh]]/electric_vehicles_dataset[[#This Row],[Range_km]]</f>
        <v>5.8875219683655534E-2</v>
      </c>
      <c r="I620">
        <v>569</v>
      </c>
      <c r="J620" t="s">
        <v>356</v>
      </c>
      <c r="K620">
        <v>8</v>
      </c>
      <c r="L620" s="1">
        <v>141945.82</v>
      </c>
      <c r="M620" s="1" t="str" cm="1">
        <f t="array" ref="M62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20" t="s">
        <v>271</v>
      </c>
      <c r="O620" t="s">
        <v>92</v>
      </c>
      <c r="P620" s="2" t="s">
        <v>394</v>
      </c>
      <c r="Q620">
        <v>1</v>
      </c>
      <c r="R620" t="s">
        <v>391</v>
      </c>
      <c r="S620" s="1">
        <f>electric_vehicles_dataset[[#This Row],[Units_Sold_2024]]*electric_vehicles_dataset[[#This Row],[Price_USD]]</f>
        <v>1816764550.1800001</v>
      </c>
      <c r="T620">
        <v>3</v>
      </c>
      <c r="U620">
        <v>12799</v>
      </c>
      <c r="V620">
        <v>4</v>
      </c>
    </row>
    <row r="621" spans="1:22" x14ac:dyDescent="0.35">
      <c r="A621">
        <v>620</v>
      </c>
      <c r="B621" t="s">
        <v>259</v>
      </c>
      <c r="C621" t="s">
        <v>260</v>
      </c>
      <c r="D621">
        <v>2016</v>
      </c>
      <c r="E621" t="s">
        <v>58</v>
      </c>
      <c r="F621">
        <v>95.1</v>
      </c>
      <c r="G621" t="s">
        <v>350</v>
      </c>
      <c r="H621">
        <f>electric_vehicles_dataset[[#This Row],[Battery_Capacity_kWh]]/electric_vehicles_dataset[[#This Row],[Range_km]]</f>
        <v>0.16091370558375634</v>
      </c>
      <c r="I621">
        <v>591</v>
      </c>
      <c r="J621" t="s">
        <v>105</v>
      </c>
      <c r="K621">
        <v>2</v>
      </c>
      <c r="L621" s="1">
        <v>68766.41</v>
      </c>
      <c r="M621" s="1" t="str" cm="1">
        <f t="array" ref="M62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21" t="s">
        <v>131</v>
      </c>
      <c r="O621" t="s">
        <v>86</v>
      </c>
      <c r="P621" s="2" t="s">
        <v>389</v>
      </c>
      <c r="Q621">
        <v>2</v>
      </c>
      <c r="R621" t="s">
        <v>391</v>
      </c>
      <c r="S621" s="1">
        <f>electric_vehicles_dataset[[#This Row],[Units_Sold_2024]]*electric_vehicles_dataset[[#This Row],[Price_USD]]</f>
        <v>932747585.24000001</v>
      </c>
      <c r="T621">
        <v>5</v>
      </c>
      <c r="U621">
        <v>13564</v>
      </c>
      <c r="V621">
        <v>5</v>
      </c>
    </row>
    <row r="622" spans="1:22" x14ac:dyDescent="0.35">
      <c r="A622">
        <v>621</v>
      </c>
      <c r="B622" t="s">
        <v>170</v>
      </c>
      <c r="C622" t="s">
        <v>218</v>
      </c>
      <c r="D622">
        <v>2017</v>
      </c>
      <c r="E622" t="s">
        <v>183</v>
      </c>
      <c r="F622">
        <v>142.69999999999999</v>
      </c>
      <c r="G622" t="s">
        <v>386</v>
      </c>
      <c r="H622">
        <f>electric_vehicles_dataset[[#This Row],[Battery_Capacity_kWh]]/electric_vehicles_dataset[[#This Row],[Range_km]]</f>
        <v>0.24991243432574428</v>
      </c>
      <c r="I622">
        <v>571</v>
      </c>
      <c r="J622" t="s">
        <v>353</v>
      </c>
      <c r="K622">
        <v>5</v>
      </c>
      <c r="L622" s="1">
        <v>95920.71</v>
      </c>
      <c r="M622" s="1" t="str" cm="1">
        <f t="array" ref="M62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22" t="s">
        <v>19</v>
      </c>
      <c r="O622" t="s">
        <v>107</v>
      </c>
      <c r="P622" s="2" t="s">
        <v>394</v>
      </c>
      <c r="Q622">
        <v>4</v>
      </c>
      <c r="R622" t="s">
        <v>392</v>
      </c>
      <c r="S622" s="1">
        <f>electric_vehicles_dataset[[#This Row],[Units_Sold_2024]]*electric_vehicles_dataset[[#This Row],[Price_USD]]</f>
        <v>1325816053.6200001</v>
      </c>
      <c r="T622">
        <v>5</v>
      </c>
      <c r="U622">
        <v>13822</v>
      </c>
      <c r="V622">
        <v>5</v>
      </c>
    </row>
    <row r="623" spans="1:22" x14ac:dyDescent="0.35">
      <c r="A623">
        <v>622</v>
      </c>
      <c r="B623" t="s">
        <v>261</v>
      </c>
      <c r="C623" t="s">
        <v>370</v>
      </c>
      <c r="D623">
        <v>2018</v>
      </c>
      <c r="E623" t="s">
        <v>17</v>
      </c>
      <c r="F623">
        <v>31.3</v>
      </c>
      <c r="G623" t="s">
        <v>357</v>
      </c>
      <c r="H623">
        <f>electric_vehicles_dataset[[#This Row],[Battery_Capacity_kWh]]/electric_vehicles_dataset[[#This Row],[Range_km]]</f>
        <v>0.10982456140350877</v>
      </c>
      <c r="I623">
        <v>285</v>
      </c>
      <c r="J623" t="s">
        <v>76</v>
      </c>
      <c r="K623">
        <v>3</v>
      </c>
      <c r="L623" s="1">
        <v>132071.41</v>
      </c>
      <c r="M623" s="1" t="str" cm="1">
        <f t="array" ref="M62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23" t="s">
        <v>165</v>
      </c>
      <c r="O623" t="s">
        <v>354</v>
      </c>
      <c r="P623" s="2" t="s">
        <v>394</v>
      </c>
      <c r="Q623">
        <v>1</v>
      </c>
      <c r="R623" t="s">
        <v>391</v>
      </c>
      <c r="S623" s="1">
        <f>electric_vehicles_dataset[[#This Row],[Units_Sold_2024]]*electric_vehicles_dataset[[#This Row],[Price_USD]]</f>
        <v>1511821430.27</v>
      </c>
      <c r="T623">
        <v>4</v>
      </c>
      <c r="U623">
        <v>11447</v>
      </c>
      <c r="V623">
        <v>4</v>
      </c>
    </row>
    <row r="624" spans="1:22" x14ac:dyDescent="0.35">
      <c r="A624">
        <v>623</v>
      </c>
      <c r="B624" t="s">
        <v>193</v>
      </c>
      <c r="C624" t="s">
        <v>194</v>
      </c>
      <c r="D624">
        <v>2019</v>
      </c>
      <c r="E624" t="s">
        <v>130</v>
      </c>
      <c r="F624">
        <v>38.700000000000003</v>
      </c>
      <c r="G624" t="s">
        <v>357</v>
      </c>
      <c r="H624">
        <f>electric_vehicles_dataset[[#This Row],[Battery_Capacity_kWh]]/electric_vehicles_dataset[[#This Row],[Range_km]]</f>
        <v>7.2201492537313436E-2</v>
      </c>
      <c r="I624">
        <v>536</v>
      </c>
      <c r="J624" t="s">
        <v>358</v>
      </c>
      <c r="K624">
        <v>3</v>
      </c>
      <c r="L624" s="1">
        <v>129338.62</v>
      </c>
      <c r="M624" s="1" t="str" cm="1">
        <f t="array" ref="M62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24" t="s">
        <v>279</v>
      </c>
      <c r="O624" t="s">
        <v>150</v>
      </c>
      <c r="P624" s="2" t="s">
        <v>389</v>
      </c>
      <c r="Q624">
        <v>1</v>
      </c>
      <c r="R624" t="s">
        <v>391</v>
      </c>
      <c r="S624" s="1">
        <f>electric_vehicles_dataset[[#This Row],[Units_Sold_2024]]*electric_vehicles_dataset[[#This Row],[Price_USD]]</f>
        <v>111619229.06</v>
      </c>
      <c r="T624">
        <v>5</v>
      </c>
      <c r="U624">
        <v>863</v>
      </c>
      <c r="V624">
        <v>5</v>
      </c>
    </row>
    <row r="625" spans="1:22" x14ac:dyDescent="0.35">
      <c r="A625">
        <v>624</v>
      </c>
      <c r="B625" t="s">
        <v>222</v>
      </c>
      <c r="C625" t="s">
        <v>232</v>
      </c>
      <c r="D625">
        <v>2015</v>
      </c>
      <c r="E625" t="s">
        <v>17</v>
      </c>
      <c r="F625">
        <v>33.799999999999997</v>
      </c>
      <c r="G625" t="s">
        <v>357</v>
      </c>
      <c r="H625">
        <f>electric_vehicles_dataset[[#This Row],[Battery_Capacity_kWh]]/electric_vehicles_dataset[[#This Row],[Range_km]]</f>
        <v>8.5138539042821149E-2</v>
      </c>
      <c r="I625">
        <v>397</v>
      </c>
      <c r="J625" t="s">
        <v>364</v>
      </c>
      <c r="K625">
        <v>6</v>
      </c>
      <c r="L625" s="1">
        <v>101271.08</v>
      </c>
      <c r="M625" s="1" t="str" cm="1">
        <f t="array" ref="M62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25" t="s">
        <v>177</v>
      </c>
      <c r="O625" t="s">
        <v>135</v>
      </c>
      <c r="P625" s="2" t="s">
        <v>389</v>
      </c>
      <c r="Q625">
        <v>1</v>
      </c>
      <c r="R625" t="s">
        <v>391</v>
      </c>
      <c r="S625" s="1">
        <f>electric_vehicles_dataset[[#This Row],[Units_Sold_2024]]*electric_vehicles_dataset[[#This Row],[Price_USD]]</f>
        <v>1888705642</v>
      </c>
      <c r="T625">
        <v>3</v>
      </c>
      <c r="U625">
        <v>18650</v>
      </c>
      <c r="V625">
        <v>4</v>
      </c>
    </row>
    <row r="626" spans="1:22" x14ac:dyDescent="0.35">
      <c r="A626">
        <v>625</v>
      </c>
      <c r="B626" t="s">
        <v>153</v>
      </c>
      <c r="C626" t="s">
        <v>178</v>
      </c>
      <c r="D626">
        <v>2022</v>
      </c>
      <c r="E626" t="s">
        <v>17</v>
      </c>
      <c r="F626">
        <v>38.200000000000003</v>
      </c>
      <c r="G626" t="s">
        <v>357</v>
      </c>
      <c r="H626">
        <f>electric_vehicles_dataset[[#This Row],[Battery_Capacity_kWh]]/electric_vehicles_dataset[[#This Row],[Range_km]]</f>
        <v>0.10324324324324326</v>
      </c>
      <c r="I626">
        <v>370</v>
      </c>
      <c r="J626" t="s">
        <v>54</v>
      </c>
      <c r="K626">
        <v>6</v>
      </c>
      <c r="L626" s="1">
        <v>116706.89</v>
      </c>
      <c r="M626" s="1" t="str" cm="1">
        <f t="array" ref="M62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26" t="s">
        <v>172</v>
      </c>
      <c r="O626" t="s">
        <v>115</v>
      </c>
      <c r="P626" s="2" t="s">
        <v>396</v>
      </c>
      <c r="Q626">
        <v>1</v>
      </c>
      <c r="R626" t="s">
        <v>391</v>
      </c>
      <c r="S626" s="1">
        <f>electric_vehicles_dataset[[#This Row],[Units_Sold_2024]]*electric_vehicles_dataset[[#This Row],[Price_USD]]</f>
        <v>663712083.42999995</v>
      </c>
      <c r="T626">
        <v>5</v>
      </c>
      <c r="U626">
        <v>5687</v>
      </c>
      <c r="V626">
        <v>5</v>
      </c>
    </row>
    <row r="627" spans="1:22" x14ac:dyDescent="0.35">
      <c r="A627">
        <v>626</v>
      </c>
      <c r="B627" t="s">
        <v>220</v>
      </c>
      <c r="C627" t="s">
        <v>335</v>
      </c>
      <c r="D627">
        <v>2021</v>
      </c>
      <c r="E627" t="s">
        <v>26</v>
      </c>
      <c r="F627">
        <v>75.099999999999994</v>
      </c>
      <c r="G627" t="s">
        <v>351</v>
      </c>
      <c r="H627">
        <f>electric_vehicles_dataset[[#This Row],[Battery_Capacity_kWh]]/electric_vehicles_dataset[[#This Row],[Range_km]]</f>
        <v>0.12837606837606835</v>
      </c>
      <c r="I627">
        <v>585</v>
      </c>
      <c r="J627" t="s">
        <v>345</v>
      </c>
      <c r="K627">
        <v>7</v>
      </c>
      <c r="L627" s="1">
        <v>129542.19</v>
      </c>
      <c r="M627" s="1" t="str" cm="1">
        <f t="array" ref="M62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27" t="s">
        <v>59</v>
      </c>
      <c r="O627" t="s">
        <v>206</v>
      </c>
      <c r="P627" s="2" t="s">
        <v>394</v>
      </c>
      <c r="Q627">
        <v>1</v>
      </c>
      <c r="R627" t="s">
        <v>391</v>
      </c>
      <c r="S627" s="1">
        <f>electric_vehicles_dataset[[#This Row],[Units_Sold_2024]]*electric_vehicles_dataset[[#This Row],[Price_USD]]</f>
        <v>2213616942.7200003</v>
      </c>
      <c r="T627">
        <v>3</v>
      </c>
      <c r="U627">
        <v>17088</v>
      </c>
      <c r="V627">
        <v>4</v>
      </c>
    </row>
    <row r="628" spans="1:22" x14ac:dyDescent="0.35">
      <c r="A628">
        <v>627</v>
      </c>
      <c r="B628" t="s">
        <v>60</v>
      </c>
      <c r="C628" t="s">
        <v>61</v>
      </c>
      <c r="D628">
        <v>2018</v>
      </c>
      <c r="E628" t="s">
        <v>42</v>
      </c>
      <c r="F628">
        <v>100.5</v>
      </c>
      <c r="G628" t="s">
        <v>361</v>
      </c>
      <c r="H628">
        <f>electric_vehicles_dataset[[#This Row],[Battery_Capacity_kWh]]/electric_vehicles_dataset[[#This Row],[Range_km]]</f>
        <v>0.47405660377358488</v>
      </c>
      <c r="I628">
        <v>212</v>
      </c>
      <c r="J628" t="s">
        <v>34</v>
      </c>
      <c r="K628">
        <v>3</v>
      </c>
      <c r="L628" s="1">
        <v>119519.49</v>
      </c>
      <c r="M628" s="1" t="str" cm="1">
        <f t="array" ref="M6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28" t="s">
        <v>114</v>
      </c>
      <c r="O628" t="s">
        <v>139</v>
      </c>
      <c r="P628" s="2" t="s">
        <v>389</v>
      </c>
      <c r="Q628">
        <v>5</v>
      </c>
      <c r="R628" t="s">
        <v>392</v>
      </c>
      <c r="S628" s="1">
        <f>electric_vehicles_dataset[[#This Row],[Units_Sold_2024]]*electric_vehicles_dataset[[#This Row],[Price_USD]]</f>
        <v>1586501710.26</v>
      </c>
      <c r="T628">
        <v>5</v>
      </c>
      <c r="U628">
        <v>13274</v>
      </c>
      <c r="V628">
        <v>4</v>
      </c>
    </row>
    <row r="629" spans="1:22" x14ac:dyDescent="0.35">
      <c r="A629">
        <v>628</v>
      </c>
      <c r="B629" t="s">
        <v>220</v>
      </c>
      <c r="C629" t="s">
        <v>335</v>
      </c>
      <c r="D629">
        <v>2020</v>
      </c>
      <c r="E629" t="s">
        <v>73</v>
      </c>
      <c r="F629">
        <v>75.099999999999994</v>
      </c>
      <c r="G629" t="s">
        <v>351</v>
      </c>
      <c r="H629">
        <f>electric_vehicles_dataset[[#This Row],[Battery_Capacity_kWh]]/electric_vehicles_dataset[[#This Row],[Range_km]]</f>
        <v>0.31554621848739495</v>
      </c>
      <c r="I629">
        <v>238</v>
      </c>
      <c r="J629" t="s">
        <v>48</v>
      </c>
      <c r="K629">
        <v>2</v>
      </c>
      <c r="L629" s="1">
        <v>73524.2</v>
      </c>
      <c r="M629" s="1" t="str" cm="1">
        <f t="array" ref="M62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29" t="s">
        <v>168</v>
      </c>
      <c r="O629" t="s">
        <v>50</v>
      </c>
      <c r="P629" s="2" t="s">
        <v>396</v>
      </c>
      <c r="Q629">
        <v>5</v>
      </c>
      <c r="R629" t="s">
        <v>392</v>
      </c>
      <c r="S629" s="1">
        <f>electric_vehicles_dataset[[#This Row],[Units_Sold_2024]]*electric_vehicles_dataset[[#This Row],[Price_USD]]</f>
        <v>510478520.59999996</v>
      </c>
      <c r="T629">
        <v>3</v>
      </c>
      <c r="U629">
        <v>6943</v>
      </c>
      <c r="V629">
        <v>5</v>
      </c>
    </row>
    <row r="630" spans="1:22" x14ac:dyDescent="0.35">
      <c r="A630">
        <v>629</v>
      </c>
      <c r="B630" t="s">
        <v>79</v>
      </c>
      <c r="C630" t="s">
        <v>299</v>
      </c>
      <c r="D630">
        <v>2018</v>
      </c>
      <c r="E630" t="s">
        <v>47</v>
      </c>
      <c r="F630">
        <v>46.2</v>
      </c>
      <c r="G630" t="s">
        <v>348</v>
      </c>
      <c r="H630">
        <f>electric_vehicles_dataset[[#This Row],[Battery_Capacity_kWh]]/electric_vehicles_dataset[[#This Row],[Range_km]]</f>
        <v>8.0347826086956523E-2</v>
      </c>
      <c r="I630">
        <v>575</v>
      </c>
      <c r="J630" t="s">
        <v>27</v>
      </c>
      <c r="K630">
        <v>3</v>
      </c>
      <c r="L630" s="1">
        <v>40204.720000000001</v>
      </c>
      <c r="M630" s="1" t="str" cm="1">
        <f t="array" ref="M63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30" t="s">
        <v>59</v>
      </c>
      <c r="O630" t="s">
        <v>182</v>
      </c>
      <c r="P630" s="2" t="s">
        <v>394</v>
      </c>
      <c r="Q630">
        <v>5</v>
      </c>
      <c r="R630" t="s">
        <v>392</v>
      </c>
      <c r="S630" s="1">
        <f>electric_vehicles_dataset[[#This Row],[Units_Sold_2024]]*electric_vehicles_dataset[[#This Row],[Price_USD]]</f>
        <v>414430253.75999999</v>
      </c>
      <c r="T630">
        <v>3</v>
      </c>
      <c r="U630">
        <v>10308</v>
      </c>
      <c r="V630">
        <v>3</v>
      </c>
    </row>
    <row r="631" spans="1:22" x14ac:dyDescent="0.35">
      <c r="A631">
        <v>630</v>
      </c>
      <c r="B631" t="s">
        <v>234</v>
      </c>
      <c r="C631" t="s">
        <v>235</v>
      </c>
      <c r="D631">
        <v>2020</v>
      </c>
      <c r="E631" t="s">
        <v>183</v>
      </c>
      <c r="F631">
        <v>56.7</v>
      </c>
      <c r="G631" t="s">
        <v>348</v>
      </c>
      <c r="H631">
        <f>electric_vehicles_dataset[[#This Row],[Battery_Capacity_kWh]]/electric_vehicles_dataset[[#This Row],[Range_km]]</f>
        <v>0.18712871287128713</v>
      </c>
      <c r="I631">
        <v>303</v>
      </c>
      <c r="J631" t="s">
        <v>359</v>
      </c>
      <c r="K631">
        <v>4</v>
      </c>
      <c r="L631" s="1">
        <v>76876.960000000006</v>
      </c>
      <c r="M631" s="1" t="str" cm="1">
        <f t="array" ref="M63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31" t="s">
        <v>91</v>
      </c>
      <c r="O631" t="s">
        <v>150</v>
      </c>
      <c r="P631" s="2" t="s">
        <v>389</v>
      </c>
      <c r="Q631">
        <v>0</v>
      </c>
      <c r="R631" t="s">
        <v>390</v>
      </c>
      <c r="S631" s="1">
        <f>electric_vehicles_dataset[[#This Row],[Units_Sold_2024]]*electric_vehicles_dataset[[#This Row],[Price_USD]]</f>
        <v>254385860.64000002</v>
      </c>
      <c r="T631">
        <v>5</v>
      </c>
      <c r="U631">
        <v>3309</v>
      </c>
      <c r="V631">
        <v>5</v>
      </c>
    </row>
    <row r="632" spans="1:22" x14ac:dyDescent="0.35">
      <c r="A632">
        <v>631</v>
      </c>
      <c r="B632" t="s">
        <v>74</v>
      </c>
      <c r="C632" t="s">
        <v>75</v>
      </c>
      <c r="D632">
        <v>2015</v>
      </c>
      <c r="E632" t="s">
        <v>90</v>
      </c>
      <c r="F632">
        <v>123.5</v>
      </c>
      <c r="G632" t="s">
        <v>352</v>
      </c>
      <c r="H632">
        <f>electric_vehicles_dataset[[#This Row],[Battery_Capacity_kWh]]/electric_vehicles_dataset[[#This Row],[Range_km]]</f>
        <v>0.35901162790697677</v>
      </c>
      <c r="I632">
        <v>344</v>
      </c>
      <c r="J632" t="s">
        <v>27</v>
      </c>
      <c r="K632">
        <v>4</v>
      </c>
      <c r="L632" s="1">
        <v>48184.54</v>
      </c>
      <c r="M632" s="1" t="str" cm="1">
        <f t="array" ref="M63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32" t="s">
        <v>32</v>
      </c>
      <c r="O632" t="s">
        <v>20</v>
      </c>
      <c r="P632" s="2" t="s">
        <v>389</v>
      </c>
      <c r="Q632">
        <v>0</v>
      </c>
      <c r="R632" t="s">
        <v>390</v>
      </c>
      <c r="S632" s="1">
        <f>electric_vehicles_dataset[[#This Row],[Units_Sold_2024]]*electric_vehicles_dataset[[#This Row],[Price_USD]]</f>
        <v>222371652.09999999</v>
      </c>
      <c r="T632">
        <v>3</v>
      </c>
      <c r="U632">
        <v>4615</v>
      </c>
      <c r="V632">
        <v>5</v>
      </c>
    </row>
    <row r="633" spans="1:22" x14ac:dyDescent="0.35">
      <c r="A633">
        <v>632</v>
      </c>
      <c r="B633" t="s">
        <v>220</v>
      </c>
      <c r="C633" t="s">
        <v>336</v>
      </c>
      <c r="D633">
        <v>2022</v>
      </c>
      <c r="E633" t="s">
        <v>183</v>
      </c>
      <c r="F633">
        <v>37.1</v>
      </c>
      <c r="G633" t="s">
        <v>357</v>
      </c>
      <c r="H633">
        <f>electric_vehicles_dataset[[#This Row],[Battery_Capacity_kWh]]/electric_vehicles_dataset[[#This Row],[Range_km]]</f>
        <v>0.14959677419354839</v>
      </c>
      <c r="I633">
        <v>248</v>
      </c>
      <c r="J633" t="s">
        <v>149</v>
      </c>
      <c r="K633">
        <v>8</v>
      </c>
      <c r="L633" s="1">
        <v>142816.94</v>
      </c>
      <c r="M633" s="1" t="str" cm="1">
        <f t="array" ref="M6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33" t="s">
        <v>210</v>
      </c>
      <c r="O633" t="s">
        <v>110</v>
      </c>
      <c r="P633" s="2" t="s">
        <v>394</v>
      </c>
      <c r="Q633">
        <v>4</v>
      </c>
      <c r="R633" t="s">
        <v>392</v>
      </c>
      <c r="S633" s="1">
        <f>electric_vehicles_dataset[[#This Row],[Units_Sold_2024]]*electric_vehicles_dataset[[#This Row],[Price_USD]]</f>
        <v>2328201755.8800001</v>
      </c>
      <c r="T633">
        <v>5</v>
      </c>
      <c r="U633">
        <v>16302</v>
      </c>
      <c r="V633">
        <v>3</v>
      </c>
    </row>
    <row r="634" spans="1:22" x14ac:dyDescent="0.35">
      <c r="A634">
        <v>633</v>
      </c>
      <c r="B634" t="s">
        <v>74</v>
      </c>
      <c r="C634" t="s">
        <v>75</v>
      </c>
      <c r="D634">
        <v>2017</v>
      </c>
      <c r="E634" t="s">
        <v>183</v>
      </c>
      <c r="F634">
        <v>133.19999999999999</v>
      </c>
      <c r="G634" t="s">
        <v>352</v>
      </c>
      <c r="H634">
        <f>electric_vehicles_dataset[[#This Row],[Battery_Capacity_kWh]]/electric_vehicles_dataset[[#This Row],[Range_km]]</f>
        <v>0.35052631578947363</v>
      </c>
      <c r="I634">
        <v>380</v>
      </c>
      <c r="J634" t="s">
        <v>364</v>
      </c>
      <c r="K634">
        <v>6</v>
      </c>
      <c r="L634" s="1">
        <v>84576.94</v>
      </c>
      <c r="M634" s="1" t="str" cm="1">
        <f t="array" ref="M6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34" t="s">
        <v>177</v>
      </c>
      <c r="O634" t="s">
        <v>265</v>
      </c>
      <c r="P634" s="2" t="s">
        <v>389</v>
      </c>
      <c r="Q634">
        <v>2</v>
      </c>
      <c r="R634" t="s">
        <v>391</v>
      </c>
      <c r="S634" s="1">
        <f>electric_vehicles_dataset[[#This Row],[Units_Sold_2024]]*electric_vehicles_dataset[[#This Row],[Price_USD]]</f>
        <v>496551214.74000001</v>
      </c>
      <c r="T634">
        <v>3</v>
      </c>
      <c r="U634">
        <v>5871</v>
      </c>
      <c r="V634">
        <v>5</v>
      </c>
    </row>
    <row r="635" spans="1:22" x14ac:dyDescent="0.35">
      <c r="A635">
        <v>634</v>
      </c>
      <c r="B635" t="s">
        <v>193</v>
      </c>
      <c r="C635" t="s">
        <v>312</v>
      </c>
      <c r="D635">
        <v>2019</v>
      </c>
      <c r="E635" t="s">
        <v>130</v>
      </c>
      <c r="F635">
        <v>147.19999999999999</v>
      </c>
      <c r="G635" t="s">
        <v>386</v>
      </c>
      <c r="H635">
        <f>electric_vehicles_dataset[[#This Row],[Battery_Capacity_kWh]]/electric_vehicles_dataset[[#This Row],[Range_km]]</f>
        <v>0.30040816326530612</v>
      </c>
      <c r="I635">
        <v>490</v>
      </c>
      <c r="J635" t="s">
        <v>345</v>
      </c>
      <c r="K635">
        <v>8</v>
      </c>
      <c r="L635" s="1">
        <v>46853.67</v>
      </c>
      <c r="M635" s="1" t="str" cm="1">
        <f t="array" ref="M6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35" t="s">
        <v>43</v>
      </c>
      <c r="O635" t="s">
        <v>182</v>
      </c>
      <c r="P635" s="2" t="s">
        <v>394</v>
      </c>
      <c r="Q635">
        <v>2</v>
      </c>
      <c r="R635" t="s">
        <v>391</v>
      </c>
      <c r="S635" s="1">
        <f>electric_vehicles_dataset[[#This Row],[Units_Sold_2024]]*electric_vehicles_dataset[[#This Row],[Price_USD]]</f>
        <v>198003609.41999999</v>
      </c>
      <c r="T635">
        <v>5</v>
      </c>
      <c r="U635">
        <v>4226</v>
      </c>
      <c r="V635">
        <v>4</v>
      </c>
    </row>
    <row r="636" spans="1:22" x14ac:dyDescent="0.35">
      <c r="A636">
        <v>635</v>
      </c>
      <c r="B636" t="s">
        <v>187</v>
      </c>
      <c r="C636" t="s">
        <v>318</v>
      </c>
      <c r="D636">
        <v>2024</v>
      </c>
      <c r="E636" t="s">
        <v>104</v>
      </c>
      <c r="F636">
        <v>68.599999999999994</v>
      </c>
      <c r="G636" t="s">
        <v>351</v>
      </c>
      <c r="H636">
        <f>electric_vehicles_dataset[[#This Row],[Battery_Capacity_kWh]]/electric_vehicles_dataset[[#This Row],[Range_km]]</f>
        <v>0.15278396436525613</v>
      </c>
      <c r="I636">
        <v>449</v>
      </c>
      <c r="J636" t="s">
        <v>358</v>
      </c>
      <c r="K636">
        <v>6</v>
      </c>
      <c r="L636" s="1">
        <v>61539.29</v>
      </c>
      <c r="M636" s="1" t="str" cm="1">
        <f t="array" ref="M6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36" t="s">
        <v>106</v>
      </c>
      <c r="O636" t="s">
        <v>95</v>
      </c>
      <c r="P636" s="2" t="s">
        <v>394</v>
      </c>
      <c r="Q636">
        <v>5</v>
      </c>
      <c r="R636" t="s">
        <v>392</v>
      </c>
      <c r="S636" s="1">
        <f>electric_vehicles_dataset[[#This Row],[Units_Sold_2024]]*electric_vehicles_dataset[[#This Row],[Price_USD]]</f>
        <v>1130845993.04</v>
      </c>
      <c r="T636">
        <v>5</v>
      </c>
      <c r="U636">
        <v>18376</v>
      </c>
      <c r="V636">
        <v>3</v>
      </c>
    </row>
    <row r="637" spans="1:22" x14ac:dyDescent="0.35">
      <c r="A637">
        <v>636</v>
      </c>
      <c r="B637" t="s">
        <v>153</v>
      </c>
      <c r="C637" t="s">
        <v>204</v>
      </c>
      <c r="D637">
        <v>2019</v>
      </c>
      <c r="E637" t="s">
        <v>42</v>
      </c>
      <c r="F637">
        <v>40.6</v>
      </c>
      <c r="G637" t="s">
        <v>348</v>
      </c>
      <c r="H637">
        <f>electric_vehicles_dataset[[#This Row],[Battery_Capacity_kWh]]/electric_vehicles_dataset[[#This Row],[Range_km]]</f>
        <v>0.13355263157894737</v>
      </c>
      <c r="I637">
        <v>304</v>
      </c>
      <c r="J637" t="s">
        <v>364</v>
      </c>
      <c r="K637">
        <v>3</v>
      </c>
      <c r="L637" s="1">
        <v>134899.07</v>
      </c>
      <c r="M637" s="1" t="str" cm="1">
        <f t="array" ref="M63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37" t="s">
        <v>117</v>
      </c>
      <c r="O637" t="s">
        <v>20</v>
      </c>
      <c r="P637" s="2" t="s">
        <v>389</v>
      </c>
      <c r="Q637">
        <v>3</v>
      </c>
      <c r="R637" t="s">
        <v>397</v>
      </c>
      <c r="S637" s="1">
        <f>electric_vehicles_dataset[[#This Row],[Units_Sold_2024]]*electric_vehicles_dataset[[#This Row],[Price_USD]]</f>
        <v>482264175.25</v>
      </c>
      <c r="T637">
        <v>4</v>
      </c>
      <c r="U637">
        <v>3575</v>
      </c>
      <c r="V637">
        <v>3</v>
      </c>
    </row>
    <row r="638" spans="1:22" x14ac:dyDescent="0.35">
      <c r="A638">
        <v>637</v>
      </c>
      <c r="B638" t="s">
        <v>120</v>
      </c>
      <c r="C638" t="s">
        <v>252</v>
      </c>
      <c r="D638">
        <v>2021</v>
      </c>
      <c r="E638" t="s">
        <v>183</v>
      </c>
      <c r="F638">
        <v>76.3</v>
      </c>
      <c r="G638" t="s">
        <v>351</v>
      </c>
      <c r="H638">
        <f>electric_vehicles_dataset[[#This Row],[Battery_Capacity_kWh]]/electric_vehicles_dataset[[#This Row],[Range_km]]</f>
        <v>0.25016393442622947</v>
      </c>
      <c r="I638">
        <v>305</v>
      </c>
      <c r="J638" t="s">
        <v>38</v>
      </c>
      <c r="K638">
        <v>1</v>
      </c>
      <c r="L638" s="1">
        <v>71090.83</v>
      </c>
      <c r="M638" s="1" t="str" cm="1">
        <f t="array" ref="M63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38" t="s">
        <v>160</v>
      </c>
      <c r="O638" t="s">
        <v>230</v>
      </c>
      <c r="P638" s="2" t="s">
        <v>389</v>
      </c>
      <c r="Q638">
        <v>5</v>
      </c>
      <c r="R638" t="s">
        <v>392</v>
      </c>
      <c r="S638" s="1">
        <f>electric_vehicles_dataset[[#This Row],[Units_Sold_2024]]*electric_vehicles_dataset[[#This Row],[Price_USD]]</f>
        <v>1269753314.6300001</v>
      </c>
      <c r="T638">
        <v>3</v>
      </c>
      <c r="U638">
        <v>17861</v>
      </c>
      <c r="V638">
        <v>3</v>
      </c>
    </row>
    <row r="639" spans="1:22" x14ac:dyDescent="0.35">
      <c r="A639">
        <v>638</v>
      </c>
      <c r="B639" t="s">
        <v>173</v>
      </c>
      <c r="C639" t="s">
        <v>249</v>
      </c>
      <c r="D639">
        <v>2025</v>
      </c>
      <c r="E639" t="s">
        <v>31</v>
      </c>
      <c r="F639">
        <v>61.6</v>
      </c>
      <c r="G639" t="s">
        <v>351</v>
      </c>
      <c r="H639">
        <f>electric_vehicles_dataset[[#This Row],[Battery_Capacity_kWh]]/electric_vehicles_dataset[[#This Row],[Range_km]]</f>
        <v>0.53103448275862075</v>
      </c>
      <c r="I639">
        <v>116</v>
      </c>
      <c r="J639" t="s">
        <v>34</v>
      </c>
      <c r="K639">
        <v>1</v>
      </c>
      <c r="L639" s="1">
        <v>127024.03</v>
      </c>
      <c r="M639" s="1" t="str" cm="1">
        <f t="array" ref="M63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39" t="s">
        <v>81</v>
      </c>
      <c r="O639" t="s">
        <v>199</v>
      </c>
      <c r="P639" s="2" t="s">
        <v>394</v>
      </c>
      <c r="Q639">
        <v>1</v>
      </c>
      <c r="R639" t="s">
        <v>391</v>
      </c>
      <c r="S639" s="1">
        <f>electric_vehicles_dataset[[#This Row],[Units_Sold_2024]]*electric_vehicles_dataset[[#This Row],[Price_USD]]</f>
        <v>1760299007.74</v>
      </c>
      <c r="T639">
        <v>5</v>
      </c>
      <c r="U639">
        <v>13858</v>
      </c>
      <c r="V639">
        <v>4</v>
      </c>
    </row>
    <row r="640" spans="1:22" x14ac:dyDescent="0.35">
      <c r="A640">
        <v>639</v>
      </c>
      <c r="B640" t="s">
        <v>180</v>
      </c>
      <c r="C640" t="s">
        <v>379</v>
      </c>
      <c r="D640">
        <v>2017</v>
      </c>
      <c r="E640" t="s">
        <v>58</v>
      </c>
      <c r="F640">
        <v>38.4</v>
      </c>
      <c r="G640" t="s">
        <v>357</v>
      </c>
      <c r="H640">
        <f>electric_vehicles_dataset[[#This Row],[Battery_Capacity_kWh]]/electric_vehicles_dataset[[#This Row],[Range_km]]</f>
        <v>0.16</v>
      </c>
      <c r="I640">
        <v>240</v>
      </c>
      <c r="J640" t="s">
        <v>34</v>
      </c>
      <c r="K640">
        <v>1</v>
      </c>
      <c r="L640" s="1">
        <v>134853.10999999999</v>
      </c>
      <c r="M640" s="1" t="str" cm="1">
        <f t="array" ref="M6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40" t="s">
        <v>172</v>
      </c>
      <c r="O640" t="s">
        <v>169</v>
      </c>
      <c r="P640" s="2" t="s">
        <v>394</v>
      </c>
      <c r="Q640">
        <v>5</v>
      </c>
      <c r="R640" t="s">
        <v>392</v>
      </c>
      <c r="S640" s="1">
        <f>electric_vehicles_dataset[[#This Row],[Units_Sold_2024]]*electric_vehicles_dataset[[#This Row],[Price_USD]]</f>
        <v>408470070.18999994</v>
      </c>
      <c r="T640">
        <v>3</v>
      </c>
      <c r="U640">
        <v>3029</v>
      </c>
      <c r="V640">
        <v>4</v>
      </c>
    </row>
    <row r="641" spans="1:22" x14ac:dyDescent="0.35">
      <c r="A641">
        <v>640</v>
      </c>
      <c r="B641" t="s">
        <v>313</v>
      </c>
      <c r="C641" t="s">
        <v>314</v>
      </c>
      <c r="D641">
        <v>2017</v>
      </c>
      <c r="E641" t="s">
        <v>31</v>
      </c>
      <c r="F641">
        <v>65.400000000000006</v>
      </c>
      <c r="G641" t="s">
        <v>351</v>
      </c>
      <c r="H641">
        <f>electric_vehicles_dataset[[#This Row],[Battery_Capacity_kWh]]/electric_vehicles_dataset[[#This Row],[Range_km]]</f>
        <v>0.20828025477707007</v>
      </c>
      <c r="I641">
        <v>314</v>
      </c>
      <c r="J641" t="s">
        <v>356</v>
      </c>
      <c r="K641">
        <v>6</v>
      </c>
      <c r="L641" s="1">
        <v>112659.66</v>
      </c>
      <c r="M641" s="1" t="str" cm="1">
        <f t="array" ref="M64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41" t="s">
        <v>177</v>
      </c>
      <c r="O641" t="s">
        <v>199</v>
      </c>
      <c r="P641" s="2" t="s">
        <v>394</v>
      </c>
      <c r="Q641">
        <v>5</v>
      </c>
      <c r="R641" t="s">
        <v>392</v>
      </c>
      <c r="S641" s="1">
        <f>electric_vehicles_dataset[[#This Row],[Units_Sold_2024]]*electric_vehicles_dataset[[#This Row],[Price_USD]]</f>
        <v>2204298907.5599999</v>
      </c>
      <c r="T641">
        <v>5</v>
      </c>
      <c r="U641">
        <v>19566</v>
      </c>
      <c r="V641">
        <v>3</v>
      </c>
    </row>
    <row r="642" spans="1:22" x14ac:dyDescent="0.35">
      <c r="A642">
        <v>641</v>
      </c>
      <c r="B642" t="s">
        <v>29</v>
      </c>
      <c r="C642" t="s">
        <v>378</v>
      </c>
      <c r="D642">
        <v>2024</v>
      </c>
      <c r="E642" t="s">
        <v>101</v>
      </c>
      <c r="F642">
        <v>62.1</v>
      </c>
      <c r="G642" t="s">
        <v>351</v>
      </c>
      <c r="H642">
        <f>electric_vehicles_dataset[[#This Row],[Battery_Capacity_kWh]]/electric_vehicles_dataset[[#This Row],[Range_km]]</f>
        <v>0.11919385796545105</v>
      </c>
      <c r="I642">
        <v>521</v>
      </c>
      <c r="J642" t="s">
        <v>38</v>
      </c>
      <c r="K642">
        <v>1</v>
      </c>
      <c r="L642" s="1">
        <v>137580.13</v>
      </c>
      <c r="M642" s="1" t="str" cm="1">
        <f t="array" ref="M6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42" t="s">
        <v>240</v>
      </c>
      <c r="O642" t="s">
        <v>230</v>
      </c>
      <c r="P642" s="2" t="s">
        <v>389</v>
      </c>
      <c r="Q642">
        <v>0</v>
      </c>
      <c r="R642" t="s">
        <v>390</v>
      </c>
      <c r="S642" s="1">
        <f>electric_vehicles_dataset[[#This Row],[Units_Sold_2024]]*electric_vehicles_dataset[[#This Row],[Price_USD]]</f>
        <v>2347392178.0599999</v>
      </c>
      <c r="T642">
        <v>4</v>
      </c>
      <c r="U642">
        <v>17062</v>
      </c>
      <c r="V642">
        <v>5</v>
      </c>
    </row>
    <row r="643" spans="1:22" x14ac:dyDescent="0.35">
      <c r="A643">
        <v>642</v>
      </c>
      <c r="B643" t="s">
        <v>79</v>
      </c>
      <c r="C643" t="s">
        <v>80</v>
      </c>
      <c r="D643">
        <v>2017</v>
      </c>
      <c r="E643" t="s">
        <v>73</v>
      </c>
      <c r="F643">
        <v>78.400000000000006</v>
      </c>
      <c r="G643" t="s">
        <v>351</v>
      </c>
      <c r="H643">
        <f>electric_vehicles_dataset[[#This Row],[Battery_Capacity_kWh]]/electric_vehicles_dataset[[#This Row],[Range_km]]</f>
        <v>0.13154362416107385</v>
      </c>
      <c r="I643">
        <v>596</v>
      </c>
      <c r="J643" t="s">
        <v>48</v>
      </c>
      <c r="K643">
        <v>1</v>
      </c>
      <c r="L643" s="1">
        <v>119484.9</v>
      </c>
      <c r="M643" s="1" t="str" cm="1">
        <f t="array" ref="M64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43" t="s">
        <v>55</v>
      </c>
      <c r="O643" t="s">
        <v>169</v>
      </c>
      <c r="P643" s="2" t="s">
        <v>394</v>
      </c>
      <c r="Q643">
        <v>1</v>
      </c>
      <c r="R643" t="s">
        <v>391</v>
      </c>
      <c r="S643" s="1">
        <f>electric_vehicles_dataset[[#This Row],[Units_Sold_2024]]*electric_vehicles_dataset[[#This Row],[Price_USD]]</f>
        <v>748333928.69999993</v>
      </c>
      <c r="T643">
        <v>3</v>
      </c>
      <c r="U643">
        <v>6263</v>
      </c>
      <c r="V643">
        <v>5</v>
      </c>
    </row>
    <row r="644" spans="1:22" x14ac:dyDescent="0.35">
      <c r="A644">
        <v>643</v>
      </c>
      <c r="B644" t="s">
        <v>261</v>
      </c>
      <c r="C644" t="s">
        <v>372</v>
      </c>
      <c r="D644">
        <v>2020</v>
      </c>
      <c r="E644" t="s">
        <v>26</v>
      </c>
      <c r="F644">
        <v>67.3</v>
      </c>
      <c r="G644" t="s">
        <v>351</v>
      </c>
      <c r="H644">
        <f>electric_vehicles_dataset[[#This Row],[Battery_Capacity_kWh]]/electric_vehicles_dataset[[#This Row],[Range_km]]</f>
        <v>0.26496062992125985</v>
      </c>
      <c r="I644">
        <v>254</v>
      </c>
      <c r="J644" t="s">
        <v>54</v>
      </c>
      <c r="K644">
        <v>6</v>
      </c>
      <c r="L644" s="1">
        <v>134130.98000000001</v>
      </c>
      <c r="M644" s="1" t="str" cm="1">
        <f t="array" ref="M6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44" t="s">
        <v>35</v>
      </c>
      <c r="O644" t="s">
        <v>230</v>
      </c>
      <c r="P644" s="2" t="s">
        <v>389</v>
      </c>
      <c r="Q644">
        <v>3</v>
      </c>
      <c r="R644" t="s">
        <v>397</v>
      </c>
      <c r="S644" s="1">
        <f>electric_vehicles_dataset[[#This Row],[Units_Sold_2024]]*electric_vehicles_dataset[[#This Row],[Price_USD]]</f>
        <v>1871663694.9200001</v>
      </c>
      <c r="T644">
        <v>5</v>
      </c>
      <c r="U644">
        <v>13954</v>
      </c>
      <c r="V644">
        <v>5</v>
      </c>
    </row>
    <row r="645" spans="1:22" x14ac:dyDescent="0.35">
      <c r="A645">
        <v>644</v>
      </c>
      <c r="B645" t="s">
        <v>51</v>
      </c>
      <c r="C645" t="s">
        <v>239</v>
      </c>
      <c r="D645">
        <v>2016</v>
      </c>
      <c r="E645" t="s">
        <v>53</v>
      </c>
      <c r="F645">
        <v>42.9</v>
      </c>
      <c r="G645" t="s">
        <v>348</v>
      </c>
      <c r="H645">
        <f>electric_vehicles_dataset[[#This Row],[Battery_Capacity_kWh]]/electric_vehicles_dataset[[#This Row],[Range_km]]</f>
        <v>0.13448275862068965</v>
      </c>
      <c r="I645">
        <v>319</v>
      </c>
      <c r="J645" t="s">
        <v>149</v>
      </c>
      <c r="K645">
        <v>3</v>
      </c>
      <c r="L645" s="1">
        <v>101387.02</v>
      </c>
      <c r="M645" s="1" t="str" cm="1">
        <f t="array" ref="M64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45" t="s">
        <v>19</v>
      </c>
      <c r="O645" t="s">
        <v>199</v>
      </c>
      <c r="P645" s="2" t="s">
        <v>394</v>
      </c>
      <c r="Q645">
        <v>5</v>
      </c>
      <c r="R645" t="s">
        <v>392</v>
      </c>
      <c r="S645" s="1">
        <f>electric_vehicles_dataset[[#This Row],[Units_Sold_2024]]*electric_vehicles_dataset[[#This Row],[Price_USD]]</f>
        <v>329609202.02000004</v>
      </c>
      <c r="T645">
        <v>4</v>
      </c>
      <c r="U645">
        <v>3251</v>
      </c>
      <c r="V645">
        <v>3</v>
      </c>
    </row>
    <row r="646" spans="1:22" x14ac:dyDescent="0.35">
      <c r="A646">
        <v>645</v>
      </c>
      <c r="B646" t="s">
        <v>74</v>
      </c>
      <c r="C646" t="s">
        <v>75</v>
      </c>
      <c r="D646">
        <v>2016</v>
      </c>
      <c r="E646" t="s">
        <v>73</v>
      </c>
      <c r="F646">
        <v>22.1</v>
      </c>
      <c r="G646" t="s">
        <v>357</v>
      </c>
      <c r="H646">
        <f>electric_vehicles_dataset[[#This Row],[Battery_Capacity_kWh]]/electric_vehicles_dataset[[#This Row],[Range_km]]</f>
        <v>3.8301559792027734E-2</v>
      </c>
      <c r="I646">
        <v>577</v>
      </c>
      <c r="J646" t="s">
        <v>358</v>
      </c>
      <c r="K646">
        <v>2</v>
      </c>
      <c r="L646" s="1">
        <v>119993.24</v>
      </c>
      <c r="M646" s="1" t="str" cm="1">
        <f t="array" ref="M64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46" t="s">
        <v>217</v>
      </c>
      <c r="O646" t="s">
        <v>107</v>
      </c>
      <c r="P646" s="2" t="s">
        <v>394</v>
      </c>
      <c r="Q646">
        <v>5</v>
      </c>
      <c r="R646" t="s">
        <v>392</v>
      </c>
      <c r="S646" s="1">
        <f>electric_vehicles_dataset[[#This Row],[Units_Sold_2024]]*electric_vehicles_dataset[[#This Row],[Price_USD]]</f>
        <v>1139815786.76</v>
      </c>
      <c r="T646">
        <v>3</v>
      </c>
      <c r="U646">
        <v>9499</v>
      </c>
      <c r="V646">
        <v>4</v>
      </c>
    </row>
    <row r="647" spans="1:22" x14ac:dyDescent="0.35">
      <c r="A647">
        <v>646</v>
      </c>
      <c r="B647" t="s">
        <v>192</v>
      </c>
      <c r="C647" t="s">
        <v>316</v>
      </c>
      <c r="D647">
        <v>2022</v>
      </c>
      <c r="E647" t="s">
        <v>47</v>
      </c>
      <c r="F647">
        <v>69.5</v>
      </c>
      <c r="G647" t="s">
        <v>351</v>
      </c>
      <c r="H647">
        <f>electric_vehicles_dataset[[#This Row],[Battery_Capacity_kWh]]/electric_vehicles_dataset[[#This Row],[Range_km]]</f>
        <v>0.34749999999999998</v>
      </c>
      <c r="I647">
        <v>200</v>
      </c>
      <c r="J647" t="s">
        <v>356</v>
      </c>
      <c r="K647">
        <v>11</v>
      </c>
      <c r="L647" s="1">
        <v>72073.64</v>
      </c>
      <c r="M647" s="1" t="str" cm="1">
        <f t="array" ref="M6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47" t="s">
        <v>81</v>
      </c>
      <c r="O647" t="s">
        <v>40</v>
      </c>
      <c r="P647" s="2" t="s">
        <v>395</v>
      </c>
      <c r="Q647">
        <v>5</v>
      </c>
      <c r="R647" t="s">
        <v>392</v>
      </c>
      <c r="S647" s="1">
        <f>electric_vehicles_dataset[[#This Row],[Units_Sold_2024]]*electric_vehicles_dataset[[#This Row],[Price_USD]]</f>
        <v>884776004.63999999</v>
      </c>
      <c r="T647">
        <v>3</v>
      </c>
      <c r="U647">
        <v>12276</v>
      </c>
      <c r="V647">
        <v>3</v>
      </c>
    </row>
    <row r="648" spans="1:22" x14ac:dyDescent="0.35">
      <c r="A648">
        <v>647</v>
      </c>
      <c r="B648" t="s">
        <v>140</v>
      </c>
      <c r="C648" t="s">
        <v>141</v>
      </c>
      <c r="D648">
        <v>2019</v>
      </c>
      <c r="E648" t="s">
        <v>53</v>
      </c>
      <c r="F648">
        <v>105.6</v>
      </c>
      <c r="G648" t="s">
        <v>361</v>
      </c>
      <c r="H648">
        <f>electric_vehicles_dataset[[#This Row],[Battery_Capacity_kWh]]/electric_vehicles_dataset[[#This Row],[Range_km]]</f>
        <v>0.41089494163424123</v>
      </c>
      <c r="I648">
        <v>257</v>
      </c>
      <c r="J648" t="s">
        <v>358</v>
      </c>
      <c r="K648">
        <v>8</v>
      </c>
      <c r="L648" s="1">
        <v>30498.91</v>
      </c>
      <c r="M648" s="1" t="str" cm="1">
        <f t="array" ref="M6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48" t="s">
        <v>70</v>
      </c>
      <c r="O648" t="s">
        <v>95</v>
      </c>
      <c r="P648" s="2" t="s">
        <v>394</v>
      </c>
      <c r="Q648">
        <v>5</v>
      </c>
      <c r="R648" t="s">
        <v>392</v>
      </c>
      <c r="S648" s="1">
        <f>electric_vehicles_dataset[[#This Row],[Units_Sold_2024]]*electric_vehicles_dataset[[#This Row],[Price_USD]]</f>
        <v>599578071.68999994</v>
      </c>
      <c r="T648">
        <v>5</v>
      </c>
      <c r="U648">
        <v>19659</v>
      </c>
      <c r="V648">
        <v>4</v>
      </c>
    </row>
    <row r="649" spans="1:22" x14ac:dyDescent="0.35">
      <c r="A649">
        <v>648</v>
      </c>
      <c r="B649" t="s">
        <v>313</v>
      </c>
      <c r="C649" t="s">
        <v>314</v>
      </c>
      <c r="D649">
        <v>2024</v>
      </c>
      <c r="E649" t="s">
        <v>42</v>
      </c>
      <c r="F649">
        <v>51.4</v>
      </c>
      <c r="G649" t="s">
        <v>348</v>
      </c>
      <c r="H649">
        <f>electric_vehicles_dataset[[#This Row],[Battery_Capacity_kWh]]/electric_vehicles_dataset[[#This Row],[Range_km]]</f>
        <v>8.5953177257525076E-2</v>
      </c>
      <c r="I649">
        <v>598</v>
      </c>
      <c r="J649" t="s">
        <v>34</v>
      </c>
      <c r="K649">
        <v>3</v>
      </c>
      <c r="L649" s="1">
        <v>107332.12</v>
      </c>
      <c r="M649" s="1" t="str" cm="1">
        <f t="array" ref="M64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49" t="s">
        <v>142</v>
      </c>
      <c r="O649" t="s">
        <v>67</v>
      </c>
      <c r="P649" s="2" t="s">
        <v>394</v>
      </c>
      <c r="Q649">
        <v>4</v>
      </c>
      <c r="R649" t="s">
        <v>392</v>
      </c>
      <c r="S649" s="1">
        <f>electric_vehicles_dataset[[#This Row],[Units_Sold_2024]]*electric_vehicles_dataset[[#This Row],[Price_USD]]</f>
        <v>610934427.03999996</v>
      </c>
      <c r="T649">
        <v>4</v>
      </c>
      <c r="U649">
        <v>5692</v>
      </c>
      <c r="V649">
        <v>4</v>
      </c>
    </row>
    <row r="650" spans="1:22" x14ac:dyDescent="0.35">
      <c r="A650">
        <v>649</v>
      </c>
      <c r="B650" t="s">
        <v>56</v>
      </c>
      <c r="C650" t="s">
        <v>57</v>
      </c>
      <c r="D650">
        <v>2021</v>
      </c>
      <c r="E650" t="s">
        <v>31</v>
      </c>
      <c r="F650">
        <v>32.9</v>
      </c>
      <c r="G650" t="s">
        <v>357</v>
      </c>
      <c r="H650">
        <f>electric_vehicles_dataset[[#This Row],[Battery_Capacity_kWh]]/electric_vehicles_dataset[[#This Row],[Range_km]]</f>
        <v>6.4509803921568631E-2</v>
      </c>
      <c r="I650">
        <v>510</v>
      </c>
      <c r="J650" t="s">
        <v>18</v>
      </c>
      <c r="K650">
        <v>6</v>
      </c>
      <c r="L650" s="1">
        <v>105772.93</v>
      </c>
      <c r="M650" s="1" t="str" cm="1">
        <f t="array" ref="M6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50" t="s">
        <v>81</v>
      </c>
      <c r="O650" t="s">
        <v>164</v>
      </c>
      <c r="P650" s="2" t="s">
        <v>394</v>
      </c>
      <c r="Q650">
        <v>5</v>
      </c>
      <c r="R650" t="s">
        <v>392</v>
      </c>
      <c r="S650" s="1">
        <f>electric_vehicles_dataset[[#This Row],[Units_Sold_2024]]*electric_vehicles_dataset[[#This Row],[Price_USD]]</f>
        <v>1117385232.52</v>
      </c>
      <c r="T650">
        <v>3</v>
      </c>
      <c r="U650">
        <v>10564</v>
      </c>
      <c r="V650">
        <v>3</v>
      </c>
    </row>
    <row r="651" spans="1:22" x14ac:dyDescent="0.35">
      <c r="A651">
        <v>650</v>
      </c>
      <c r="B651" t="s">
        <v>200</v>
      </c>
      <c r="C651" t="s">
        <v>201</v>
      </c>
      <c r="D651">
        <v>2015</v>
      </c>
      <c r="E651" t="s">
        <v>42</v>
      </c>
      <c r="F651">
        <v>21.5</v>
      </c>
      <c r="G651" t="s">
        <v>357</v>
      </c>
      <c r="H651">
        <f>electric_vehicles_dataset[[#This Row],[Battery_Capacity_kWh]]/electric_vehicles_dataset[[#This Row],[Range_km]]</f>
        <v>4.3522267206477734E-2</v>
      </c>
      <c r="I651">
        <v>494</v>
      </c>
      <c r="J651" t="s">
        <v>18</v>
      </c>
      <c r="K651">
        <v>1</v>
      </c>
      <c r="L651" s="1">
        <v>114909.11</v>
      </c>
      <c r="M651" s="1" t="str" cm="1">
        <f t="array" ref="M65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51" t="s">
        <v>143</v>
      </c>
      <c r="O651" t="s">
        <v>182</v>
      </c>
      <c r="P651" s="2" t="s">
        <v>394</v>
      </c>
      <c r="Q651">
        <v>5</v>
      </c>
      <c r="R651" t="s">
        <v>392</v>
      </c>
      <c r="S651" s="1">
        <f>electric_vehicles_dataset[[#This Row],[Units_Sold_2024]]*electric_vehicles_dataset[[#This Row],[Price_USD]]</f>
        <v>1348343496.74</v>
      </c>
      <c r="T651">
        <v>5</v>
      </c>
      <c r="U651">
        <v>11734</v>
      </c>
      <c r="V651">
        <v>3</v>
      </c>
    </row>
    <row r="652" spans="1:22" x14ac:dyDescent="0.35">
      <c r="A652">
        <v>651</v>
      </c>
      <c r="B652" t="s">
        <v>87</v>
      </c>
      <c r="C652" t="s">
        <v>191</v>
      </c>
      <c r="D652">
        <v>2019</v>
      </c>
      <c r="E652" t="s">
        <v>31</v>
      </c>
      <c r="F652">
        <v>89.6</v>
      </c>
      <c r="G652" t="s">
        <v>350</v>
      </c>
      <c r="H652">
        <f>electric_vehicles_dataset[[#This Row],[Battery_Capacity_kWh]]/electric_vehicles_dataset[[#This Row],[Range_km]]</f>
        <v>0.3982222222222222</v>
      </c>
      <c r="I652">
        <v>225</v>
      </c>
      <c r="J652" t="s">
        <v>34</v>
      </c>
      <c r="K652">
        <v>9</v>
      </c>
      <c r="L652" s="1">
        <v>109110.92</v>
      </c>
      <c r="M652" s="1" t="str" cm="1">
        <f t="array" ref="M65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52" t="s">
        <v>49</v>
      </c>
      <c r="O652" t="s">
        <v>20</v>
      </c>
      <c r="P652" s="2" t="s">
        <v>389</v>
      </c>
      <c r="Q652">
        <v>5</v>
      </c>
      <c r="R652" t="s">
        <v>392</v>
      </c>
      <c r="S652" s="1">
        <f>electric_vehicles_dataset[[#This Row],[Units_Sold_2024]]*electric_vehicles_dataset[[#This Row],[Price_USD]]</f>
        <v>396618194.19999999</v>
      </c>
      <c r="T652">
        <v>3</v>
      </c>
      <c r="U652">
        <v>3635</v>
      </c>
      <c r="V652">
        <v>4</v>
      </c>
    </row>
    <row r="653" spans="1:22" x14ac:dyDescent="0.35">
      <c r="A653">
        <v>652</v>
      </c>
      <c r="B653" t="s">
        <v>157</v>
      </c>
      <c r="C653" t="s">
        <v>296</v>
      </c>
      <c r="D653">
        <v>2016</v>
      </c>
      <c r="E653" t="s">
        <v>101</v>
      </c>
      <c r="F653">
        <v>56.7</v>
      </c>
      <c r="G653" t="s">
        <v>348</v>
      </c>
      <c r="H653">
        <f>electric_vehicles_dataset[[#This Row],[Battery_Capacity_kWh]]/electric_vehicles_dataset[[#This Row],[Range_km]]</f>
        <v>0.10161290322580646</v>
      </c>
      <c r="I653">
        <v>558</v>
      </c>
      <c r="J653" t="s">
        <v>85</v>
      </c>
      <c r="K653">
        <v>2</v>
      </c>
      <c r="L653" s="1">
        <v>89309.41</v>
      </c>
      <c r="M653" s="1" t="str" cm="1">
        <f t="array" ref="M65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53" t="s">
        <v>165</v>
      </c>
      <c r="O653" t="s">
        <v>124</v>
      </c>
      <c r="P653" s="2" t="s">
        <v>389</v>
      </c>
      <c r="Q653">
        <v>3</v>
      </c>
      <c r="R653" t="s">
        <v>397</v>
      </c>
      <c r="S653" s="1">
        <f>electric_vehicles_dataset[[#This Row],[Units_Sold_2024]]*electric_vehicles_dataset[[#This Row],[Price_USD]]</f>
        <v>223273525</v>
      </c>
      <c r="T653">
        <v>4</v>
      </c>
      <c r="U653">
        <v>2500</v>
      </c>
      <c r="V653">
        <v>3</v>
      </c>
    </row>
    <row r="654" spans="1:22" x14ac:dyDescent="0.35">
      <c r="A654">
        <v>653</v>
      </c>
      <c r="B654" t="s">
        <v>94</v>
      </c>
      <c r="C654" t="s">
        <v>294</v>
      </c>
      <c r="D654">
        <v>2021</v>
      </c>
      <c r="E654" t="s">
        <v>53</v>
      </c>
      <c r="F654">
        <v>60.8</v>
      </c>
      <c r="G654" t="s">
        <v>351</v>
      </c>
      <c r="H654">
        <f>electric_vehicles_dataset[[#This Row],[Battery_Capacity_kWh]]/electric_vehicles_dataset[[#This Row],[Range_km]]</f>
        <v>0.10761061946902654</v>
      </c>
      <c r="I654">
        <v>565</v>
      </c>
      <c r="J654" t="s">
        <v>345</v>
      </c>
      <c r="K654">
        <v>10</v>
      </c>
      <c r="L654" s="1">
        <v>51576.77</v>
      </c>
      <c r="M654" s="1" t="str" cm="1">
        <f t="array" ref="M6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54" t="s">
        <v>22</v>
      </c>
      <c r="O654" t="s">
        <v>86</v>
      </c>
      <c r="P654" s="2" t="s">
        <v>389</v>
      </c>
      <c r="Q654">
        <v>5</v>
      </c>
      <c r="R654" t="s">
        <v>392</v>
      </c>
      <c r="S654" s="1">
        <f>electric_vehicles_dataset[[#This Row],[Units_Sold_2024]]*electric_vehicles_dataset[[#This Row],[Price_USD]]</f>
        <v>579361857.40999997</v>
      </c>
      <c r="T654">
        <v>4</v>
      </c>
      <c r="U654">
        <v>11233</v>
      </c>
      <c r="V654">
        <v>4</v>
      </c>
    </row>
    <row r="655" spans="1:22" x14ac:dyDescent="0.35">
      <c r="A655">
        <v>654</v>
      </c>
      <c r="B655" t="s">
        <v>173</v>
      </c>
      <c r="C655" t="s">
        <v>306</v>
      </c>
      <c r="D655">
        <v>2024</v>
      </c>
      <c r="E655" t="s">
        <v>47</v>
      </c>
      <c r="F655">
        <v>20.7</v>
      </c>
      <c r="G655" t="s">
        <v>357</v>
      </c>
      <c r="H655">
        <f>electric_vehicles_dataset[[#This Row],[Battery_Capacity_kWh]]/electric_vehicles_dataset[[#This Row],[Range_km]]</f>
        <v>5.6403269754768393E-2</v>
      </c>
      <c r="I655">
        <v>367</v>
      </c>
      <c r="J655" t="s">
        <v>105</v>
      </c>
      <c r="K655">
        <v>11</v>
      </c>
      <c r="L655" s="1">
        <v>53141.43</v>
      </c>
      <c r="M655" s="1" t="str" cm="1">
        <f t="array" ref="M65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55" t="s">
        <v>301</v>
      </c>
      <c r="O655" t="s">
        <v>107</v>
      </c>
      <c r="P655" s="2" t="s">
        <v>394</v>
      </c>
      <c r="Q655">
        <v>5</v>
      </c>
      <c r="R655" t="s">
        <v>392</v>
      </c>
      <c r="S655" s="1">
        <f>electric_vehicles_dataset[[#This Row],[Units_Sold_2024]]*electric_vehicles_dataset[[#This Row],[Price_USD]]</f>
        <v>199864918.22999999</v>
      </c>
      <c r="T655">
        <v>4</v>
      </c>
      <c r="U655">
        <v>3761</v>
      </c>
      <c r="V655">
        <v>3</v>
      </c>
    </row>
    <row r="656" spans="1:22" x14ac:dyDescent="0.35">
      <c r="A656">
        <v>655</v>
      </c>
      <c r="B656" t="s">
        <v>144</v>
      </c>
      <c r="C656" t="s">
        <v>145</v>
      </c>
      <c r="D656">
        <v>2017</v>
      </c>
      <c r="E656" t="s">
        <v>31</v>
      </c>
      <c r="F656">
        <v>30.8</v>
      </c>
      <c r="G656" t="s">
        <v>357</v>
      </c>
      <c r="H656">
        <f>electric_vehicles_dataset[[#This Row],[Battery_Capacity_kWh]]/electric_vehicles_dataset[[#This Row],[Range_km]]</f>
        <v>6.7841409691629953E-2</v>
      </c>
      <c r="I656">
        <v>454</v>
      </c>
      <c r="J656" t="s">
        <v>18</v>
      </c>
      <c r="K656">
        <v>4</v>
      </c>
      <c r="L656" s="1">
        <v>87788.98</v>
      </c>
      <c r="M656" s="1" t="str" cm="1">
        <f t="array" ref="M6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56" t="s">
        <v>143</v>
      </c>
      <c r="O656" t="s">
        <v>202</v>
      </c>
      <c r="P656" s="2" t="s">
        <v>393</v>
      </c>
      <c r="Q656">
        <v>5</v>
      </c>
      <c r="R656" t="s">
        <v>392</v>
      </c>
      <c r="S656" s="1">
        <f>electric_vehicles_dataset[[#This Row],[Units_Sold_2024]]*electric_vehicles_dataset[[#This Row],[Price_USD]]</f>
        <v>1254328946.24</v>
      </c>
      <c r="T656">
        <v>4</v>
      </c>
      <c r="U656">
        <v>14288</v>
      </c>
      <c r="V656">
        <v>5</v>
      </c>
    </row>
    <row r="657" spans="1:22" x14ac:dyDescent="0.35">
      <c r="A657">
        <v>656</v>
      </c>
      <c r="B657" t="s">
        <v>36</v>
      </c>
      <c r="C657" t="s">
        <v>317</v>
      </c>
      <c r="D657">
        <v>2019</v>
      </c>
      <c r="E657" t="s">
        <v>101</v>
      </c>
      <c r="F657">
        <v>45.7</v>
      </c>
      <c r="G657" t="s">
        <v>348</v>
      </c>
      <c r="H657">
        <f>electric_vehicles_dataset[[#This Row],[Battery_Capacity_kWh]]/electric_vehicles_dataset[[#This Row],[Range_km]]</f>
        <v>8.5741088180112571E-2</v>
      </c>
      <c r="I657">
        <v>533</v>
      </c>
      <c r="J657" t="s">
        <v>105</v>
      </c>
      <c r="K657">
        <v>12</v>
      </c>
      <c r="L657" s="1">
        <v>42347.35</v>
      </c>
      <c r="M657" s="1" t="str" cm="1">
        <f t="array" ref="M65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57" t="s">
        <v>81</v>
      </c>
      <c r="O657" t="s">
        <v>167</v>
      </c>
      <c r="P657" s="2" t="s">
        <v>394</v>
      </c>
      <c r="Q657">
        <v>1</v>
      </c>
      <c r="R657" t="s">
        <v>391</v>
      </c>
      <c r="S657" s="1">
        <f>electric_vehicles_dataset[[#This Row],[Units_Sold_2024]]*electric_vehicles_dataset[[#This Row],[Price_USD]]</f>
        <v>587992954.75</v>
      </c>
      <c r="T657">
        <v>4</v>
      </c>
      <c r="U657">
        <v>13885</v>
      </c>
      <c r="V657">
        <v>5</v>
      </c>
    </row>
    <row r="658" spans="1:22" x14ac:dyDescent="0.35">
      <c r="A658">
        <v>657</v>
      </c>
      <c r="B658" t="s">
        <v>269</v>
      </c>
      <c r="C658" t="s">
        <v>270</v>
      </c>
      <c r="D658">
        <v>2020</v>
      </c>
      <c r="E658" t="s">
        <v>90</v>
      </c>
      <c r="F658">
        <v>34</v>
      </c>
      <c r="G658" t="s">
        <v>357</v>
      </c>
      <c r="H658">
        <f>electric_vehicles_dataset[[#This Row],[Battery_Capacity_kWh]]/electric_vehicles_dataset[[#This Row],[Range_km]]</f>
        <v>0.11486486486486487</v>
      </c>
      <c r="I658">
        <v>296</v>
      </c>
      <c r="J658" t="s">
        <v>358</v>
      </c>
      <c r="K658">
        <v>3</v>
      </c>
      <c r="L658" s="1">
        <v>72349.86</v>
      </c>
      <c r="M658" s="1" t="str" cm="1">
        <f t="array" ref="M65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58" t="s">
        <v>238</v>
      </c>
      <c r="O658" t="s">
        <v>92</v>
      </c>
      <c r="P658" s="2" t="s">
        <v>394</v>
      </c>
      <c r="Q658">
        <v>0</v>
      </c>
      <c r="R658" t="s">
        <v>390</v>
      </c>
      <c r="S658" s="1">
        <f>electric_vehicles_dataset[[#This Row],[Units_Sold_2024]]*electric_vehicles_dataset[[#This Row],[Price_USD]]</f>
        <v>695716253.75999999</v>
      </c>
      <c r="T658">
        <v>4</v>
      </c>
      <c r="U658">
        <v>9616</v>
      </c>
      <c r="V658">
        <v>5</v>
      </c>
    </row>
    <row r="659" spans="1:22" x14ac:dyDescent="0.35">
      <c r="A659">
        <v>658</v>
      </c>
      <c r="B659" t="s">
        <v>241</v>
      </c>
      <c r="C659" t="s">
        <v>247</v>
      </c>
      <c r="D659">
        <v>2023</v>
      </c>
      <c r="E659" t="s">
        <v>104</v>
      </c>
      <c r="F659">
        <v>71.8</v>
      </c>
      <c r="G659" t="s">
        <v>351</v>
      </c>
      <c r="H659">
        <f>electric_vehicles_dataset[[#This Row],[Battery_Capacity_kWh]]/electric_vehicles_dataset[[#This Row],[Range_km]]</f>
        <v>0.45443037974683542</v>
      </c>
      <c r="I659">
        <v>158</v>
      </c>
      <c r="J659" t="s">
        <v>85</v>
      </c>
      <c r="K659">
        <v>10</v>
      </c>
      <c r="L659" s="1">
        <v>81526.42</v>
      </c>
      <c r="M659" s="1" t="str" cm="1">
        <f t="array" ref="M65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59" t="s">
        <v>229</v>
      </c>
      <c r="O659" t="s">
        <v>202</v>
      </c>
      <c r="P659" s="2" t="s">
        <v>393</v>
      </c>
      <c r="Q659">
        <v>1</v>
      </c>
      <c r="R659" t="s">
        <v>391</v>
      </c>
      <c r="S659" s="1">
        <f>electric_vehicles_dataset[[#This Row],[Units_Sold_2024]]*electric_vehicles_dataset[[#This Row],[Price_USD]]</f>
        <v>326676364.94</v>
      </c>
      <c r="T659">
        <v>4</v>
      </c>
      <c r="U659">
        <v>4007</v>
      </c>
      <c r="V659">
        <v>3</v>
      </c>
    </row>
    <row r="660" spans="1:22" x14ac:dyDescent="0.35">
      <c r="A660">
        <v>659</v>
      </c>
      <c r="B660" t="s">
        <v>56</v>
      </c>
      <c r="C660" t="s">
        <v>57</v>
      </c>
      <c r="D660">
        <v>2020</v>
      </c>
      <c r="E660" t="s">
        <v>31</v>
      </c>
      <c r="F660">
        <v>80.5</v>
      </c>
      <c r="G660" t="s">
        <v>350</v>
      </c>
      <c r="H660">
        <f>electric_vehicles_dataset[[#This Row],[Battery_Capacity_kWh]]/electric_vehicles_dataset[[#This Row],[Range_km]]</f>
        <v>0.15877712031558186</v>
      </c>
      <c r="I660">
        <v>507</v>
      </c>
      <c r="J660" t="s">
        <v>38</v>
      </c>
      <c r="K660">
        <v>11</v>
      </c>
      <c r="L660" s="1">
        <v>97396.87</v>
      </c>
      <c r="M660" s="1" t="str" cm="1">
        <f t="array" ref="M66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60" t="s">
        <v>28</v>
      </c>
      <c r="O660" t="s">
        <v>265</v>
      </c>
      <c r="P660" s="2" t="s">
        <v>389</v>
      </c>
      <c r="Q660">
        <v>4</v>
      </c>
      <c r="R660" t="s">
        <v>392</v>
      </c>
      <c r="S660" s="1">
        <f>electric_vehicles_dataset[[#This Row],[Units_Sold_2024]]*electric_vehicles_dataset[[#This Row],[Price_USD]]</f>
        <v>1940048253.53</v>
      </c>
      <c r="T660">
        <v>5</v>
      </c>
      <c r="U660">
        <v>19919</v>
      </c>
      <c r="V660">
        <v>5</v>
      </c>
    </row>
    <row r="661" spans="1:22" x14ac:dyDescent="0.35">
      <c r="A661">
        <v>660</v>
      </c>
      <c r="B661" t="s">
        <v>29</v>
      </c>
      <c r="C661" t="s">
        <v>378</v>
      </c>
      <c r="D661">
        <v>2025</v>
      </c>
      <c r="E661" t="s">
        <v>42</v>
      </c>
      <c r="F661">
        <v>108.7</v>
      </c>
      <c r="G661" t="s">
        <v>361</v>
      </c>
      <c r="H661">
        <f>electric_vehicles_dataset[[#This Row],[Battery_Capacity_kWh]]/electric_vehicles_dataset[[#This Row],[Range_km]]</f>
        <v>0.3375776397515528</v>
      </c>
      <c r="I661">
        <v>322</v>
      </c>
      <c r="J661" t="s">
        <v>38</v>
      </c>
      <c r="K661">
        <v>10</v>
      </c>
      <c r="L661" s="1">
        <v>53778.05</v>
      </c>
      <c r="M661" s="1" t="str" cm="1">
        <f t="array" ref="M66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61" t="s">
        <v>279</v>
      </c>
      <c r="O661" t="s">
        <v>230</v>
      </c>
      <c r="P661" s="2" t="s">
        <v>389</v>
      </c>
      <c r="Q661">
        <v>2</v>
      </c>
      <c r="R661" t="s">
        <v>391</v>
      </c>
      <c r="S661" s="1">
        <f>electric_vehicles_dataset[[#This Row],[Units_Sold_2024]]*electric_vehicles_dataset[[#This Row],[Price_USD]]</f>
        <v>1059804031.35</v>
      </c>
      <c r="T661">
        <v>3</v>
      </c>
      <c r="U661">
        <v>19707</v>
      </c>
      <c r="V661">
        <v>4</v>
      </c>
    </row>
    <row r="662" spans="1:22" x14ac:dyDescent="0.35">
      <c r="A662">
        <v>661</v>
      </c>
      <c r="B662" t="s">
        <v>41</v>
      </c>
      <c r="C662" t="s">
        <v>355</v>
      </c>
      <c r="D662">
        <v>2018</v>
      </c>
      <c r="E662" t="s">
        <v>90</v>
      </c>
      <c r="F662">
        <v>22.8</v>
      </c>
      <c r="G662" t="s">
        <v>357</v>
      </c>
      <c r="H662">
        <f>electric_vehicles_dataset[[#This Row],[Battery_Capacity_kWh]]/electric_vehicles_dataset[[#This Row],[Range_km]]</f>
        <v>0.20917431192660552</v>
      </c>
      <c r="I662">
        <v>109</v>
      </c>
      <c r="J662" t="s">
        <v>76</v>
      </c>
      <c r="K662">
        <v>11</v>
      </c>
      <c r="L662" s="1">
        <v>64123.9</v>
      </c>
      <c r="M662" s="1" t="str" cm="1">
        <f t="array" ref="M66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62" t="s">
        <v>142</v>
      </c>
      <c r="O662" t="s">
        <v>164</v>
      </c>
      <c r="P662" s="2" t="s">
        <v>394</v>
      </c>
      <c r="Q662">
        <v>2</v>
      </c>
      <c r="R662" t="s">
        <v>391</v>
      </c>
      <c r="S662" s="1">
        <f>electric_vehicles_dataset[[#This Row],[Units_Sold_2024]]*electric_vehicles_dataset[[#This Row],[Price_USD]]</f>
        <v>34178038.700000003</v>
      </c>
      <c r="T662">
        <v>4</v>
      </c>
      <c r="U662">
        <v>533</v>
      </c>
      <c r="V662">
        <v>3</v>
      </c>
    </row>
    <row r="663" spans="1:22" x14ac:dyDescent="0.35">
      <c r="A663">
        <v>662</v>
      </c>
      <c r="B663" t="s">
        <v>173</v>
      </c>
      <c r="C663" t="s">
        <v>249</v>
      </c>
      <c r="D663">
        <v>2021</v>
      </c>
      <c r="E663" t="s">
        <v>17</v>
      </c>
      <c r="F663">
        <v>59.1</v>
      </c>
      <c r="G663" t="s">
        <v>348</v>
      </c>
      <c r="H663">
        <f>electric_vehicles_dataset[[#This Row],[Battery_Capacity_kWh]]/electric_vehicles_dataset[[#This Row],[Range_km]]</f>
        <v>0.22557251908396947</v>
      </c>
      <c r="I663">
        <v>262</v>
      </c>
      <c r="J663" t="s">
        <v>149</v>
      </c>
      <c r="K663">
        <v>5</v>
      </c>
      <c r="L663" s="1">
        <v>96774.02</v>
      </c>
      <c r="M663" s="1" t="str" cm="1">
        <f t="array" ref="M66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63" t="s">
        <v>146</v>
      </c>
      <c r="O663" t="s">
        <v>230</v>
      </c>
      <c r="P663" s="2" t="s">
        <v>389</v>
      </c>
      <c r="Q663">
        <v>3</v>
      </c>
      <c r="R663" t="s">
        <v>397</v>
      </c>
      <c r="S663" s="1">
        <f>electric_vehicles_dataset[[#This Row],[Units_Sold_2024]]*electric_vehicles_dataset[[#This Row],[Price_USD]]</f>
        <v>384967051.56</v>
      </c>
      <c r="T663">
        <v>4</v>
      </c>
      <c r="U663">
        <v>3978</v>
      </c>
      <c r="V663">
        <v>4</v>
      </c>
    </row>
    <row r="664" spans="1:22" x14ac:dyDescent="0.35">
      <c r="A664">
        <v>663</v>
      </c>
      <c r="B664" t="s">
        <v>155</v>
      </c>
      <c r="C664" t="s">
        <v>156</v>
      </c>
      <c r="D664">
        <v>2015</v>
      </c>
      <c r="E664" t="s">
        <v>31</v>
      </c>
      <c r="F664">
        <v>26.2</v>
      </c>
      <c r="G664" t="s">
        <v>357</v>
      </c>
      <c r="H664">
        <f>electric_vehicles_dataset[[#This Row],[Battery_Capacity_kWh]]/electric_vehicles_dataset[[#This Row],[Range_km]]</f>
        <v>0.24952380952380951</v>
      </c>
      <c r="I664">
        <v>105</v>
      </c>
      <c r="J664" t="s">
        <v>18</v>
      </c>
      <c r="K664">
        <v>2</v>
      </c>
      <c r="L664" s="1">
        <v>68743.08</v>
      </c>
      <c r="M664" s="1" t="str" cm="1">
        <f t="array" ref="M66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64" t="s">
        <v>35</v>
      </c>
      <c r="O664" t="s">
        <v>199</v>
      </c>
      <c r="P664" s="2" t="s">
        <v>394</v>
      </c>
      <c r="Q664">
        <v>0</v>
      </c>
      <c r="R664" t="s">
        <v>390</v>
      </c>
      <c r="S664" s="1">
        <f>electric_vehicles_dataset[[#This Row],[Units_Sold_2024]]*electric_vehicles_dataset[[#This Row],[Price_USD]]</f>
        <v>1210840611.1200001</v>
      </c>
      <c r="T664">
        <v>4</v>
      </c>
      <c r="U664">
        <v>17614</v>
      </c>
      <c r="V664">
        <v>3</v>
      </c>
    </row>
    <row r="665" spans="1:22" x14ac:dyDescent="0.35">
      <c r="A665">
        <v>664</v>
      </c>
      <c r="B665" t="s">
        <v>136</v>
      </c>
      <c r="C665" t="s">
        <v>137</v>
      </c>
      <c r="D665">
        <v>2019</v>
      </c>
      <c r="E665" t="s">
        <v>53</v>
      </c>
      <c r="F665">
        <v>122</v>
      </c>
      <c r="G665" t="s">
        <v>352</v>
      </c>
      <c r="H665">
        <f>electric_vehicles_dataset[[#This Row],[Battery_Capacity_kWh]]/electric_vehicles_dataset[[#This Row],[Range_km]]</f>
        <v>0.78205128205128205</v>
      </c>
      <c r="I665">
        <v>156</v>
      </c>
      <c r="J665" t="s">
        <v>27</v>
      </c>
      <c r="K665">
        <v>11</v>
      </c>
      <c r="L665" s="1">
        <v>39005.06</v>
      </c>
      <c r="M665" s="1" t="str" cm="1">
        <f t="array" ref="M66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65" t="s">
        <v>219</v>
      </c>
      <c r="O665" t="s">
        <v>118</v>
      </c>
      <c r="P665" s="2" t="s">
        <v>389</v>
      </c>
      <c r="Q665">
        <v>3</v>
      </c>
      <c r="R665" t="s">
        <v>397</v>
      </c>
      <c r="S665" s="1">
        <f>electric_vehicles_dataset[[#This Row],[Units_Sold_2024]]*electric_vehicles_dataset[[#This Row],[Price_USD]]</f>
        <v>745698737.07999992</v>
      </c>
      <c r="T665">
        <v>3</v>
      </c>
      <c r="U665">
        <v>19118</v>
      </c>
      <c r="V665">
        <v>4</v>
      </c>
    </row>
    <row r="666" spans="1:22" x14ac:dyDescent="0.35">
      <c r="A666">
        <v>665</v>
      </c>
      <c r="B666" t="s">
        <v>64</v>
      </c>
      <c r="C666" t="s">
        <v>65</v>
      </c>
      <c r="D666">
        <v>2020</v>
      </c>
      <c r="E666" t="s">
        <v>26</v>
      </c>
      <c r="F666">
        <v>39.200000000000003</v>
      </c>
      <c r="G666" t="s">
        <v>357</v>
      </c>
      <c r="H666">
        <f>electric_vehicles_dataset[[#This Row],[Battery_Capacity_kWh]]/electric_vehicles_dataset[[#This Row],[Range_km]]</f>
        <v>9.8245614035087733E-2</v>
      </c>
      <c r="I666">
        <v>399</v>
      </c>
      <c r="J666" t="s">
        <v>358</v>
      </c>
      <c r="K666">
        <v>8</v>
      </c>
      <c r="L666" s="1">
        <v>110188.23</v>
      </c>
      <c r="M666" s="1" t="str" cm="1">
        <f t="array" ref="M6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66" t="s">
        <v>212</v>
      </c>
      <c r="O666" t="s">
        <v>121</v>
      </c>
      <c r="P666" s="2" t="s">
        <v>398</v>
      </c>
      <c r="Q666">
        <v>3</v>
      </c>
      <c r="R666" t="s">
        <v>397</v>
      </c>
      <c r="S666" s="1">
        <f>electric_vehicles_dataset[[#This Row],[Units_Sold_2024]]*electric_vehicles_dataset[[#This Row],[Price_USD]]</f>
        <v>1742847233.9099998</v>
      </c>
      <c r="T666">
        <v>4</v>
      </c>
      <c r="U666">
        <v>15817</v>
      </c>
      <c r="V666">
        <v>3</v>
      </c>
    </row>
    <row r="667" spans="1:22" x14ac:dyDescent="0.35">
      <c r="A667">
        <v>666</v>
      </c>
      <c r="B667" t="s">
        <v>200</v>
      </c>
      <c r="C667" t="s">
        <v>327</v>
      </c>
      <c r="D667">
        <v>2019</v>
      </c>
      <c r="E667" t="s">
        <v>17</v>
      </c>
      <c r="F667">
        <v>30.8</v>
      </c>
      <c r="G667" t="s">
        <v>357</v>
      </c>
      <c r="H667">
        <f>electric_vehicles_dataset[[#This Row],[Battery_Capacity_kWh]]/electric_vehicles_dataset[[#This Row],[Range_km]]</f>
        <v>0.08</v>
      </c>
      <c r="I667">
        <v>385</v>
      </c>
      <c r="J667" t="s">
        <v>353</v>
      </c>
      <c r="K667">
        <v>8</v>
      </c>
      <c r="L667" s="1">
        <v>118232.19</v>
      </c>
      <c r="M667" s="1" t="str" cm="1">
        <f t="array" ref="M66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67" t="s">
        <v>205</v>
      </c>
      <c r="O667" t="s">
        <v>92</v>
      </c>
      <c r="P667" s="2" t="s">
        <v>394</v>
      </c>
      <c r="Q667">
        <v>3</v>
      </c>
      <c r="R667" t="s">
        <v>397</v>
      </c>
      <c r="S667" s="1">
        <f>electric_vehicles_dataset[[#This Row],[Units_Sold_2024]]*electric_vehicles_dataset[[#This Row],[Price_USD]]</f>
        <v>837320369.58000004</v>
      </c>
      <c r="T667">
        <v>5</v>
      </c>
      <c r="U667">
        <v>7082</v>
      </c>
      <c r="V667">
        <v>4</v>
      </c>
    </row>
    <row r="668" spans="1:22" x14ac:dyDescent="0.35">
      <c r="A668">
        <v>667</v>
      </c>
      <c r="B668" t="s">
        <v>241</v>
      </c>
      <c r="C668" t="s">
        <v>242</v>
      </c>
      <c r="D668">
        <v>2018</v>
      </c>
      <c r="E668" t="s">
        <v>130</v>
      </c>
      <c r="F668">
        <v>33.6</v>
      </c>
      <c r="G668" t="s">
        <v>357</v>
      </c>
      <c r="H668">
        <f>electric_vehicles_dataset[[#This Row],[Battery_Capacity_kWh]]/electric_vehicles_dataset[[#This Row],[Range_km]]</f>
        <v>0.16310679611650486</v>
      </c>
      <c r="I668">
        <v>206</v>
      </c>
      <c r="J668" t="s">
        <v>38</v>
      </c>
      <c r="K668">
        <v>9</v>
      </c>
      <c r="L668" s="1">
        <v>67419.05</v>
      </c>
      <c r="M668" s="1" t="str" cm="1">
        <f t="array" ref="M66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68" t="s">
        <v>32</v>
      </c>
      <c r="O668" t="s">
        <v>44</v>
      </c>
      <c r="P668" s="2" t="s">
        <v>389</v>
      </c>
      <c r="Q668">
        <v>0</v>
      </c>
      <c r="R668" t="s">
        <v>390</v>
      </c>
      <c r="S668" s="1">
        <f>electric_vehicles_dataset[[#This Row],[Units_Sold_2024]]*electric_vehicles_dataset[[#This Row],[Price_USD]]</f>
        <v>851772277.70000005</v>
      </c>
      <c r="T668">
        <v>4</v>
      </c>
      <c r="U668">
        <v>12634</v>
      </c>
      <c r="V668">
        <v>4</v>
      </c>
    </row>
    <row r="669" spans="1:22" x14ac:dyDescent="0.35">
      <c r="A669">
        <v>668</v>
      </c>
      <c r="B669" t="s">
        <v>155</v>
      </c>
      <c r="C669" t="s">
        <v>156</v>
      </c>
      <c r="D669">
        <v>2021</v>
      </c>
      <c r="E669" t="s">
        <v>31</v>
      </c>
      <c r="F669">
        <v>28.9</v>
      </c>
      <c r="G669" t="s">
        <v>357</v>
      </c>
      <c r="H669">
        <f>electric_vehicles_dataset[[#This Row],[Battery_Capacity_kWh]]/electric_vehicles_dataset[[#This Row],[Range_km]]</f>
        <v>9.1455696202531647E-2</v>
      </c>
      <c r="I669">
        <v>316</v>
      </c>
      <c r="J669" t="s">
        <v>85</v>
      </c>
      <c r="K669">
        <v>8</v>
      </c>
      <c r="L669" s="1">
        <v>144179.35</v>
      </c>
      <c r="M669" s="1" t="str" cm="1">
        <f t="array" ref="M66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69" t="s">
        <v>59</v>
      </c>
      <c r="O669" t="s">
        <v>93</v>
      </c>
      <c r="P669" s="2" t="s">
        <v>389</v>
      </c>
      <c r="Q669">
        <v>0</v>
      </c>
      <c r="R669" t="s">
        <v>390</v>
      </c>
      <c r="S669" s="1">
        <f>electric_vehicles_dataset[[#This Row],[Units_Sold_2024]]*electric_vehicles_dataset[[#This Row],[Price_USD]]</f>
        <v>78289387.049999997</v>
      </c>
      <c r="T669">
        <v>3</v>
      </c>
      <c r="U669">
        <v>543</v>
      </c>
      <c r="V669">
        <v>4</v>
      </c>
    </row>
    <row r="670" spans="1:22" x14ac:dyDescent="0.35">
      <c r="A670">
        <v>669</v>
      </c>
      <c r="B670" t="s">
        <v>120</v>
      </c>
      <c r="C670" t="s">
        <v>195</v>
      </c>
      <c r="D670">
        <v>2015</v>
      </c>
      <c r="E670" t="s">
        <v>130</v>
      </c>
      <c r="F670">
        <v>106</v>
      </c>
      <c r="G670" t="s">
        <v>361</v>
      </c>
      <c r="H670">
        <f>electric_vehicles_dataset[[#This Row],[Battery_Capacity_kWh]]/electric_vehicles_dataset[[#This Row],[Range_km]]</f>
        <v>0.3202416918429003</v>
      </c>
      <c r="I670">
        <v>331</v>
      </c>
      <c r="J670" t="s">
        <v>149</v>
      </c>
      <c r="K670">
        <v>4</v>
      </c>
      <c r="L670" s="1">
        <v>141231.32999999999</v>
      </c>
      <c r="M670" s="1" t="str" cm="1">
        <f t="array" ref="M67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70" t="s">
        <v>143</v>
      </c>
      <c r="O670" t="s">
        <v>202</v>
      </c>
      <c r="P670" s="2" t="s">
        <v>393</v>
      </c>
      <c r="Q670">
        <v>1</v>
      </c>
      <c r="R670" t="s">
        <v>391</v>
      </c>
      <c r="S670" s="1">
        <f>electric_vehicles_dataset[[#This Row],[Units_Sold_2024]]*electric_vehicles_dataset[[#This Row],[Price_USD]]</f>
        <v>245883745.52999997</v>
      </c>
      <c r="T670">
        <v>4</v>
      </c>
      <c r="U670">
        <v>1741</v>
      </c>
      <c r="V670">
        <v>4</v>
      </c>
    </row>
    <row r="671" spans="1:22" x14ac:dyDescent="0.35">
      <c r="A671">
        <v>670</v>
      </c>
      <c r="B671" t="s">
        <v>122</v>
      </c>
      <c r="C671" t="s">
        <v>123</v>
      </c>
      <c r="D671">
        <v>2016</v>
      </c>
      <c r="E671" t="s">
        <v>84</v>
      </c>
      <c r="F671">
        <v>104.3</v>
      </c>
      <c r="G671" t="s">
        <v>361</v>
      </c>
      <c r="H671">
        <f>electric_vehicles_dataset[[#This Row],[Battery_Capacity_kWh]]/electric_vehicles_dataset[[#This Row],[Range_km]]</f>
        <v>0.22004219409282699</v>
      </c>
      <c r="I671">
        <v>474</v>
      </c>
      <c r="J671" t="s">
        <v>358</v>
      </c>
      <c r="K671">
        <v>3</v>
      </c>
      <c r="L671" s="1">
        <v>52733.96</v>
      </c>
      <c r="M671" s="1" t="str" cm="1">
        <f t="array" ref="M67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71" t="s">
        <v>229</v>
      </c>
      <c r="O671" t="s">
        <v>139</v>
      </c>
      <c r="P671" s="2" t="s">
        <v>389</v>
      </c>
      <c r="Q671">
        <v>4</v>
      </c>
      <c r="R671" t="s">
        <v>392</v>
      </c>
      <c r="S671" s="1">
        <f>electric_vehicles_dataset[[#This Row],[Units_Sold_2024]]*electric_vehicles_dataset[[#This Row],[Price_USD]]</f>
        <v>86167290.640000001</v>
      </c>
      <c r="T671">
        <v>5</v>
      </c>
      <c r="U671">
        <v>1634</v>
      </c>
      <c r="V671">
        <v>5</v>
      </c>
    </row>
    <row r="672" spans="1:22" x14ac:dyDescent="0.35">
      <c r="A672">
        <v>671</v>
      </c>
      <c r="B672" t="s">
        <v>87</v>
      </c>
      <c r="C672" t="s">
        <v>88</v>
      </c>
      <c r="D672">
        <v>2018</v>
      </c>
      <c r="E672" t="s">
        <v>58</v>
      </c>
      <c r="F672">
        <v>26.9</v>
      </c>
      <c r="G672" t="s">
        <v>357</v>
      </c>
      <c r="H672">
        <f>electric_vehicles_dataset[[#This Row],[Battery_Capacity_kWh]]/electric_vehicles_dataset[[#This Row],[Range_km]]</f>
        <v>0.22796610169491524</v>
      </c>
      <c r="I672">
        <v>118</v>
      </c>
      <c r="J672" t="s">
        <v>105</v>
      </c>
      <c r="K672">
        <v>3</v>
      </c>
      <c r="L672" s="1">
        <v>93855.81</v>
      </c>
      <c r="M672" s="1" t="str" cm="1">
        <f t="array" ref="M67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72" t="s">
        <v>49</v>
      </c>
      <c r="O672" t="s">
        <v>159</v>
      </c>
      <c r="P672" s="2" t="s">
        <v>389</v>
      </c>
      <c r="Q672">
        <v>5</v>
      </c>
      <c r="R672" t="s">
        <v>392</v>
      </c>
      <c r="S672" s="1">
        <f>electric_vehicles_dataset[[#This Row],[Units_Sold_2024]]*electric_vehicles_dataset[[#This Row],[Price_USD]]</f>
        <v>676231111.04999995</v>
      </c>
      <c r="T672">
        <v>3</v>
      </c>
      <c r="U672">
        <v>7205</v>
      </c>
      <c r="V672">
        <v>5</v>
      </c>
    </row>
    <row r="673" spans="1:22" x14ac:dyDescent="0.35">
      <c r="A673">
        <v>672</v>
      </c>
      <c r="B673" t="s">
        <v>241</v>
      </c>
      <c r="C673" t="s">
        <v>247</v>
      </c>
      <c r="D673">
        <v>2019</v>
      </c>
      <c r="E673" t="s">
        <v>130</v>
      </c>
      <c r="F673">
        <v>46.7</v>
      </c>
      <c r="G673" t="s">
        <v>348</v>
      </c>
      <c r="H673">
        <f>electric_vehicles_dataset[[#This Row],[Battery_Capacity_kWh]]/electric_vehicles_dataset[[#This Row],[Range_km]]</f>
        <v>9.3027888446215151E-2</v>
      </c>
      <c r="I673">
        <v>502</v>
      </c>
      <c r="J673" t="s">
        <v>359</v>
      </c>
      <c r="K673">
        <v>5</v>
      </c>
      <c r="L673" s="1">
        <v>64559.11</v>
      </c>
      <c r="M673" s="1" t="str" cm="1">
        <f t="array" ref="M67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73" t="s">
        <v>160</v>
      </c>
      <c r="O673" t="s">
        <v>265</v>
      </c>
      <c r="P673" s="2" t="s">
        <v>389</v>
      </c>
      <c r="Q673">
        <v>0</v>
      </c>
      <c r="R673" t="s">
        <v>390</v>
      </c>
      <c r="S673" s="1">
        <f>electric_vehicles_dataset[[#This Row],[Units_Sold_2024]]*electric_vehicles_dataset[[#This Row],[Price_USD]]</f>
        <v>1008542416.42</v>
      </c>
      <c r="T673">
        <v>5</v>
      </c>
      <c r="U673">
        <v>15622</v>
      </c>
      <c r="V673">
        <v>5</v>
      </c>
    </row>
    <row r="674" spans="1:22" x14ac:dyDescent="0.35">
      <c r="A674">
        <v>673</v>
      </c>
      <c r="B674" t="s">
        <v>234</v>
      </c>
      <c r="C674" t="s">
        <v>235</v>
      </c>
      <c r="D674">
        <v>2017</v>
      </c>
      <c r="E674" t="s">
        <v>104</v>
      </c>
      <c r="F674">
        <v>108.6</v>
      </c>
      <c r="G674" t="s">
        <v>361</v>
      </c>
      <c r="H674">
        <f>electric_vehicles_dataset[[#This Row],[Battery_Capacity_kWh]]/electric_vehicles_dataset[[#This Row],[Range_km]]</f>
        <v>0.58702702702702703</v>
      </c>
      <c r="I674">
        <v>185</v>
      </c>
      <c r="J674" t="s">
        <v>85</v>
      </c>
      <c r="K674">
        <v>4</v>
      </c>
      <c r="L674" s="1">
        <v>84625.96</v>
      </c>
      <c r="M674" s="1" t="str" cm="1">
        <f t="array" ref="M67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74" t="s">
        <v>22</v>
      </c>
      <c r="O674" t="s">
        <v>226</v>
      </c>
      <c r="P674" s="2" t="s">
        <v>395</v>
      </c>
      <c r="Q674">
        <v>0</v>
      </c>
      <c r="R674" t="s">
        <v>390</v>
      </c>
      <c r="S674" s="1">
        <f>electric_vehicles_dataset[[#This Row],[Units_Sold_2024]]*electric_vehicles_dataset[[#This Row],[Price_USD]]</f>
        <v>473397620.24000001</v>
      </c>
      <c r="T674">
        <v>3</v>
      </c>
      <c r="U674">
        <v>5594</v>
      </c>
      <c r="V674">
        <v>5</v>
      </c>
    </row>
    <row r="675" spans="1:22" x14ac:dyDescent="0.35">
      <c r="A675">
        <v>674</v>
      </c>
      <c r="B675" t="s">
        <v>51</v>
      </c>
      <c r="C675" t="s">
        <v>52</v>
      </c>
      <c r="D675">
        <v>2024</v>
      </c>
      <c r="E675" t="s">
        <v>104</v>
      </c>
      <c r="F675">
        <v>146</v>
      </c>
      <c r="G675" t="s">
        <v>386</v>
      </c>
      <c r="H675">
        <f>electric_vehicles_dataset[[#This Row],[Battery_Capacity_kWh]]/electric_vehicles_dataset[[#This Row],[Range_km]]</f>
        <v>0.36683417085427134</v>
      </c>
      <c r="I675">
        <v>398</v>
      </c>
      <c r="J675" t="s">
        <v>76</v>
      </c>
      <c r="K675">
        <v>6</v>
      </c>
      <c r="L675" s="1">
        <v>59701.25</v>
      </c>
      <c r="M675" s="1" t="str" cm="1">
        <f t="array" ref="M67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75" t="s">
        <v>43</v>
      </c>
      <c r="O675" t="s">
        <v>95</v>
      </c>
      <c r="P675" s="2" t="s">
        <v>394</v>
      </c>
      <c r="Q675">
        <v>4</v>
      </c>
      <c r="R675" t="s">
        <v>392</v>
      </c>
      <c r="S675" s="1">
        <f>electric_vehicles_dataset[[#This Row],[Units_Sold_2024]]*electric_vehicles_dataset[[#This Row],[Price_USD]]</f>
        <v>1027577915</v>
      </c>
      <c r="T675">
        <v>3</v>
      </c>
      <c r="U675">
        <v>17212</v>
      </c>
      <c r="V675">
        <v>5</v>
      </c>
    </row>
    <row r="676" spans="1:22" x14ac:dyDescent="0.35">
      <c r="A676">
        <v>675</v>
      </c>
      <c r="B676" t="s">
        <v>220</v>
      </c>
      <c r="C676" t="s">
        <v>337</v>
      </c>
      <c r="D676">
        <v>2016</v>
      </c>
      <c r="E676" t="s">
        <v>58</v>
      </c>
      <c r="F676">
        <v>59.6</v>
      </c>
      <c r="G676" t="s">
        <v>348</v>
      </c>
      <c r="H676">
        <f>electric_vehicles_dataset[[#This Row],[Battery_Capacity_kWh]]/electric_vehicles_dataset[[#This Row],[Range_km]]</f>
        <v>0.12521008403361344</v>
      </c>
      <c r="I676">
        <v>476</v>
      </c>
      <c r="J676" t="s">
        <v>38</v>
      </c>
      <c r="K676">
        <v>6</v>
      </c>
      <c r="L676" s="1">
        <v>118177.8</v>
      </c>
      <c r="M676" s="1" t="str" cm="1">
        <f t="array" ref="M67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76" t="s">
        <v>19</v>
      </c>
      <c r="O676" t="s">
        <v>161</v>
      </c>
      <c r="P676" s="2" t="s">
        <v>389</v>
      </c>
      <c r="Q676">
        <v>2</v>
      </c>
      <c r="R676" t="s">
        <v>391</v>
      </c>
      <c r="S676" s="1">
        <f>electric_vehicles_dataset[[#This Row],[Units_Sold_2024]]*electric_vehicles_dataset[[#This Row],[Price_USD]]</f>
        <v>1365426301.2</v>
      </c>
      <c r="T676">
        <v>4</v>
      </c>
      <c r="U676">
        <v>11554</v>
      </c>
      <c r="V676">
        <v>4</v>
      </c>
    </row>
    <row r="677" spans="1:22" x14ac:dyDescent="0.35">
      <c r="A677">
        <v>676</v>
      </c>
      <c r="B677" t="s">
        <v>215</v>
      </c>
      <c r="C677" t="s">
        <v>377</v>
      </c>
      <c r="D677">
        <v>2023</v>
      </c>
      <c r="E677" t="s">
        <v>183</v>
      </c>
      <c r="F677">
        <v>106.3</v>
      </c>
      <c r="G677" t="s">
        <v>361</v>
      </c>
      <c r="H677">
        <f>electric_vehicles_dataset[[#This Row],[Battery_Capacity_kWh]]/electric_vehicles_dataset[[#This Row],[Range_km]]</f>
        <v>0.19612546125461255</v>
      </c>
      <c r="I677">
        <v>542</v>
      </c>
      <c r="J677" t="s">
        <v>356</v>
      </c>
      <c r="K677">
        <v>2</v>
      </c>
      <c r="L677" s="1">
        <v>112294.1</v>
      </c>
      <c r="M677" s="1" t="str" cm="1">
        <f t="array" ref="M67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77" t="s">
        <v>254</v>
      </c>
      <c r="O677" t="s">
        <v>135</v>
      </c>
      <c r="P677" s="2" t="s">
        <v>389</v>
      </c>
      <c r="Q677">
        <v>2</v>
      </c>
      <c r="R677" t="s">
        <v>391</v>
      </c>
      <c r="S677" s="1">
        <f>electric_vehicles_dataset[[#This Row],[Units_Sold_2024]]*electric_vehicles_dataset[[#This Row],[Price_USD]]</f>
        <v>1314290146.4000001</v>
      </c>
      <c r="T677">
        <v>3</v>
      </c>
      <c r="U677">
        <v>11704</v>
      </c>
      <c r="V677">
        <v>4</v>
      </c>
    </row>
    <row r="678" spans="1:22" x14ac:dyDescent="0.35">
      <c r="A678">
        <v>677</v>
      </c>
      <c r="B678" t="s">
        <v>144</v>
      </c>
      <c r="C678" t="s">
        <v>273</v>
      </c>
      <c r="D678">
        <v>2024</v>
      </c>
      <c r="E678" t="s">
        <v>17</v>
      </c>
      <c r="F678">
        <v>110.5</v>
      </c>
      <c r="G678" t="s">
        <v>361</v>
      </c>
      <c r="H678">
        <f>electric_vehicles_dataset[[#This Row],[Battery_Capacity_kWh]]/electric_vehicles_dataset[[#This Row],[Range_km]]</f>
        <v>0.34531250000000002</v>
      </c>
      <c r="I678">
        <v>320</v>
      </c>
      <c r="J678" t="s">
        <v>149</v>
      </c>
      <c r="K678">
        <v>3</v>
      </c>
      <c r="L678" s="1">
        <v>40712.879999999997</v>
      </c>
      <c r="M678" s="1" t="str" cm="1">
        <f t="array" ref="M67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78" t="s">
        <v>28</v>
      </c>
      <c r="O678" t="s">
        <v>93</v>
      </c>
      <c r="P678" s="2" t="s">
        <v>389</v>
      </c>
      <c r="Q678">
        <v>5</v>
      </c>
      <c r="R678" t="s">
        <v>392</v>
      </c>
      <c r="S678" s="1">
        <f>electric_vehicles_dataset[[#This Row],[Units_Sold_2024]]*electric_vehicles_dataset[[#This Row],[Price_USD]]</f>
        <v>702907873.19999993</v>
      </c>
      <c r="T678">
        <v>4</v>
      </c>
      <c r="U678">
        <v>17265</v>
      </c>
      <c r="V678">
        <v>3</v>
      </c>
    </row>
    <row r="679" spans="1:22" x14ac:dyDescent="0.35">
      <c r="A679">
        <v>678</v>
      </c>
      <c r="B679" t="s">
        <v>180</v>
      </c>
      <c r="C679" t="s">
        <v>379</v>
      </c>
      <c r="D679">
        <v>2020</v>
      </c>
      <c r="E679" t="s">
        <v>53</v>
      </c>
      <c r="F679">
        <v>63.1</v>
      </c>
      <c r="G679" t="s">
        <v>351</v>
      </c>
      <c r="H679">
        <f>electric_vehicles_dataset[[#This Row],[Battery_Capacity_kWh]]/electric_vehicles_dataset[[#This Row],[Range_km]]</f>
        <v>0.15735660847880301</v>
      </c>
      <c r="I679">
        <v>401</v>
      </c>
      <c r="J679" t="s">
        <v>358</v>
      </c>
      <c r="K679">
        <v>11</v>
      </c>
      <c r="L679" s="1">
        <v>63149.66</v>
      </c>
      <c r="M679" s="1" t="str" cm="1">
        <f t="array" ref="M67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79" t="s">
        <v>55</v>
      </c>
      <c r="O679" t="s">
        <v>95</v>
      </c>
      <c r="P679" s="2" t="s">
        <v>394</v>
      </c>
      <c r="Q679">
        <v>5</v>
      </c>
      <c r="R679" t="s">
        <v>392</v>
      </c>
      <c r="S679" s="1">
        <f>electric_vehicles_dataset[[#This Row],[Units_Sold_2024]]*electric_vehicles_dataset[[#This Row],[Price_USD]]</f>
        <v>941561430.60000002</v>
      </c>
      <c r="T679">
        <v>4</v>
      </c>
      <c r="U679">
        <v>14910</v>
      </c>
      <c r="V679">
        <v>5</v>
      </c>
    </row>
    <row r="680" spans="1:22" x14ac:dyDescent="0.35">
      <c r="A680">
        <v>679</v>
      </c>
      <c r="B680" t="s">
        <v>170</v>
      </c>
      <c r="C680" t="s">
        <v>218</v>
      </c>
      <c r="D680">
        <v>2019</v>
      </c>
      <c r="E680" t="s">
        <v>58</v>
      </c>
      <c r="F680">
        <v>146</v>
      </c>
      <c r="G680" t="s">
        <v>386</v>
      </c>
      <c r="H680">
        <f>electric_vehicles_dataset[[#This Row],[Battery_Capacity_kWh]]/electric_vehicles_dataset[[#This Row],[Range_km]]</f>
        <v>0.41126760563380282</v>
      </c>
      <c r="I680">
        <v>355</v>
      </c>
      <c r="J680" t="s">
        <v>18</v>
      </c>
      <c r="K680">
        <v>6</v>
      </c>
      <c r="L680" s="1">
        <v>48027.33</v>
      </c>
      <c r="M680" s="1" t="str" cm="1">
        <f t="array" ref="M6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80" t="s">
        <v>179</v>
      </c>
      <c r="O680" t="s">
        <v>118</v>
      </c>
      <c r="P680" s="2" t="s">
        <v>389</v>
      </c>
      <c r="Q680">
        <v>1</v>
      </c>
      <c r="R680" t="s">
        <v>391</v>
      </c>
      <c r="S680" s="1">
        <f>electric_vehicles_dataset[[#This Row],[Units_Sold_2024]]*electric_vehicles_dataset[[#This Row],[Price_USD]]</f>
        <v>24493938.300000001</v>
      </c>
      <c r="T680">
        <v>4</v>
      </c>
      <c r="U680">
        <v>510</v>
      </c>
      <c r="V680">
        <v>4</v>
      </c>
    </row>
    <row r="681" spans="1:22" x14ac:dyDescent="0.35">
      <c r="A681">
        <v>680</v>
      </c>
      <c r="B681" t="s">
        <v>108</v>
      </c>
      <c r="C681" t="s">
        <v>119</v>
      </c>
      <c r="D681">
        <v>2019</v>
      </c>
      <c r="E681" t="s">
        <v>26</v>
      </c>
      <c r="F681">
        <v>97.1</v>
      </c>
      <c r="G681" t="s">
        <v>350</v>
      </c>
      <c r="H681">
        <f>electric_vehicles_dataset[[#This Row],[Battery_Capacity_kWh]]/electric_vehicles_dataset[[#This Row],[Range_km]]</f>
        <v>0.76456692913385826</v>
      </c>
      <c r="I681">
        <v>127</v>
      </c>
      <c r="J681" t="s">
        <v>356</v>
      </c>
      <c r="K681">
        <v>4</v>
      </c>
      <c r="L681" s="1">
        <v>81638.740000000005</v>
      </c>
      <c r="M681" s="1" t="str" cm="1">
        <f t="array" ref="M6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81" t="s">
        <v>117</v>
      </c>
      <c r="O681" t="s">
        <v>115</v>
      </c>
      <c r="P681" s="2" t="s">
        <v>396</v>
      </c>
      <c r="Q681">
        <v>1</v>
      </c>
      <c r="R681" t="s">
        <v>391</v>
      </c>
      <c r="S681" s="1">
        <f>electric_vehicles_dataset[[#This Row],[Units_Sold_2024]]*electric_vehicles_dataset[[#This Row],[Price_USD]]</f>
        <v>1500030208.76</v>
      </c>
      <c r="T681">
        <v>5</v>
      </c>
      <c r="U681">
        <v>18374</v>
      </c>
      <c r="V681">
        <v>3</v>
      </c>
    </row>
    <row r="682" spans="1:22" x14ac:dyDescent="0.35">
      <c r="A682">
        <v>681</v>
      </c>
      <c r="B682" t="s">
        <v>200</v>
      </c>
      <c r="C682" t="s">
        <v>327</v>
      </c>
      <c r="D682">
        <v>2017</v>
      </c>
      <c r="E682" t="s">
        <v>17</v>
      </c>
      <c r="F682">
        <v>45.6</v>
      </c>
      <c r="G682" t="s">
        <v>348</v>
      </c>
      <c r="H682">
        <f>electric_vehicles_dataset[[#This Row],[Battery_Capacity_kWh]]/electric_vehicles_dataset[[#This Row],[Range_km]]</f>
        <v>0.1142857142857143</v>
      </c>
      <c r="I682">
        <v>399</v>
      </c>
      <c r="J682" t="s">
        <v>364</v>
      </c>
      <c r="K682">
        <v>4</v>
      </c>
      <c r="L682" s="1">
        <v>33856.400000000001</v>
      </c>
      <c r="M682" s="1" t="str" cm="1">
        <f t="array" ref="M6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82" t="s">
        <v>91</v>
      </c>
      <c r="O682" t="s">
        <v>78</v>
      </c>
      <c r="P682" s="2" t="s">
        <v>389</v>
      </c>
      <c r="Q682">
        <v>5</v>
      </c>
      <c r="R682" t="s">
        <v>392</v>
      </c>
      <c r="S682" s="1">
        <f>electric_vehicles_dataset[[#This Row],[Units_Sold_2024]]*electric_vehicles_dataset[[#This Row],[Price_USD]]</f>
        <v>289810784</v>
      </c>
      <c r="T682">
        <v>3</v>
      </c>
      <c r="U682">
        <v>8560</v>
      </c>
      <c r="V682">
        <v>4</v>
      </c>
    </row>
    <row r="683" spans="1:22" x14ac:dyDescent="0.35">
      <c r="A683">
        <v>682</v>
      </c>
      <c r="B683" t="s">
        <v>157</v>
      </c>
      <c r="C683" t="s">
        <v>158</v>
      </c>
      <c r="D683">
        <v>2017</v>
      </c>
      <c r="E683" t="s">
        <v>90</v>
      </c>
      <c r="F683">
        <v>76.7</v>
      </c>
      <c r="G683" t="s">
        <v>351</v>
      </c>
      <c r="H683">
        <f>electric_vehicles_dataset[[#This Row],[Battery_Capacity_kWh]]/electric_vehicles_dataset[[#This Row],[Range_km]]</f>
        <v>0.13996350364963503</v>
      </c>
      <c r="I683">
        <v>548</v>
      </c>
      <c r="J683" t="s">
        <v>38</v>
      </c>
      <c r="K683">
        <v>10</v>
      </c>
      <c r="L683" s="1">
        <v>46701.16</v>
      </c>
      <c r="M683" s="1" t="str" cm="1">
        <f t="array" ref="M68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83" t="s">
        <v>168</v>
      </c>
      <c r="O683" t="s">
        <v>63</v>
      </c>
      <c r="P683" s="2" t="s">
        <v>389</v>
      </c>
      <c r="Q683">
        <v>3</v>
      </c>
      <c r="R683" t="s">
        <v>397</v>
      </c>
      <c r="S683" s="1">
        <f>electric_vehicles_dataset[[#This Row],[Units_Sold_2024]]*electric_vehicles_dataset[[#This Row],[Price_USD]]</f>
        <v>455009401.88000005</v>
      </c>
      <c r="T683">
        <v>3</v>
      </c>
      <c r="U683">
        <v>9743</v>
      </c>
      <c r="V683">
        <v>5</v>
      </c>
    </row>
    <row r="684" spans="1:22" x14ac:dyDescent="0.35">
      <c r="A684">
        <v>683</v>
      </c>
      <c r="B684" t="s">
        <v>16</v>
      </c>
      <c r="C684" t="s">
        <v>347</v>
      </c>
      <c r="D684">
        <v>2023</v>
      </c>
      <c r="E684" t="s">
        <v>101</v>
      </c>
      <c r="F684">
        <v>68.900000000000006</v>
      </c>
      <c r="G684" t="s">
        <v>351</v>
      </c>
      <c r="H684">
        <f>electric_vehicles_dataset[[#This Row],[Battery_Capacity_kWh]]/electric_vehicles_dataset[[#This Row],[Range_km]]</f>
        <v>0.12572992700729929</v>
      </c>
      <c r="I684">
        <v>548</v>
      </c>
      <c r="J684" t="s">
        <v>358</v>
      </c>
      <c r="K684">
        <v>2</v>
      </c>
      <c r="L684" s="1">
        <v>93188.57</v>
      </c>
      <c r="M684" s="1" t="str" cm="1">
        <f t="array" ref="M68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84" t="s">
        <v>35</v>
      </c>
      <c r="O684" t="s">
        <v>89</v>
      </c>
      <c r="P684" s="2" t="s">
        <v>389</v>
      </c>
      <c r="Q684">
        <v>5</v>
      </c>
      <c r="R684" t="s">
        <v>392</v>
      </c>
      <c r="S684" s="1">
        <f>electric_vehicles_dataset[[#This Row],[Units_Sold_2024]]*electric_vehicles_dataset[[#This Row],[Price_USD]]</f>
        <v>1424573669.5900002</v>
      </c>
      <c r="T684">
        <v>4</v>
      </c>
      <c r="U684">
        <v>15287</v>
      </c>
      <c r="V684">
        <v>4</v>
      </c>
    </row>
    <row r="685" spans="1:22" x14ac:dyDescent="0.35">
      <c r="A685">
        <v>684</v>
      </c>
      <c r="B685" t="s">
        <v>125</v>
      </c>
      <c r="C685" t="s">
        <v>126</v>
      </c>
      <c r="D685">
        <v>2015</v>
      </c>
      <c r="E685" t="s">
        <v>53</v>
      </c>
      <c r="F685">
        <v>92.7</v>
      </c>
      <c r="G685" t="s">
        <v>350</v>
      </c>
      <c r="H685">
        <f>electric_vehicles_dataset[[#This Row],[Battery_Capacity_kWh]]/electric_vehicles_dataset[[#This Row],[Range_km]]</f>
        <v>0.1571186440677966</v>
      </c>
      <c r="I685">
        <v>590</v>
      </c>
      <c r="J685" t="s">
        <v>358</v>
      </c>
      <c r="K685">
        <v>2</v>
      </c>
      <c r="L685" s="1">
        <v>46870.27</v>
      </c>
      <c r="M685" s="1" t="str" cm="1">
        <f t="array" ref="M68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85" t="s">
        <v>127</v>
      </c>
      <c r="O685" t="s">
        <v>78</v>
      </c>
      <c r="P685" s="2" t="s">
        <v>389</v>
      </c>
      <c r="Q685">
        <v>2</v>
      </c>
      <c r="R685" t="s">
        <v>391</v>
      </c>
      <c r="S685" s="1">
        <f>electric_vehicles_dataset[[#This Row],[Units_Sold_2024]]*electric_vehicles_dataset[[#This Row],[Price_USD]]</f>
        <v>450517035.23999995</v>
      </c>
      <c r="T685">
        <v>5</v>
      </c>
      <c r="U685">
        <v>9612</v>
      </c>
      <c r="V685">
        <v>3</v>
      </c>
    </row>
    <row r="686" spans="1:22" x14ac:dyDescent="0.35">
      <c r="A686">
        <v>685</v>
      </c>
      <c r="B686" t="s">
        <v>51</v>
      </c>
      <c r="C686" t="s">
        <v>239</v>
      </c>
      <c r="D686">
        <v>2017</v>
      </c>
      <c r="E686" t="s">
        <v>42</v>
      </c>
      <c r="F686">
        <v>107.1</v>
      </c>
      <c r="G686" t="s">
        <v>361</v>
      </c>
      <c r="H686">
        <f>electric_vehicles_dataset[[#This Row],[Battery_Capacity_kWh]]/electric_vehicles_dataset[[#This Row],[Range_km]]</f>
        <v>0.31874999999999998</v>
      </c>
      <c r="I686">
        <v>336</v>
      </c>
      <c r="J686" t="s">
        <v>345</v>
      </c>
      <c r="K686">
        <v>10</v>
      </c>
      <c r="L686" s="1">
        <v>40159.089999999997</v>
      </c>
      <c r="M686" s="1" t="str" cm="1">
        <f t="array" ref="M68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86" t="s">
        <v>49</v>
      </c>
      <c r="O686" t="s">
        <v>93</v>
      </c>
      <c r="P686" s="2" t="s">
        <v>389</v>
      </c>
      <c r="Q686">
        <v>0</v>
      </c>
      <c r="R686" t="s">
        <v>390</v>
      </c>
      <c r="S686" s="1">
        <f>electric_vehicles_dataset[[#This Row],[Units_Sold_2024]]*electric_vehicles_dataset[[#This Row],[Price_USD]]</f>
        <v>435967081.03999996</v>
      </c>
      <c r="T686">
        <v>5</v>
      </c>
      <c r="U686">
        <v>10856</v>
      </c>
      <c r="V686">
        <v>3</v>
      </c>
    </row>
    <row r="687" spans="1:22" x14ac:dyDescent="0.35">
      <c r="A687">
        <v>686</v>
      </c>
      <c r="B687" t="s">
        <v>64</v>
      </c>
      <c r="C687" t="s">
        <v>65</v>
      </c>
      <c r="D687">
        <v>2018</v>
      </c>
      <c r="E687" t="s">
        <v>47</v>
      </c>
      <c r="F687">
        <v>38.700000000000003</v>
      </c>
      <c r="G687" t="s">
        <v>357</v>
      </c>
      <c r="H687">
        <f>electric_vehicles_dataset[[#This Row],[Battery_Capacity_kWh]]/electric_vehicles_dataset[[#This Row],[Range_km]]</f>
        <v>8.0793319415448858E-2</v>
      </c>
      <c r="I687">
        <v>479</v>
      </c>
      <c r="J687" t="s">
        <v>356</v>
      </c>
      <c r="K687">
        <v>2</v>
      </c>
      <c r="L687" s="1">
        <v>137406.28</v>
      </c>
      <c r="M687" s="1" t="str" cm="1">
        <f t="array" ref="M68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87" t="s">
        <v>238</v>
      </c>
      <c r="O687" t="s">
        <v>44</v>
      </c>
      <c r="P687" s="2" t="s">
        <v>389</v>
      </c>
      <c r="Q687">
        <v>2</v>
      </c>
      <c r="R687" t="s">
        <v>391</v>
      </c>
      <c r="S687" s="1">
        <f>electric_vehicles_dataset[[#This Row],[Units_Sold_2024]]*electric_vehicles_dataset[[#This Row],[Price_USD]]</f>
        <v>903583697.27999997</v>
      </c>
      <c r="T687">
        <v>4</v>
      </c>
      <c r="U687">
        <v>6576</v>
      </c>
      <c r="V687">
        <v>3</v>
      </c>
    </row>
    <row r="688" spans="1:22" x14ac:dyDescent="0.35">
      <c r="A688">
        <v>687</v>
      </c>
      <c r="B688" t="s">
        <v>29</v>
      </c>
      <c r="C688" t="s">
        <v>30</v>
      </c>
      <c r="D688">
        <v>2017</v>
      </c>
      <c r="E688" t="s">
        <v>90</v>
      </c>
      <c r="F688">
        <v>134.4</v>
      </c>
      <c r="G688" t="s">
        <v>352</v>
      </c>
      <c r="H688">
        <f>electric_vehicles_dataset[[#This Row],[Battery_Capacity_kWh]]/electric_vehicles_dataset[[#This Row],[Range_km]]</f>
        <v>0.3672131147540984</v>
      </c>
      <c r="I688">
        <v>366</v>
      </c>
      <c r="J688" t="s">
        <v>48</v>
      </c>
      <c r="K688">
        <v>3</v>
      </c>
      <c r="L688" s="1">
        <v>42432.84</v>
      </c>
      <c r="M688" s="1" t="str" cm="1">
        <f t="array" ref="M6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88" t="s">
        <v>301</v>
      </c>
      <c r="O688" t="s">
        <v>206</v>
      </c>
      <c r="P688" s="2" t="s">
        <v>394</v>
      </c>
      <c r="Q688">
        <v>0</v>
      </c>
      <c r="R688" t="s">
        <v>390</v>
      </c>
      <c r="S688" s="1">
        <f>electric_vehicles_dataset[[#This Row],[Units_Sold_2024]]*electric_vehicles_dataset[[#This Row],[Price_USD]]</f>
        <v>255870025.19999999</v>
      </c>
      <c r="T688">
        <v>4</v>
      </c>
      <c r="U688">
        <v>6030</v>
      </c>
      <c r="V688">
        <v>3</v>
      </c>
    </row>
    <row r="689" spans="1:22" x14ac:dyDescent="0.35">
      <c r="A689">
        <v>688</v>
      </c>
      <c r="B689" t="s">
        <v>82</v>
      </c>
      <c r="C689" t="s">
        <v>281</v>
      </c>
      <c r="D689">
        <v>2024</v>
      </c>
      <c r="E689" t="s">
        <v>73</v>
      </c>
      <c r="F689">
        <v>77.099999999999994</v>
      </c>
      <c r="G689" t="s">
        <v>351</v>
      </c>
      <c r="H689">
        <f>electric_vehicles_dataset[[#This Row],[Battery_Capacity_kWh]]/electric_vehicles_dataset[[#This Row],[Range_km]]</f>
        <v>0.17683486238532109</v>
      </c>
      <c r="I689">
        <v>436</v>
      </c>
      <c r="J689" t="s">
        <v>48</v>
      </c>
      <c r="K689">
        <v>6</v>
      </c>
      <c r="L689" s="1">
        <v>106343.66</v>
      </c>
      <c r="M689" s="1" t="str" cm="1">
        <f t="array" ref="M6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89" t="s">
        <v>229</v>
      </c>
      <c r="O689" t="s">
        <v>44</v>
      </c>
      <c r="P689" s="2" t="s">
        <v>389</v>
      </c>
      <c r="Q689">
        <v>5</v>
      </c>
      <c r="R689" t="s">
        <v>392</v>
      </c>
      <c r="S689" s="1">
        <f>electric_vehicles_dataset[[#This Row],[Units_Sold_2024]]*electric_vehicles_dataset[[#This Row],[Price_USD]]</f>
        <v>1904933981.5800002</v>
      </c>
      <c r="T689">
        <v>5</v>
      </c>
      <c r="U689">
        <v>17913</v>
      </c>
      <c r="V689">
        <v>3</v>
      </c>
    </row>
    <row r="690" spans="1:22" x14ac:dyDescent="0.35">
      <c r="A690">
        <v>689</v>
      </c>
      <c r="B690" t="s">
        <v>173</v>
      </c>
      <c r="C690" t="s">
        <v>174</v>
      </c>
      <c r="D690">
        <v>2019</v>
      </c>
      <c r="E690" t="s">
        <v>133</v>
      </c>
      <c r="F690">
        <v>106.8</v>
      </c>
      <c r="G690" t="s">
        <v>361</v>
      </c>
      <c r="H690">
        <f>electric_vehicles_dataset[[#This Row],[Battery_Capacity_kWh]]/electric_vehicles_dataset[[#This Row],[Range_km]]</f>
        <v>0.18071065989847715</v>
      </c>
      <c r="I690">
        <v>591</v>
      </c>
      <c r="J690" t="s">
        <v>356</v>
      </c>
      <c r="K690">
        <v>5</v>
      </c>
      <c r="L690" s="1">
        <v>63021.760000000002</v>
      </c>
      <c r="M690" s="1" t="str" cm="1">
        <f t="array" ref="M69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90" t="s">
        <v>28</v>
      </c>
      <c r="O690" t="s">
        <v>93</v>
      </c>
      <c r="P690" s="2" t="s">
        <v>389</v>
      </c>
      <c r="Q690">
        <v>3</v>
      </c>
      <c r="R690" t="s">
        <v>397</v>
      </c>
      <c r="S690" s="1">
        <f>electric_vehicles_dataset[[#This Row],[Units_Sold_2024]]*electric_vehicles_dataset[[#This Row],[Price_USD]]</f>
        <v>1165146298.8800001</v>
      </c>
      <c r="T690">
        <v>3</v>
      </c>
      <c r="U690">
        <v>18488</v>
      </c>
      <c r="V690">
        <v>4</v>
      </c>
    </row>
    <row r="691" spans="1:22" x14ac:dyDescent="0.35">
      <c r="A691">
        <v>690</v>
      </c>
      <c r="B691" t="s">
        <v>79</v>
      </c>
      <c r="C691" t="s">
        <v>151</v>
      </c>
      <c r="D691">
        <v>2019</v>
      </c>
      <c r="E691" t="s">
        <v>84</v>
      </c>
      <c r="F691">
        <v>103.9</v>
      </c>
      <c r="G691" t="s">
        <v>361</v>
      </c>
      <c r="H691">
        <f>electric_vehicles_dataset[[#This Row],[Battery_Capacity_kWh]]/electric_vehicles_dataset[[#This Row],[Range_km]]</f>
        <v>0.1865350089766607</v>
      </c>
      <c r="I691">
        <v>557</v>
      </c>
      <c r="J691" t="s">
        <v>345</v>
      </c>
      <c r="K691">
        <v>1</v>
      </c>
      <c r="L691" s="1">
        <v>138847.01</v>
      </c>
      <c r="M691" s="1" t="str" cm="1">
        <f t="array" ref="M69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91" t="s">
        <v>131</v>
      </c>
      <c r="O691" t="s">
        <v>40</v>
      </c>
      <c r="P691" s="2" t="s">
        <v>395</v>
      </c>
      <c r="Q691">
        <v>3</v>
      </c>
      <c r="R691" t="s">
        <v>397</v>
      </c>
      <c r="S691" s="1">
        <f>electric_vehicles_dataset[[#This Row],[Units_Sold_2024]]*electric_vehicles_dataset[[#This Row],[Price_USD]]</f>
        <v>2277646352.04</v>
      </c>
      <c r="T691">
        <v>4</v>
      </c>
      <c r="U691">
        <v>16404</v>
      </c>
      <c r="V691">
        <v>5</v>
      </c>
    </row>
    <row r="692" spans="1:22" x14ac:dyDescent="0.35">
      <c r="A692">
        <v>691</v>
      </c>
      <c r="B692" t="s">
        <v>192</v>
      </c>
      <c r="C692" t="s">
        <v>198</v>
      </c>
      <c r="D692">
        <v>2023</v>
      </c>
      <c r="E692" t="s">
        <v>42</v>
      </c>
      <c r="F692">
        <v>86.7</v>
      </c>
      <c r="G692" t="s">
        <v>350</v>
      </c>
      <c r="H692">
        <f>electric_vehicles_dataset[[#This Row],[Battery_Capacity_kWh]]/electric_vehicles_dataset[[#This Row],[Range_km]]</f>
        <v>0.45873015873015877</v>
      </c>
      <c r="I692">
        <v>189</v>
      </c>
      <c r="J692" t="s">
        <v>18</v>
      </c>
      <c r="K692">
        <v>5</v>
      </c>
      <c r="L692" s="1">
        <v>116305.09</v>
      </c>
      <c r="M692" s="1" t="str" cm="1">
        <f t="array" ref="M6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92" t="s">
        <v>219</v>
      </c>
      <c r="O692" t="s">
        <v>40</v>
      </c>
      <c r="P692" s="2" t="s">
        <v>395</v>
      </c>
      <c r="Q692">
        <v>1</v>
      </c>
      <c r="R692" t="s">
        <v>391</v>
      </c>
      <c r="S692" s="1">
        <f>electric_vehicles_dataset[[#This Row],[Units_Sold_2024]]*electric_vehicles_dataset[[#This Row],[Price_USD]]</f>
        <v>1501266101.72</v>
      </c>
      <c r="T692">
        <v>4</v>
      </c>
      <c r="U692">
        <v>12908</v>
      </c>
      <c r="V692">
        <v>3</v>
      </c>
    </row>
    <row r="693" spans="1:22" x14ac:dyDescent="0.35">
      <c r="A693">
        <v>692</v>
      </c>
      <c r="B693" t="s">
        <v>224</v>
      </c>
      <c r="C693" t="s">
        <v>303</v>
      </c>
      <c r="D693">
        <v>2021</v>
      </c>
      <c r="E693" t="s">
        <v>130</v>
      </c>
      <c r="F693">
        <v>98.8</v>
      </c>
      <c r="G693" t="s">
        <v>350</v>
      </c>
      <c r="H693">
        <f>electric_vehicles_dataset[[#This Row],[Battery_Capacity_kWh]]/electric_vehicles_dataset[[#This Row],[Range_km]]</f>
        <v>0.51458333333333328</v>
      </c>
      <c r="I693">
        <v>192</v>
      </c>
      <c r="J693" t="s">
        <v>105</v>
      </c>
      <c r="K693">
        <v>2</v>
      </c>
      <c r="L693" s="1">
        <v>68889.19</v>
      </c>
      <c r="M693" s="1" t="str" cm="1">
        <f t="array" ref="M69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93" t="s">
        <v>98</v>
      </c>
      <c r="O693" t="s">
        <v>202</v>
      </c>
      <c r="P693" s="2" t="s">
        <v>393</v>
      </c>
      <c r="Q693">
        <v>3</v>
      </c>
      <c r="R693" t="s">
        <v>397</v>
      </c>
      <c r="S693" s="1">
        <f>electric_vehicles_dataset[[#This Row],[Units_Sold_2024]]*electric_vehicles_dataset[[#This Row],[Price_USD]]</f>
        <v>359257125.85000002</v>
      </c>
      <c r="T693">
        <v>4</v>
      </c>
      <c r="U693">
        <v>5215</v>
      </c>
      <c r="V693">
        <v>3</v>
      </c>
    </row>
    <row r="694" spans="1:22" x14ac:dyDescent="0.35">
      <c r="A694">
        <v>693</v>
      </c>
      <c r="B694" t="s">
        <v>184</v>
      </c>
      <c r="C694" t="s">
        <v>185</v>
      </c>
      <c r="D694">
        <v>2022</v>
      </c>
      <c r="E694" t="s">
        <v>53</v>
      </c>
      <c r="F694">
        <v>108.3</v>
      </c>
      <c r="G694" t="s">
        <v>361</v>
      </c>
      <c r="H694">
        <f>electric_vehicles_dataset[[#This Row],[Battery_Capacity_kWh]]/electric_vehicles_dataset[[#This Row],[Range_km]]</f>
        <v>0.40867924528301885</v>
      </c>
      <c r="I694">
        <v>265</v>
      </c>
      <c r="J694" t="s">
        <v>353</v>
      </c>
      <c r="K694">
        <v>12</v>
      </c>
      <c r="L694" s="1">
        <v>127026.66</v>
      </c>
      <c r="M694" s="1" t="str" cm="1">
        <f t="array" ref="M6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94" t="s">
        <v>254</v>
      </c>
      <c r="O694" t="s">
        <v>78</v>
      </c>
      <c r="P694" s="2" t="s">
        <v>389</v>
      </c>
      <c r="Q694">
        <v>3</v>
      </c>
      <c r="R694" t="s">
        <v>397</v>
      </c>
      <c r="S694" s="1">
        <f>electric_vehicles_dataset[[#This Row],[Units_Sold_2024]]*electric_vehicles_dataset[[#This Row],[Price_USD]]</f>
        <v>1748394948.24</v>
      </c>
      <c r="T694">
        <v>4</v>
      </c>
      <c r="U694">
        <v>13764</v>
      </c>
      <c r="V694">
        <v>3</v>
      </c>
    </row>
    <row r="695" spans="1:22" x14ac:dyDescent="0.35">
      <c r="A695">
        <v>694</v>
      </c>
      <c r="B695" t="s">
        <v>71</v>
      </c>
      <c r="C695" t="s">
        <v>255</v>
      </c>
      <c r="D695">
        <v>2019</v>
      </c>
      <c r="E695" t="s">
        <v>58</v>
      </c>
      <c r="F695">
        <v>24.9</v>
      </c>
      <c r="G695" t="s">
        <v>357</v>
      </c>
      <c r="H695">
        <f>electric_vehicles_dataset[[#This Row],[Battery_Capacity_kWh]]/electric_vehicles_dataset[[#This Row],[Range_km]]</f>
        <v>5.1552795031055899E-2</v>
      </c>
      <c r="I695">
        <v>483</v>
      </c>
      <c r="J695" t="s">
        <v>364</v>
      </c>
      <c r="K695">
        <v>6</v>
      </c>
      <c r="L695" s="1">
        <v>74918.649999999994</v>
      </c>
      <c r="M695" s="1" t="str" cm="1">
        <f t="array" ref="M6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695" t="s">
        <v>238</v>
      </c>
      <c r="O695" t="s">
        <v>135</v>
      </c>
      <c r="P695" s="2" t="s">
        <v>389</v>
      </c>
      <c r="Q695">
        <v>2</v>
      </c>
      <c r="R695" t="s">
        <v>391</v>
      </c>
      <c r="S695" s="1">
        <f>electric_vehicles_dataset[[#This Row],[Units_Sold_2024]]*electric_vehicles_dataset[[#This Row],[Price_USD]]</f>
        <v>1408545538.6499999</v>
      </c>
      <c r="T695">
        <v>3</v>
      </c>
      <c r="U695">
        <v>18801</v>
      </c>
      <c r="V695">
        <v>5</v>
      </c>
    </row>
    <row r="696" spans="1:22" x14ac:dyDescent="0.35">
      <c r="A696">
        <v>695</v>
      </c>
      <c r="B696" t="s">
        <v>112</v>
      </c>
      <c r="C696" t="s">
        <v>138</v>
      </c>
      <c r="D696">
        <v>2019</v>
      </c>
      <c r="E696" t="s">
        <v>130</v>
      </c>
      <c r="F696">
        <v>76.900000000000006</v>
      </c>
      <c r="G696" t="s">
        <v>351</v>
      </c>
      <c r="H696">
        <f>electric_vehicles_dataset[[#This Row],[Battery_Capacity_kWh]]/electric_vehicles_dataset[[#This Row],[Range_km]]</f>
        <v>0.31260162601626018</v>
      </c>
      <c r="I696">
        <v>246</v>
      </c>
      <c r="J696" t="s">
        <v>353</v>
      </c>
      <c r="K696">
        <v>3</v>
      </c>
      <c r="L696" s="1">
        <v>49450.75</v>
      </c>
      <c r="M696" s="1" t="str" cm="1">
        <f t="array" ref="M69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96" t="s">
        <v>257</v>
      </c>
      <c r="O696" t="s">
        <v>121</v>
      </c>
      <c r="P696" s="2" t="s">
        <v>398</v>
      </c>
      <c r="Q696">
        <v>1</v>
      </c>
      <c r="R696" t="s">
        <v>391</v>
      </c>
      <c r="S696" s="1">
        <f>electric_vehicles_dataset[[#This Row],[Units_Sold_2024]]*electric_vehicles_dataset[[#This Row],[Price_USD]]</f>
        <v>155868764</v>
      </c>
      <c r="T696">
        <v>4</v>
      </c>
      <c r="U696">
        <v>3152</v>
      </c>
      <c r="V696">
        <v>3</v>
      </c>
    </row>
    <row r="697" spans="1:22" x14ac:dyDescent="0.35">
      <c r="A697">
        <v>696</v>
      </c>
      <c r="B697" t="s">
        <v>108</v>
      </c>
      <c r="C697" t="s">
        <v>119</v>
      </c>
      <c r="D697">
        <v>2015</v>
      </c>
      <c r="E697" t="s">
        <v>104</v>
      </c>
      <c r="F697">
        <v>120.7</v>
      </c>
      <c r="G697" t="s">
        <v>352</v>
      </c>
      <c r="H697">
        <f>electric_vehicles_dataset[[#This Row],[Battery_Capacity_kWh]]/electric_vehicles_dataset[[#This Row],[Range_km]]</f>
        <v>0.30948717948717952</v>
      </c>
      <c r="I697">
        <v>390</v>
      </c>
      <c r="J697" t="s">
        <v>364</v>
      </c>
      <c r="K697">
        <v>4</v>
      </c>
      <c r="L697" s="1">
        <v>111883.34</v>
      </c>
      <c r="M697" s="1" t="str" cm="1">
        <f t="array" ref="M69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97" t="s">
        <v>254</v>
      </c>
      <c r="O697" t="s">
        <v>121</v>
      </c>
      <c r="P697" s="2" t="s">
        <v>398</v>
      </c>
      <c r="Q697">
        <v>1</v>
      </c>
      <c r="R697" t="s">
        <v>391</v>
      </c>
      <c r="S697" s="1">
        <f>electric_vehicles_dataset[[#This Row],[Units_Sold_2024]]*electric_vehicles_dataset[[#This Row],[Price_USD]]</f>
        <v>1306909294.54</v>
      </c>
      <c r="T697">
        <v>4</v>
      </c>
      <c r="U697">
        <v>11681</v>
      </c>
      <c r="V697">
        <v>5</v>
      </c>
    </row>
    <row r="698" spans="1:22" x14ac:dyDescent="0.35">
      <c r="A698">
        <v>697</v>
      </c>
      <c r="B698" t="s">
        <v>21</v>
      </c>
      <c r="C698" t="s">
        <v>349</v>
      </c>
      <c r="D698">
        <v>2016</v>
      </c>
      <c r="E698" t="s">
        <v>130</v>
      </c>
      <c r="F698">
        <v>75.599999999999994</v>
      </c>
      <c r="G698" t="s">
        <v>351</v>
      </c>
      <c r="H698">
        <f>electric_vehicles_dataset[[#This Row],[Battery_Capacity_kWh]]/electric_vehicles_dataset[[#This Row],[Range_km]]</f>
        <v>0.25890410958904109</v>
      </c>
      <c r="I698">
        <v>292</v>
      </c>
      <c r="J698" t="s">
        <v>364</v>
      </c>
      <c r="K698">
        <v>7</v>
      </c>
      <c r="L698" s="1">
        <v>45263.09</v>
      </c>
      <c r="M698" s="1" t="str" cm="1">
        <f t="array" ref="M69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698" t="s">
        <v>212</v>
      </c>
      <c r="O698" t="s">
        <v>111</v>
      </c>
      <c r="P698" s="2" t="s">
        <v>389</v>
      </c>
      <c r="Q698">
        <v>1</v>
      </c>
      <c r="R698" t="s">
        <v>391</v>
      </c>
      <c r="S698" s="1">
        <f>electric_vehicles_dataset[[#This Row],[Units_Sold_2024]]*electric_vehicles_dataset[[#This Row],[Price_USD]]</f>
        <v>801699850.07999992</v>
      </c>
      <c r="T698">
        <v>4</v>
      </c>
      <c r="U698">
        <v>17712</v>
      </c>
      <c r="V698">
        <v>4</v>
      </c>
    </row>
    <row r="699" spans="1:22" x14ac:dyDescent="0.35">
      <c r="A699">
        <v>698</v>
      </c>
      <c r="B699" t="s">
        <v>144</v>
      </c>
      <c r="C699" t="s">
        <v>273</v>
      </c>
      <c r="D699">
        <v>2019</v>
      </c>
      <c r="E699" t="s">
        <v>53</v>
      </c>
      <c r="F699">
        <v>127.7</v>
      </c>
      <c r="G699" t="s">
        <v>352</v>
      </c>
      <c r="H699">
        <f>electric_vehicles_dataset[[#This Row],[Battery_Capacity_kWh]]/electric_vehicles_dataset[[#This Row],[Range_km]]</f>
        <v>0.4270903010033445</v>
      </c>
      <c r="I699">
        <v>299</v>
      </c>
      <c r="J699" t="s">
        <v>149</v>
      </c>
      <c r="K699">
        <v>1</v>
      </c>
      <c r="L699" s="1">
        <v>134576.79999999999</v>
      </c>
      <c r="M699" s="1" t="str" cm="1">
        <f t="array" ref="M69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699" t="s">
        <v>179</v>
      </c>
      <c r="O699" t="s">
        <v>92</v>
      </c>
      <c r="P699" s="2" t="s">
        <v>394</v>
      </c>
      <c r="Q699">
        <v>1</v>
      </c>
      <c r="R699" t="s">
        <v>391</v>
      </c>
      <c r="S699" s="1">
        <f>electric_vehicles_dataset[[#This Row],[Units_Sold_2024]]*electric_vehicles_dataset[[#This Row],[Price_USD]]</f>
        <v>1376855240.8</v>
      </c>
      <c r="T699">
        <v>5</v>
      </c>
      <c r="U699">
        <v>10231</v>
      </c>
      <c r="V699">
        <v>4</v>
      </c>
    </row>
    <row r="700" spans="1:22" x14ac:dyDescent="0.35">
      <c r="A700">
        <v>699</v>
      </c>
      <c r="B700" t="s">
        <v>155</v>
      </c>
      <c r="C700" t="s">
        <v>156</v>
      </c>
      <c r="D700">
        <v>2023</v>
      </c>
      <c r="E700" t="s">
        <v>17</v>
      </c>
      <c r="F700">
        <v>135.9</v>
      </c>
      <c r="G700" t="s">
        <v>352</v>
      </c>
      <c r="H700">
        <f>electric_vehicles_dataset[[#This Row],[Battery_Capacity_kWh]]/electric_vehicles_dataset[[#This Row],[Range_km]]</f>
        <v>0.34145728643216083</v>
      </c>
      <c r="I700">
        <v>398</v>
      </c>
      <c r="J700" t="s">
        <v>356</v>
      </c>
      <c r="K700">
        <v>11</v>
      </c>
      <c r="L700" s="1">
        <v>148192.07</v>
      </c>
      <c r="M700" s="1" t="str" cm="1">
        <f t="array" ref="M70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00" t="s">
        <v>39</v>
      </c>
      <c r="O700" t="s">
        <v>135</v>
      </c>
      <c r="P700" s="2" t="s">
        <v>389</v>
      </c>
      <c r="Q700">
        <v>1</v>
      </c>
      <c r="R700" t="s">
        <v>391</v>
      </c>
      <c r="S700" s="1">
        <f>electric_vehicles_dataset[[#This Row],[Units_Sold_2024]]*electric_vehicles_dataset[[#This Row],[Price_USD]]</f>
        <v>676348607.48000002</v>
      </c>
      <c r="T700">
        <v>3</v>
      </c>
      <c r="U700">
        <v>4564</v>
      </c>
      <c r="V700">
        <v>3</v>
      </c>
    </row>
    <row r="701" spans="1:22" x14ac:dyDescent="0.35">
      <c r="A701">
        <v>700</v>
      </c>
      <c r="B701" t="s">
        <v>21</v>
      </c>
      <c r="C701" t="s">
        <v>363</v>
      </c>
      <c r="D701">
        <v>2025</v>
      </c>
      <c r="E701" t="s">
        <v>53</v>
      </c>
      <c r="F701">
        <v>134.19999999999999</v>
      </c>
      <c r="G701" t="s">
        <v>352</v>
      </c>
      <c r="H701">
        <f>electric_vehicles_dataset[[#This Row],[Battery_Capacity_kWh]]/electric_vehicles_dataset[[#This Row],[Range_km]]</f>
        <v>0.61</v>
      </c>
      <c r="I701">
        <v>220</v>
      </c>
      <c r="J701" t="s">
        <v>356</v>
      </c>
      <c r="K701">
        <v>1</v>
      </c>
      <c r="L701" s="1">
        <v>143759.71</v>
      </c>
      <c r="M701" s="1" t="str" cm="1">
        <f t="array" ref="M7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01" t="s">
        <v>217</v>
      </c>
      <c r="O701" t="s">
        <v>95</v>
      </c>
      <c r="P701" s="2" t="s">
        <v>394</v>
      </c>
      <c r="Q701">
        <v>0</v>
      </c>
      <c r="R701" t="s">
        <v>390</v>
      </c>
      <c r="S701" s="1">
        <f>electric_vehicles_dataset[[#This Row],[Units_Sold_2024]]*electric_vehicles_dataset[[#This Row],[Price_USD]]</f>
        <v>379525634.39999998</v>
      </c>
      <c r="T701">
        <v>5</v>
      </c>
      <c r="U701">
        <v>2640</v>
      </c>
      <c r="V701">
        <v>5</v>
      </c>
    </row>
    <row r="702" spans="1:22" x14ac:dyDescent="0.35">
      <c r="A702">
        <v>701</v>
      </c>
      <c r="B702" t="s">
        <v>173</v>
      </c>
      <c r="C702" t="s">
        <v>249</v>
      </c>
      <c r="D702">
        <v>2019</v>
      </c>
      <c r="E702" t="s">
        <v>17</v>
      </c>
      <c r="F702">
        <v>25.4</v>
      </c>
      <c r="G702" t="s">
        <v>357</v>
      </c>
      <c r="H702">
        <f>electric_vehicles_dataset[[#This Row],[Battery_Capacity_kWh]]/electric_vehicles_dataset[[#This Row],[Range_km]]</f>
        <v>0.21525423728813559</v>
      </c>
      <c r="I702">
        <v>118</v>
      </c>
      <c r="J702" t="s">
        <v>356</v>
      </c>
      <c r="K702">
        <v>6</v>
      </c>
      <c r="L702" s="1">
        <v>108040.44</v>
      </c>
      <c r="M702" s="1" t="str" cm="1">
        <f t="array" ref="M7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02" t="s">
        <v>196</v>
      </c>
      <c r="O702" t="s">
        <v>226</v>
      </c>
      <c r="P702" s="2" t="s">
        <v>395</v>
      </c>
      <c r="Q702">
        <v>1</v>
      </c>
      <c r="R702" t="s">
        <v>391</v>
      </c>
      <c r="S702" s="1">
        <f>electric_vehicles_dataset[[#This Row],[Units_Sold_2024]]*electric_vehicles_dataset[[#This Row],[Price_USD]]</f>
        <v>694483948.32000005</v>
      </c>
      <c r="T702">
        <v>4</v>
      </c>
      <c r="U702">
        <v>6428</v>
      </c>
      <c r="V702">
        <v>5</v>
      </c>
    </row>
    <row r="703" spans="1:22" x14ac:dyDescent="0.35">
      <c r="A703">
        <v>702</v>
      </c>
      <c r="B703" t="s">
        <v>157</v>
      </c>
      <c r="C703" t="s">
        <v>158</v>
      </c>
      <c r="D703">
        <v>2025</v>
      </c>
      <c r="E703" t="s">
        <v>73</v>
      </c>
      <c r="F703">
        <v>115.9</v>
      </c>
      <c r="G703" t="s">
        <v>361</v>
      </c>
      <c r="H703">
        <f>electric_vehicles_dataset[[#This Row],[Battery_Capacity_kWh]]/electric_vehicles_dataset[[#This Row],[Range_km]]</f>
        <v>0.30340314136125657</v>
      </c>
      <c r="I703">
        <v>382</v>
      </c>
      <c r="J703" t="s">
        <v>356</v>
      </c>
      <c r="K703">
        <v>1</v>
      </c>
      <c r="L703" s="1">
        <v>121881.78</v>
      </c>
      <c r="M703" s="1" t="str" cm="1">
        <f t="array" ref="M70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03" t="s">
        <v>35</v>
      </c>
      <c r="O703" t="s">
        <v>150</v>
      </c>
      <c r="P703" s="2" t="s">
        <v>389</v>
      </c>
      <c r="Q703">
        <v>3</v>
      </c>
      <c r="R703" t="s">
        <v>397</v>
      </c>
      <c r="S703" s="1">
        <f>electric_vehicles_dataset[[#This Row],[Units_Sold_2024]]*electric_vehicles_dataset[[#This Row],[Price_USD]]</f>
        <v>1468553567.22</v>
      </c>
      <c r="T703">
        <v>3</v>
      </c>
      <c r="U703">
        <v>12049</v>
      </c>
      <c r="V703">
        <v>4</v>
      </c>
    </row>
    <row r="704" spans="1:22" x14ac:dyDescent="0.35">
      <c r="A704">
        <v>703</v>
      </c>
      <c r="B704" t="s">
        <v>112</v>
      </c>
      <c r="C704" t="s">
        <v>113</v>
      </c>
      <c r="D704">
        <v>2021</v>
      </c>
      <c r="E704" t="s">
        <v>53</v>
      </c>
      <c r="F704">
        <v>27.5</v>
      </c>
      <c r="G704" t="s">
        <v>357</v>
      </c>
      <c r="H704">
        <f>electric_vehicles_dataset[[#This Row],[Battery_Capacity_kWh]]/electric_vehicles_dataset[[#This Row],[Range_km]]</f>
        <v>0.12614678899082568</v>
      </c>
      <c r="I704">
        <v>218</v>
      </c>
      <c r="J704" t="s">
        <v>364</v>
      </c>
      <c r="K704">
        <v>7</v>
      </c>
      <c r="L704" s="1">
        <v>57255.11</v>
      </c>
      <c r="M704" s="1" t="str" cm="1">
        <f t="array" ref="M70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04" t="s">
        <v>277</v>
      </c>
      <c r="O704" t="s">
        <v>107</v>
      </c>
      <c r="P704" s="2" t="s">
        <v>394</v>
      </c>
      <c r="Q704">
        <v>0</v>
      </c>
      <c r="R704" t="s">
        <v>390</v>
      </c>
      <c r="S704" s="1">
        <f>electric_vehicles_dataset[[#This Row],[Units_Sold_2024]]*electric_vehicles_dataset[[#This Row],[Price_USD]]</f>
        <v>143710326.09999999</v>
      </c>
      <c r="T704">
        <v>3</v>
      </c>
      <c r="U704">
        <v>2510</v>
      </c>
      <c r="V704">
        <v>3</v>
      </c>
    </row>
    <row r="705" spans="1:22" x14ac:dyDescent="0.35">
      <c r="A705">
        <v>704</v>
      </c>
      <c r="B705" t="s">
        <v>60</v>
      </c>
      <c r="C705" t="s">
        <v>209</v>
      </c>
      <c r="D705">
        <v>2017</v>
      </c>
      <c r="E705" t="s">
        <v>133</v>
      </c>
      <c r="F705">
        <v>25.7</v>
      </c>
      <c r="G705" t="s">
        <v>357</v>
      </c>
      <c r="H705">
        <f>electric_vehicles_dataset[[#This Row],[Battery_Capacity_kWh]]/electric_vehicles_dataset[[#This Row],[Range_km]]</f>
        <v>9.211469534050179E-2</v>
      </c>
      <c r="I705">
        <v>279</v>
      </c>
      <c r="J705" t="s">
        <v>353</v>
      </c>
      <c r="K705">
        <v>12</v>
      </c>
      <c r="L705" s="1">
        <v>45565.95</v>
      </c>
      <c r="M705" s="1" t="str" cm="1">
        <f t="array" ref="M7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05" t="s">
        <v>253</v>
      </c>
      <c r="O705" t="s">
        <v>226</v>
      </c>
      <c r="P705" s="2" t="s">
        <v>395</v>
      </c>
      <c r="Q705">
        <v>5</v>
      </c>
      <c r="R705" t="s">
        <v>392</v>
      </c>
      <c r="S705" s="1">
        <f>electric_vehicles_dataset[[#This Row],[Units_Sold_2024]]*electric_vehicles_dataset[[#This Row],[Price_USD]]</f>
        <v>307342332.75</v>
      </c>
      <c r="T705">
        <v>5</v>
      </c>
      <c r="U705">
        <v>6745</v>
      </c>
      <c r="V705">
        <v>4</v>
      </c>
    </row>
    <row r="706" spans="1:22" x14ac:dyDescent="0.35">
      <c r="A706">
        <v>705</v>
      </c>
      <c r="B706" t="s">
        <v>215</v>
      </c>
      <c r="C706" t="s">
        <v>377</v>
      </c>
      <c r="D706">
        <v>2018</v>
      </c>
      <c r="E706" t="s">
        <v>130</v>
      </c>
      <c r="F706">
        <v>112.7</v>
      </c>
      <c r="G706" t="s">
        <v>361</v>
      </c>
      <c r="H706">
        <f>electric_vehicles_dataset[[#This Row],[Battery_Capacity_kWh]]/electric_vehicles_dataset[[#This Row],[Range_km]]</f>
        <v>0.1936426116838488</v>
      </c>
      <c r="I706">
        <v>582</v>
      </c>
      <c r="J706" t="s">
        <v>149</v>
      </c>
      <c r="K706">
        <v>10</v>
      </c>
      <c r="L706" s="1">
        <v>65122.01</v>
      </c>
      <c r="M706" s="1" t="str" cm="1">
        <f t="array" ref="M70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06" t="s">
        <v>39</v>
      </c>
      <c r="O706" t="s">
        <v>78</v>
      </c>
      <c r="P706" s="2" t="s">
        <v>389</v>
      </c>
      <c r="Q706">
        <v>2</v>
      </c>
      <c r="R706" t="s">
        <v>391</v>
      </c>
      <c r="S706" s="1">
        <f>electric_vehicles_dataset[[#This Row],[Units_Sold_2024]]*electric_vehicles_dataset[[#This Row],[Price_USD]]</f>
        <v>115200835.69</v>
      </c>
      <c r="T706">
        <v>3</v>
      </c>
      <c r="U706">
        <v>1769</v>
      </c>
      <c r="V706">
        <v>4</v>
      </c>
    </row>
    <row r="707" spans="1:22" x14ac:dyDescent="0.35">
      <c r="A707">
        <v>706</v>
      </c>
      <c r="B707" t="s">
        <v>125</v>
      </c>
      <c r="C707" t="s">
        <v>126</v>
      </c>
      <c r="D707">
        <v>2019</v>
      </c>
      <c r="E707" t="s">
        <v>58</v>
      </c>
      <c r="F707">
        <v>46.5</v>
      </c>
      <c r="G707" t="s">
        <v>348</v>
      </c>
      <c r="H707">
        <f>electric_vehicles_dataset[[#This Row],[Battery_Capacity_kWh]]/electric_vehicles_dataset[[#This Row],[Range_km]]</f>
        <v>0.27352941176470591</v>
      </c>
      <c r="I707">
        <v>170</v>
      </c>
      <c r="J707" t="s">
        <v>353</v>
      </c>
      <c r="K707">
        <v>4</v>
      </c>
      <c r="L707" s="1">
        <v>96355.88</v>
      </c>
      <c r="M707" s="1" t="str" cm="1">
        <f t="array" ref="M7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07" t="s">
        <v>43</v>
      </c>
      <c r="O707" t="s">
        <v>33</v>
      </c>
      <c r="P707" s="2" t="s">
        <v>393</v>
      </c>
      <c r="Q707">
        <v>1</v>
      </c>
      <c r="R707" t="s">
        <v>391</v>
      </c>
      <c r="S707" s="1">
        <f>electric_vehicles_dataset[[#This Row],[Units_Sold_2024]]*electric_vehicles_dataset[[#This Row],[Price_USD]]</f>
        <v>1432619223.8400002</v>
      </c>
      <c r="T707">
        <v>4</v>
      </c>
      <c r="U707">
        <v>14868</v>
      </c>
      <c r="V707">
        <v>3</v>
      </c>
    </row>
    <row r="708" spans="1:22" x14ac:dyDescent="0.35">
      <c r="A708">
        <v>707</v>
      </c>
      <c r="B708" t="s">
        <v>144</v>
      </c>
      <c r="C708" t="s">
        <v>145</v>
      </c>
      <c r="D708">
        <v>2015</v>
      </c>
      <c r="E708" t="s">
        <v>133</v>
      </c>
      <c r="F708">
        <v>56.1</v>
      </c>
      <c r="G708" t="s">
        <v>348</v>
      </c>
      <c r="H708">
        <f>electric_vehicles_dataset[[#This Row],[Battery_Capacity_kWh]]/electric_vehicles_dataset[[#This Row],[Range_km]]</f>
        <v>0.18952702702702703</v>
      </c>
      <c r="I708">
        <v>296</v>
      </c>
      <c r="J708" t="s">
        <v>54</v>
      </c>
      <c r="K708">
        <v>10</v>
      </c>
      <c r="L708" s="1">
        <v>40139.199999999997</v>
      </c>
      <c r="M708" s="1" t="str" cm="1">
        <f t="array" ref="M70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08" t="s">
        <v>49</v>
      </c>
      <c r="O708" t="s">
        <v>118</v>
      </c>
      <c r="P708" s="2" t="s">
        <v>389</v>
      </c>
      <c r="Q708">
        <v>0</v>
      </c>
      <c r="R708" t="s">
        <v>390</v>
      </c>
      <c r="S708" s="1">
        <f>electric_vehicles_dataset[[#This Row],[Units_Sold_2024]]*electric_vehicles_dataset[[#This Row],[Price_USD]]</f>
        <v>295183676.79999995</v>
      </c>
      <c r="T708">
        <v>3</v>
      </c>
      <c r="U708">
        <v>7354</v>
      </c>
      <c r="V708">
        <v>3</v>
      </c>
    </row>
    <row r="709" spans="1:22" x14ac:dyDescent="0.35">
      <c r="A709">
        <v>708</v>
      </c>
      <c r="B709" t="s">
        <v>24</v>
      </c>
      <c r="C709" t="s">
        <v>328</v>
      </c>
      <c r="D709">
        <v>2025</v>
      </c>
      <c r="E709" t="s">
        <v>42</v>
      </c>
      <c r="F709">
        <v>89.2</v>
      </c>
      <c r="G709" t="s">
        <v>350</v>
      </c>
      <c r="H709">
        <f>electric_vehicles_dataset[[#This Row],[Battery_Capacity_kWh]]/electric_vehicles_dataset[[#This Row],[Range_km]]</f>
        <v>0.20365296803652969</v>
      </c>
      <c r="I709">
        <v>438</v>
      </c>
      <c r="J709" t="s">
        <v>54</v>
      </c>
      <c r="K709">
        <v>1</v>
      </c>
      <c r="L709" s="1">
        <v>121559.56</v>
      </c>
      <c r="M709" s="1" t="str" cm="1">
        <f t="array" ref="M70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09" t="s">
        <v>301</v>
      </c>
      <c r="O709" t="s">
        <v>139</v>
      </c>
      <c r="P709" s="2" t="s">
        <v>389</v>
      </c>
      <c r="Q709">
        <v>2</v>
      </c>
      <c r="R709" t="s">
        <v>391</v>
      </c>
      <c r="S709" s="1">
        <f>electric_vehicles_dataset[[#This Row],[Units_Sold_2024]]*electric_vehicles_dataset[[#This Row],[Price_USD]]</f>
        <v>862465078.19999993</v>
      </c>
      <c r="T709">
        <v>5</v>
      </c>
      <c r="U709">
        <v>7095</v>
      </c>
      <c r="V709">
        <v>3</v>
      </c>
    </row>
    <row r="710" spans="1:22" x14ac:dyDescent="0.35">
      <c r="A710">
        <v>709</v>
      </c>
      <c r="B710" t="s">
        <v>313</v>
      </c>
      <c r="C710" t="s">
        <v>314</v>
      </c>
      <c r="D710">
        <v>2021</v>
      </c>
      <c r="E710" t="s">
        <v>183</v>
      </c>
      <c r="F710">
        <v>114.8</v>
      </c>
      <c r="G710" t="s">
        <v>361</v>
      </c>
      <c r="H710">
        <f>electric_vehicles_dataset[[#This Row],[Battery_Capacity_kWh]]/electric_vehicles_dataset[[#This Row],[Range_km]]</f>
        <v>0.2411764705882353</v>
      </c>
      <c r="I710">
        <v>476</v>
      </c>
      <c r="J710" t="s">
        <v>27</v>
      </c>
      <c r="K710">
        <v>10</v>
      </c>
      <c r="L710" s="1">
        <v>96395.3</v>
      </c>
      <c r="M710" s="1" t="str" cm="1">
        <f t="array" ref="M71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10" t="s">
        <v>254</v>
      </c>
      <c r="O710" t="s">
        <v>265</v>
      </c>
      <c r="P710" s="2" t="s">
        <v>389</v>
      </c>
      <c r="Q710">
        <v>4</v>
      </c>
      <c r="R710" t="s">
        <v>392</v>
      </c>
      <c r="S710" s="1">
        <f>electric_vehicles_dataset[[#This Row],[Units_Sold_2024]]*electric_vehicles_dataset[[#This Row],[Price_USD]]</f>
        <v>1639009285.9000001</v>
      </c>
      <c r="T710">
        <v>5</v>
      </c>
      <c r="U710">
        <v>17003</v>
      </c>
      <c r="V710">
        <v>4</v>
      </c>
    </row>
    <row r="711" spans="1:22" x14ac:dyDescent="0.35">
      <c r="A711">
        <v>710</v>
      </c>
      <c r="B711" t="s">
        <v>220</v>
      </c>
      <c r="C711" t="s">
        <v>274</v>
      </c>
      <c r="D711">
        <v>2022</v>
      </c>
      <c r="E711" t="s">
        <v>17</v>
      </c>
      <c r="F711">
        <v>149</v>
      </c>
      <c r="G711" t="s">
        <v>386</v>
      </c>
      <c r="H711">
        <f>electric_vehicles_dataset[[#This Row],[Battery_Capacity_kWh]]/electric_vehicles_dataset[[#This Row],[Range_km]]</f>
        <v>0.67420814479638014</v>
      </c>
      <c r="I711">
        <v>221</v>
      </c>
      <c r="J711" t="s">
        <v>18</v>
      </c>
      <c r="K711">
        <v>11</v>
      </c>
      <c r="L711" s="1">
        <v>63684.02</v>
      </c>
      <c r="M711" s="1" t="str" cm="1">
        <f t="array" ref="M7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11" t="s">
        <v>106</v>
      </c>
      <c r="O711" t="s">
        <v>134</v>
      </c>
      <c r="P711" s="2" t="s">
        <v>389</v>
      </c>
      <c r="Q711">
        <v>4</v>
      </c>
      <c r="R711" t="s">
        <v>392</v>
      </c>
      <c r="S711" s="1">
        <f>electric_vehicles_dataset[[#This Row],[Units_Sold_2024]]*electric_vehicles_dataset[[#This Row],[Price_USD]]</f>
        <v>1191719066.26</v>
      </c>
      <c r="T711">
        <v>4</v>
      </c>
      <c r="U711">
        <v>18713</v>
      </c>
      <c r="V711">
        <v>4</v>
      </c>
    </row>
    <row r="712" spans="1:22" x14ac:dyDescent="0.35">
      <c r="A712">
        <v>711</v>
      </c>
      <c r="B712" t="s">
        <v>108</v>
      </c>
      <c r="C712" t="s">
        <v>308</v>
      </c>
      <c r="D712">
        <v>2019</v>
      </c>
      <c r="E712" t="s">
        <v>104</v>
      </c>
      <c r="F712">
        <v>54.9</v>
      </c>
      <c r="G712" t="s">
        <v>348</v>
      </c>
      <c r="H712">
        <f>electric_vehicles_dataset[[#This Row],[Battery_Capacity_kWh]]/electric_vehicles_dataset[[#This Row],[Range_km]]</f>
        <v>0.24078947368421053</v>
      </c>
      <c r="I712">
        <v>228</v>
      </c>
      <c r="J712" t="s">
        <v>76</v>
      </c>
      <c r="K712">
        <v>2</v>
      </c>
      <c r="L712" s="1">
        <v>98212.93</v>
      </c>
      <c r="M712" s="1" t="str" cm="1">
        <f t="array" ref="M71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12" t="s">
        <v>146</v>
      </c>
      <c r="O712" t="s">
        <v>161</v>
      </c>
      <c r="P712" s="2" t="s">
        <v>389</v>
      </c>
      <c r="Q712">
        <v>3</v>
      </c>
      <c r="R712" t="s">
        <v>397</v>
      </c>
      <c r="S712" s="1">
        <f>electric_vehicles_dataset[[#This Row],[Units_Sold_2024]]*electric_vehicles_dataset[[#This Row],[Price_USD]]</f>
        <v>119034071.16</v>
      </c>
      <c r="T712">
        <v>4</v>
      </c>
      <c r="U712">
        <v>1212</v>
      </c>
      <c r="V712">
        <v>4</v>
      </c>
    </row>
    <row r="713" spans="1:22" x14ac:dyDescent="0.35">
      <c r="A713">
        <v>712</v>
      </c>
      <c r="B713" t="s">
        <v>173</v>
      </c>
      <c r="C713" t="s">
        <v>306</v>
      </c>
      <c r="D713">
        <v>2023</v>
      </c>
      <c r="E713" t="s">
        <v>31</v>
      </c>
      <c r="F713">
        <v>73.099999999999994</v>
      </c>
      <c r="G713" t="s">
        <v>351</v>
      </c>
      <c r="H713">
        <f>electric_vehicles_dataset[[#This Row],[Battery_Capacity_kWh]]/electric_vehicles_dataset[[#This Row],[Range_km]]</f>
        <v>0.18459595959595959</v>
      </c>
      <c r="I713">
        <v>396</v>
      </c>
      <c r="J713" t="s">
        <v>364</v>
      </c>
      <c r="K713">
        <v>4</v>
      </c>
      <c r="L713" s="1">
        <v>103239.42</v>
      </c>
      <c r="M713" s="1" t="str" cm="1">
        <f t="array" ref="M71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13" t="s">
        <v>146</v>
      </c>
      <c r="O713" t="s">
        <v>92</v>
      </c>
      <c r="P713" s="2" t="s">
        <v>394</v>
      </c>
      <c r="Q713">
        <v>2</v>
      </c>
      <c r="R713" t="s">
        <v>391</v>
      </c>
      <c r="S713" s="1">
        <f>electric_vehicles_dataset[[#This Row],[Units_Sold_2024]]*electric_vehicles_dataset[[#This Row],[Price_USD]]</f>
        <v>430301902.56</v>
      </c>
      <c r="T713">
        <v>4</v>
      </c>
      <c r="U713">
        <v>4168</v>
      </c>
      <c r="V713">
        <v>3</v>
      </c>
    </row>
    <row r="714" spans="1:22" x14ac:dyDescent="0.35">
      <c r="A714">
        <v>713</v>
      </c>
      <c r="B714" t="s">
        <v>16</v>
      </c>
      <c r="C714" t="s">
        <v>347</v>
      </c>
      <c r="D714">
        <v>2017</v>
      </c>
      <c r="E714" t="s">
        <v>26</v>
      </c>
      <c r="F714">
        <v>100.3</v>
      </c>
      <c r="G714" t="s">
        <v>361</v>
      </c>
      <c r="H714">
        <f>electric_vehicles_dataset[[#This Row],[Battery_Capacity_kWh]]/electric_vehicles_dataset[[#This Row],[Range_km]]</f>
        <v>0.8024</v>
      </c>
      <c r="I714">
        <v>125</v>
      </c>
      <c r="J714" t="s">
        <v>353</v>
      </c>
      <c r="K714">
        <v>2</v>
      </c>
      <c r="L714" s="1">
        <v>34620.21</v>
      </c>
      <c r="M714" s="1" t="str" cm="1">
        <f t="array" ref="M71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14" t="s">
        <v>106</v>
      </c>
      <c r="O714" t="s">
        <v>206</v>
      </c>
      <c r="P714" s="2" t="s">
        <v>394</v>
      </c>
      <c r="Q714">
        <v>4</v>
      </c>
      <c r="R714" t="s">
        <v>392</v>
      </c>
      <c r="S714" s="1">
        <f>electric_vehicles_dataset[[#This Row],[Units_Sold_2024]]*electric_vehicles_dataset[[#This Row],[Price_USD]]</f>
        <v>68963458.319999993</v>
      </c>
      <c r="T714">
        <v>3</v>
      </c>
      <c r="U714">
        <v>1992</v>
      </c>
      <c r="V714">
        <v>5</v>
      </c>
    </row>
    <row r="715" spans="1:22" x14ac:dyDescent="0.35">
      <c r="A715">
        <v>714</v>
      </c>
      <c r="B715" t="s">
        <v>180</v>
      </c>
      <c r="C715" t="s">
        <v>181</v>
      </c>
      <c r="D715">
        <v>2015</v>
      </c>
      <c r="E715" t="s">
        <v>73</v>
      </c>
      <c r="F715">
        <v>129.80000000000001</v>
      </c>
      <c r="G715" t="s">
        <v>352</v>
      </c>
      <c r="H715">
        <f>electric_vehicles_dataset[[#This Row],[Battery_Capacity_kWh]]/electric_vehicles_dataset[[#This Row],[Range_km]]</f>
        <v>0.24307116104868917</v>
      </c>
      <c r="I715">
        <v>534</v>
      </c>
      <c r="J715" t="s">
        <v>149</v>
      </c>
      <c r="K715">
        <v>7</v>
      </c>
      <c r="L715" s="1">
        <v>35367.97</v>
      </c>
      <c r="M715" s="1" t="str" cm="1">
        <f t="array" ref="M71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15" t="s">
        <v>100</v>
      </c>
      <c r="O715" t="s">
        <v>202</v>
      </c>
      <c r="P715" s="2" t="s">
        <v>393</v>
      </c>
      <c r="Q715">
        <v>4</v>
      </c>
      <c r="R715" t="s">
        <v>392</v>
      </c>
      <c r="S715" s="1">
        <f>electric_vehicles_dataset[[#This Row],[Units_Sold_2024]]*electric_vehicles_dataset[[#This Row],[Price_USD]]</f>
        <v>274632287.05000001</v>
      </c>
      <c r="T715">
        <v>3</v>
      </c>
      <c r="U715">
        <v>7765</v>
      </c>
      <c r="V715">
        <v>3</v>
      </c>
    </row>
    <row r="716" spans="1:22" x14ac:dyDescent="0.35">
      <c r="A716">
        <v>715</v>
      </c>
      <c r="B716" t="s">
        <v>56</v>
      </c>
      <c r="C716" t="s">
        <v>57</v>
      </c>
      <c r="D716">
        <v>2025</v>
      </c>
      <c r="E716" t="s">
        <v>42</v>
      </c>
      <c r="F716">
        <v>29.3</v>
      </c>
      <c r="G716" t="s">
        <v>357</v>
      </c>
      <c r="H716">
        <f>electric_vehicles_dataset[[#This Row],[Battery_Capacity_kWh]]/electric_vehicles_dataset[[#This Row],[Range_km]]</f>
        <v>9.2138364779874221E-2</v>
      </c>
      <c r="I716">
        <v>318</v>
      </c>
      <c r="J716" t="s">
        <v>54</v>
      </c>
      <c r="K716">
        <v>2</v>
      </c>
      <c r="L716" s="1">
        <v>69184.87</v>
      </c>
      <c r="M716" s="1" t="str" cm="1">
        <f t="array" ref="M71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16" t="s">
        <v>81</v>
      </c>
      <c r="O716" t="s">
        <v>33</v>
      </c>
      <c r="P716" s="2" t="s">
        <v>393</v>
      </c>
      <c r="Q716">
        <v>3</v>
      </c>
      <c r="R716" t="s">
        <v>397</v>
      </c>
      <c r="S716" s="1">
        <f>electric_vehicles_dataset[[#This Row],[Units_Sold_2024]]*electric_vehicles_dataset[[#This Row],[Price_USD]]</f>
        <v>70568567.399999991</v>
      </c>
      <c r="T716">
        <v>4</v>
      </c>
      <c r="U716">
        <v>1020</v>
      </c>
      <c r="V716">
        <v>3</v>
      </c>
    </row>
    <row r="717" spans="1:22" x14ac:dyDescent="0.35">
      <c r="A717">
        <v>716</v>
      </c>
      <c r="B717" t="s">
        <v>187</v>
      </c>
      <c r="C717" t="s">
        <v>188</v>
      </c>
      <c r="D717">
        <v>2019</v>
      </c>
      <c r="E717" t="s">
        <v>53</v>
      </c>
      <c r="F717">
        <v>39.5</v>
      </c>
      <c r="G717" t="s">
        <v>357</v>
      </c>
      <c r="H717">
        <f>electric_vehicles_dataset[[#This Row],[Battery_Capacity_kWh]]/electric_vehicles_dataset[[#This Row],[Range_km]]</f>
        <v>9.8258706467661688E-2</v>
      </c>
      <c r="I717">
        <v>402</v>
      </c>
      <c r="J717" t="s">
        <v>76</v>
      </c>
      <c r="K717">
        <v>2</v>
      </c>
      <c r="L717" s="1">
        <v>55377.56</v>
      </c>
      <c r="M717" s="1" t="str" cm="1">
        <f t="array" ref="M71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17" t="s">
        <v>146</v>
      </c>
      <c r="O717" t="s">
        <v>206</v>
      </c>
      <c r="P717" s="2" t="s">
        <v>394</v>
      </c>
      <c r="Q717">
        <v>5</v>
      </c>
      <c r="R717" t="s">
        <v>392</v>
      </c>
      <c r="S717" s="1">
        <f>electric_vehicles_dataset[[#This Row],[Units_Sold_2024]]*electric_vehicles_dataset[[#This Row],[Price_USD]]</f>
        <v>389858022.39999998</v>
      </c>
      <c r="T717">
        <v>4</v>
      </c>
      <c r="U717">
        <v>7040</v>
      </c>
      <c r="V717">
        <v>4</v>
      </c>
    </row>
    <row r="718" spans="1:22" x14ac:dyDescent="0.35">
      <c r="A718">
        <v>717</v>
      </c>
      <c r="B718" t="s">
        <v>41</v>
      </c>
      <c r="C718" t="s">
        <v>380</v>
      </c>
      <c r="D718">
        <v>2025</v>
      </c>
      <c r="E718" t="s">
        <v>17</v>
      </c>
      <c r="F718">
        <v>39.5</v>
      </c>
      <c r="G718" t="s">
        <v>357</v>
      </c>
      <c r="H718">
        <f>electric_vehicles_dataset[[#This Row],[Battery_Capacity_kWh]]/electric_vehicles_dataset[[#This Row],[Range_km]]</f>
        <v>8.0612244897959179E-2</v>
      </c>
      <c r="I718">
        <v>490</v>
      </c>
      <c r="J718" t="s">
        <v>364</v>
      </c>
      <c r="K718">
        <v>12</v>
      </c>
      <c r="L718" s="1">
        <v>145035.01999999999</v>
      </c>
      <c r="M718" s="1" t="str" cm="1">
        <f t="array" ref="M7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18" t="s">
        <v>102</v>
      </c>
      <c r="O718" t="s">
        <v>182</v>
      </c>
      <c r="P718" s="2" t="s">
        <v>394</v>
      </c>
      <c r="Q718">
        <v>4</v>
      </c>
      <c r="R718" t="s">
        <v>392</v>
      </c>
      <c r="S718" s="1">
        <f>electric_vehicles_dataset[[#This Row],[Units_Sold_2024]]*electric_vehicles_dataset[[#This Row],[Price_USD]]</f>
        <v>576079099.43999994</v>
      </c>
      <c r="T718">
        <v>5</v>
      </c>
      <c r="U718">
        <v>3972</v>
      </c>
      <c r="V718">
        <v>5</v>
      </c>
    </row>
    <row r="719" spans="1:22" x14ac:dyDescent="0.35">
      <c r="A719">
        <v>718</v>
      </c>
      <c r="B719" t="s">
        <v>74</v>
      </c>
      <c r="C719" t="s">
        <v>75</v>
      </c>
      <c r="D719">
        <v>2024</v>
      </c>
      <c r="E719" t="s">
        <v>130</v>
      </c>
      <c r="F719">
        <v>105.7</v>
      </c>
      <c r="G719" t="s">
        <v>361</v>
      </c>
      <c r="H719">
        <f>electric_vehicles_dataset[[#This Row],[Battery_Capacity_kWh]]/electric_vehicles_dataset[[#This Row],[Range_km]]</f>
        <v>0.28879781420765027</v>
      </c>
      <c r="I719">
        <v>366</v>
      </c>
      <c r="J719" t="s">
        <v>345</v>
      </c>
      <c r="K719">
        <v>4</v>
      </c>
      <c r="L719" s="1">
        <v>53402.83</v>
      </c>
      <c r="M719" s="1" t="str" cm="1">
        <f t="array" ref="M7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19" t="s">
        <v>59</v>
      </c>
      <c r="O719" t="s">
        <v>265</v>
      </c>
      <c r="P719" s="2" t="s">
        <v>389</v>
      </c>
      <c r="Q719">
        <v>2</v>
      </c>
      <c r="R719" t="s">
        <v>391</v>
      </c>
      <c r="S719" s="1">
        <f>electric_vehicles_dataset[[#This Row],[Units_Sold_2024]]*electric_vehicles_dataset[[#This Row],[Price_USD]]</f>
        <v>403992408.94999999</v>
      </c>
      <c r="T719">
        <v>4</v>
      </c>
      <c r="U719">
        <v>7565</v>
      </c>
      <c r="V719">
        <v>4</v>
      </c>
    </row>
    <row r="720" spans="1:22" x14ac:dyDescent="0.35">
      <c r="A720">
        <v>719</v>
      </c>
      <c r="B720" t="s">
        <v>56</v>
      </c>
      <c r="C720" t="s">
        <v>57</v>
      </c>
      <c r="D720">
        <v>2018</v>
      </c>
      <c r="E720" t="s">
        <v>130</v>
      </c>
      <c r="F720">
        <v>115.3</v>
      </c>
      <c r="G720" t="s">
        <v>361</v>
      </c>
      <c r="H720">
        <f>electric_vehicles_dataset[[#This Row],[Battery_Capacity_kWh]]/electric_vehicles_dataset[[#This Row],[Range_km]]</f>
        <v>0.20963636363636362</v>
      </c>
      <c r="I720">
        <v>550</v>
      </c>
      <c r="J720" t="s">
        <v>358</v>
      </c>
      <c r="K720">
        <v>5</v>
      </c>
      <c r="L720" s="1">
        <v>72238.149999999994</v>
      </c>
      <c r="M720" s="1" t="str" cm="1">
        <f t="array" ref="M72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20" t="s">
        <v>246</v>
      </c>
      <c r="O720" t="s">
        <v>92</v>
      </c>
      <c r="P720" s="2" t="s">
        <v>394</v>
      </c>
      <c r="Q720">
        <v>5</v>
      </c>
      <c r="R720" t="s">
        <v>392</v>
      </c>
      <c r="S720" s="1">
        <f>electric_vehicles_dataset[[#This Row],[Units_Sold_2024]]*electric_vehicles_dataset[[#This Row],[Price_USD]]</f>
        <v>543808793.19999993</v>
      </c>
      <c r="T720">
        <v>4</v>
      </c>
      <c r="U720">
        <v>7528</v>
      </c>
      <c r="V720">
        <v>5</v>
      </c>
    </row>
    <row r="721" spans="1:22" x14ac:dyDescent="0.35">
      <c r="A721">
        <v>720</v>
      </c>
      <c r="B721" t="s">
        <v>241</v>
      </c>
      <c r="C721" t="s">
        <v>286</v>
      </c>
      <c r="D721">
        <v>2023</v>
      </c>
      <c r="E721" t="s">
        <v>31</v>
      </c>
      <c r="F721">
        <v>120.9</v>
      </c>
      <c r="G721" t="s">
        <v>352</v>
      </c>
      <c r="H721">
        <f>electric_vehicles_dataset[[#This Row],[Battery_Capacity_kWh]]/electric_vehicles_dataset[[#This Row],[Range_km]]</f>
        <v>0.39253246753246757</v>
      </c>
      <c r="I721">
        <v>308</v>
      </c>
      <c r="J721" t="s">
        <v>18</v>
      </c>
      <c r="K721">
        <v>8</v>
      </c>
      <c r="L721" s="1">
        <v>125502.71</v>
      </c>
      <c r="M721" s="1" t="str" cm="1">
        <f t="array" ref="M72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21" t="s">
        <v>219</v>
      </c>
      <c r="O721" t="s">
        <v>89</v>
      </c>
      <c r="P721" s="2" t="s">
        <v>389</v>
      </c>
      <c r="Q721">
        <v>5</v>
      </c>
      <c r="R721" t="s">
        <v>392</v>
      </c>
      <c r="S721" s="1">
        <f>electric_vehicles_dataset[[#This Row],[Units_Sold_2024]]*electric_vehicles_dataset[[#This Row],[Price_USD]]</f>
        <v>2368738148.54</v>
      </c>
      <c r="T721">
        <v>3</v>
      </c>
      <c r="U721">
        <v>18874</v>
      </c>
      <c r="V721">
        <v>4</v>
      </c>
    </row>
    <row r="722" spans="1:22" x14ac:dyDescent="0.35">
      <c r="A722">
        <v>721</v>
      </c>
      <c r="B722" t="s">
        <v>16</v>
      </c>
      <c r="C722" t="s">
        <v>347</v>
      </c>
      <c r="D722">
        <v>2017</v>
      </c>
      <c r="E722" t="s">
        <v>53</v>
      </c>
      <c r="F722">
        <v>79</v>
      </c>
      <c r="G722" t="s">
        <v>351</v>
      </c>
      <c r="H722">
        <f>electric_vehicles_dataset[[#This Row],[Battery_Capacity_kWh]]/electric_vehicles_dataset[[#This Row],[Range_km]]</f>
        <v>0.42702702702702705</v>
      </c>
      <c r="I722">
        <v>185</v>
      </c>
      <c r="J722" t="s">
        <v>48</v>
      </c>
      <c r="K722">
        <v>5</v>
      </c>
      <c r="L722" s="1">
        <v>121861.15</v>
      </c>
      <c r="M722" s="1" t="str" cm="1">
        <f t="array" ref="M72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22" t="s">
        <v>66</v>
      </c>
      <c r="O722" t="s">
        <v>226</v>
      </c>
      <c r="P722" s="2" t="s">
        <v>395</v>
      </c>
      <c r="Q722">
        <v>1</v>
      </c>
      <c r="R722" t="s">
        <v>391</v>
      </c>
      <c r="S722" s="1">
        <f>electric_vehicles_dataset[[#This Row],[Units_Sold_2024]]*electric_vehicles_dataset[[#This Row],[Price_USD]]</f>
        <v>666580490.5</v>
      </c>
      <c r="T722">
        <v>3</v>
      </c>
      <c r="U722">
        <v>5470</v>
      </c>
      <c r="V722">
        <v>3</v>
      </c>
    </row>
    <row r="723" spans="1:22" x14ac:dyDescent="0.35">
      <c r="A723">
        <v>722</v>
      </c>
      <c r="B723" t="s">
        <v>60</v>
      </c>
      <c r="C723" t="s">
        <v>248</v>
      </c>
      <c r="D723">
        <v>2023</v>
      </c>
      <c r="E723" t="s">
        <v>53</v>
      </c>
      <c r="F723">
        <v>70.5</v>
      </c>
      <c r="G723" t="s">
        <v>351</v>
      </c>
      <c r="H723">
        <f>electric_vehicles_dataset[[#This Row],[Battery_Capacity_kWh]]/electric_vehicles_dataset[[#This Row],[Range_km]]</f>
        <v>0.22310126582278481</v>
      </c>
      <c r="I723">
        <v>316</v>
      </c>
      <c r="J723" t="s">
        <v>149</v>
      </c>
      <c r="K723">
        <v>2</v>
      </c>
      <c r="L723" s="1">
        <v>113631.44</v>
      </c>
      <c r="M723" s="1" t="str" cm="1">
        <f t="array" ref="M72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23" t="s">
        <v>100</v>
      </c>
      <c r="O723" t="s">
        <v>265</v>
      </c>
      <c r="P723" s="2" t="s">
        <v>389</v>
      </c>
      <c r="Q723">
        <v>1</v>
      </c>
      <c r="R723" t="s">
        <v>391</v>
      </c>
      <c r="S723" s="1">
        <f>electric_vehicles_dataset[[#This Row],[Units_Sold_2024]]*electric_vehicles_dataset[[#This Row],[Price_USD]]</f>
        <v>2266606333.6799998</v>
      </c>
      <c r="T723">
        <v>5</v>
      </c>
      <c r="U723">
        <v>19947</v>
      </c>
      <c r="V723">
        <v>5</v>
      </c>
    </row>
    <row r="724" spans="1:22" x14ac:dyDescent="0.35">
      <c r="A724">
        <v>723</v>
      </c>
      <c r="B724" t="s">
        <v>184</v>
      </c>
      <c r="C724" t="s">
        <v>185</v>
      </c>
      <c r="D724">
        <v>2016</v>
      </c>
      <c r="E724" t="s">
        <v>17</v>
      </c>
      <c r="F724">
        <v>139.69999999999999</v>
      </c>
      <c r="G724" t="s">
        <v>352</v>
      </c>
      <c r="H724">
        <f>electric_vehicles_dataset[[#This Row],[Battery_Capacity_kWh]]/electric_vehicles_dataset[[#This Row],[Range_km]]</f>
        <v>0.23839590443686004</v>
      </c>
      <c r="I724">
        <v>586</v>
      </c>
      <c r="J724" t="s">
        <v>345</v>
      </c>
      <c r="K724">
        <v>11</v>
      </c>
      <c r="L724" s="1">
        <v>105699.84</v>
      </c>
      <c r="M724" s="1" t="str" cm="1">
        <f t="array" ref="M72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24" t="s">
        <v>277</v>
      </c>
      <c r="O724" t="s">
        <v>199</v>
      </c>
      <c r="P724" s="2" t="s">
        <v>394</v>
      </c>
      <c r="Q724">
        <v>3</v>
      </c>
      <c r="R724" t="s">
        <v>397</v>
      </c>
      <c r="S724" s="1">
        <f>electric_vehicles_dataset[[#This Row],[Units_Sold_2024]]*electric_vehicles_dataset[[#This Row],[Price_USD]]</f>
        <v>2041909509.1199999</v>
      </c>
      <c r="T724">
        <v>5</v>
      </c>
      <c r="U724">
        <v>19318</v>
      </c>
      <c r="V724">
        <v>5</v>
      </c>
    </row>
    <row r="725" spans="1:22" x14ac:dyDescent="0.35">
      <c r="A725">
        <v>724</v>
      </c>
      <c r="B725" t="s">
        <v>200</v>
      </c>
      <c r="C725" t="s">
        <v>338</v>
      </c>
      <c r="D725">
        <v>2015</v>
      </c>
      <c r="E725" t="s">
        <v>90</v>
      </c>
      <c r="F725">
        <v>97.1</v>
      </c>
      <c r="G725" t="s">
        <v>350</v>
      </c>
      <c r="H725">
        <f>electric_vehicles_dataset[[#This Row],[Battery_Capacity_kWh]]/electric_vehicles_dataset[[#This Row],[Range_km]]</f>
        <v>0.21820224719101122</v>
      </c>
      <c r="I725">
        <v>445</v>
      </c>
      <c r="J725" t="s">
        <v>345</v>
      </c>
      <c r="K725">
        <v>5</v>
      </c>
      <c r="L725" s="1">
        <v>82630.44</v>
      </c>
      <c r="M725" s="1" t="str" cm="1">
        <f t="array" ref="M72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25" t="s">
        <v>246</v>
      </c>
      <c r="O725" t="s">
        <v>167</v>
      </c>
      <c r="P725" s="2" t="s">
        <v>394</v>
      </c>
      <c r="Q725">
        <v>0</v>
      </c>
      <c r="R725" t="s">
        <v>390</v>
      </c>
      <c r="S725" s="1">
        <f>electric_vehicles_dataset[[#This Row],[Units_Sold_2024]]*electric_vehicles_dataset[[#This Row],[Price_USD]]</f>
        <v>1527423683.4000001</v>
      </c>
      <c r="T725">
        <v>3</v>
      </c>
      <c r="U725">
        <v>18485</v>
      </c>
      <c r="V725">
        <v>5</v>
      </c>
    </row>
    <row r="726" spans="1:22" x14ac:dyDescent="0.35">
      <c r="A726">
        <v>725</v>
      </c>
      <c r="B726" t="s">
        <v>207</v>
      </c>
      <c r="C726" t="s">
        <v>208</v>
      </c>
      <c r="D726">
        <v>2023</v>
      </c>
      <c r="E726" t="s">
        <v>26</v>
      </c>
      <c r="F726">
        <v>140.6</v>
      </c>
      <c r="G726" t="s">
        <v>386</v>
      </c>
      <c r="H726">
        <f>electric_vehicles_dataset[[#This Row],[Battery_Capacity_kWh]]/electric_vehicles_dataset[[#This Row],[Range_km]]</f>
        <v>0.57154471544715446</v>
      </c>
      <c r="I726">
        <v>246</v>
      </c>
      <c r="J726" t="s">
        <v>38</v>
      </c>
      <c r="K726">
        <v>5</v>
      </c>
      <c r="L726" s="1">
        <v>120876.03</v>
      </c>
      <c r="M726" s="1" t="str" cm="1">
        <f t="array" ref="M72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26" t="s">
        <v>240</v>
      </c>
      <c r="O726" t="s">
        <v>95</v>
      </c>
      <c r="P726" s="2" t="s">
        <v>394</v>
      </c>
      <c r="Q726">
        <v>5</v>
      </c>
      <c r="R726" t="s">
        <v>392</v>
      </c>
      <c r="S726" s="1">
        <f>electric_vehicles_dataset[[#This Row],[Units_Sold_2024]]*electric_vehicles_dataset[[#This Row],[Price_USD]]</f>
        <v>2056222146.3299999</v>
      </c>
      <c r="T726">
        <v>4</v>
      </c>
      <c r="U726">
        <v>17011</v>
      </c>
      <c r="V726">
        <v>4</v>
      </c>
    </row>
    <row r="727" spans="1:22" x14ac:dyDescent="0.35">
      <c r="A727">
        <v>726</v>
      </c>
      <c r="B727" t="s">
        <v>261</v>
      </c>
      <c r="C727" t="s">
        <v>370</v>
      </c>
      <c r="D727">
        <v>2020</v>
      </c>
      <c r="E727" t="s">
        <v>58</v>
      </c>
      <c r="F727">
        <v>65.2</v>
      </c>
      <c r="G727" t="s">
        <v>351</v>
      </c>
      <c r="H727">
        <f>electric_vehicles_dataset[[#This Row],[Battery_Capacity_kWh]]/electric_vehicles_dataset[[#This Row],[Range_km]]</f>
        <v>0.35434782608695653</v>
      </c>
      <c r="I727">
        <v>184</v>
      </c>
      <c r="J727" t="s">
        <v>48</v>
      </c>
      <c r="K727">
        <v>4</v>
      </c>
      <c r="L727" s="1">
        <v>88396.29</v>
      </c>
      <c r="M727" s="1" t="str" cm="1">
        <f t="array" ref="M72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27" t="s">
        <v>102</v>
      </c>
      <c r="O727" t="s">
        <v>23</v>
      </c>
      <c r="P727" s="2" t="s">
        <v>389</v>
      </c>
      <c r="Q727">
        <v>2</v>
      </c>
      <c r="R727" t="s">
        <v>391</v>
      </c>
      <c r="S727" s="1">
        <f>electric_vehicles_dataset[[#This Row],[Units_Sold_2024]]*electric_vehicles_dataset[[#This Row],[Price_USD]]</f>
        <v>807058127.69999993</v>
      </c>
      <c r="T727">
        <v>3</v>
      </c>
      <c r="U727">
        <v>9130</v>
      </c>
      <c r="V727">
        <v>3</v>
      </c>
    </row>
    <row r="728" spans="1:22" x14ac:dyDescent="0.35">
      <c r="A728">
        <v>727</v>
      </c>
      <c r="B728" t="s">
        <v>184</v>
      </c>
      <c r="C728" t="s">
        <v>213</v>
      </c>
      <c r="D728">
        <v>2023</v>
      </c>
      <c r="E728" t="s">
        <v>26</v>
      </c>
      <c r="F728">
        <v>86.1</v>
      </c>
      <c r="G728" t="s">
        <v>350</v>
      </c>
      <c r="H728">
        <f>electric_vehicles_dataset[[#This Row],[Battery_Capacity_kWh]]/electric_vehicles_dataset[[#This Row],[Range_km]]</f>
        <v>0.4629032258064516</v>
      </c>
      <c r="I728">
        <v>186</v>
      </c>
      <c r="J728" t="s">
        <v>76</v>
      </c>
      <c r="K728">
        <v>7</v>
      </c>
      <c r="L728" s="1">
        <v>34769.4</v>
      </c>
      <c r="M728" s="1" t="str" cm="1">
        <f t="array" ref="M72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28" t="s">
        <v>19</v>
      </c>
      <c r="O728" t="s">
        <v>107</v>
      </c>
      <c r="P728" s="2" t="s">
        <v>394</v>
      </c>
      <c r="Q728">
        <v>0</v>
      </c>
      <c r="R728" t="s">
        <v>390</v>
      </c>
      <c r="S728" s="1">
        <f>electric_vehicles_dataset[[#This Row],[Units_Sold_2024]]*electric_vehicles_dataset[[#This Row],[Price_USD]]</f>
        <v>231425126.40000001</v>
      </c>
      <c r="T728">
        <v>4</v>
      </c>
      <c r="U728">
        <v>6656</v>
      </c>
      <c r="V728">
        <v>4</v>
      </c>
    </row>
    <row r="729" spans="1:22" x14ac:dyDescent="0.35">
      <c r="A729">
        <v>728</v>
      </c>
      <c r="B729" t="s">
        <v>261</v>
      </c>
      <c r="C729" t="s">
        <v>278</v>
      </c>
      <c r="D729">
        <v>2022</v>
      </c>
      <c r="E729" t="s">
        <v>47</v>
      </c>
      <c r="F729">
        <v>36.4</v>
      </c>
      <c r="G729" t="s">
        <v>357</v>
      </c>
      <c r="H729">
        <f>electric_vehicles_dataset[[#This Row],[Battery_Capacity_kWh]]/electric_vehicles_dataset[[#This Row],[Range_km]]</f>
        <v>0.10963855421686747</v>
      </c>
      <c r="I729">
        <v>332</v>
      </c>
      <c r="J729" t="s">
        <v>54</v>
      </c>
      <c r="K729">
        <v>11</v>
      </c>
      <c r="L729" s="1">
        <v>115950.11</v>
      </c>
      <c r="M729" s="1" t="str" cm="1">
        <f t="array" ref="M72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29" t="s">
        <v>77</v>
      </c>
      <c r="O729" t="s">
        <v>147</v>
      </c>
      <c r="P729" s="2" t="s">
        <v>396</v>
      </c>
      <c r="Q729">
        <v>3</v>
      </c>
      <c r="R729" t="s">
        <v>397</v>
      </c>
      <c r="S729" s="1">
        <f>electric_vehicles_dataset[[#This Row],[Units_Sold_2024]]*electric_vehicles_dataset[[#This Row],[Price_USD]]</f>
        <v>519804343.13</v>
      </c>
      <c r="T729">
        <v>4</v>
      </c>
      <c r="U729">
        <v>4483</v>
      </c>
      <c r="V729">
        <v>4</v>
      </c>
    </row>
    <row r="730" spans="1:22" x14ac:dyDescent="0.35">
      <c r="A730">
        <v>729</v>
      </c>
      <c r="B730" t="s">
        <v>259</v>
      </c>
      <c r="C730" t="s">
        <v>311</v>
      </c>
      <c r="D730">
        <v>2020</v>
      </c>
      <c r="E730" t="s">
        <v>183</v>
      </c>
      <c r="F730">
        <v>30.3</v>
      </c>
      <c r="G730" t="s">
        <v>357</v>
      </c>
      <c r="H730">
        <f>electric_vehicles_dataset[[#This Row],[Battery_Capacity_kWh]]/electric_vehicles_dataset[[#This Row],[Range_km]]</f>
        <v>5.9881422924901187E-2</v>
      </c>
      <c r="I730">
        <v>506</v>
      </c>
      <c r="J730" t="s">
        <v>353</v>
      </c>
      <c r="K730">
        <v>9</v>
      </c>
      <c r="L730" s="1">
        <v>69253.89</v>
      </c>
      <c r="M730" s="1" t="str" cm="1">
        <f t="array" ref="M73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30" t="s">
        <v>246</v>
      </c>
      <c r="O730" t="s">
        <v>50</v>
      </c>
      <c r="P730" s="2" t="s">
        <v>396</v>
      </c>
      <c r="Q730">
        <v>5</v>
      </c>
      <c r="R730" t="s">
        <v>392</v>
      </c>
      <c r="S730" s="1">
        <f>electric_vehicles_dataset[[#This Row],[Units_Sold_2024]]*electric_vehicles_dataset[[#This Row],[Price_USD]]</f>
        <v>714353875.35000002</v>
      </c>
      <c r="T730">
        <v>3</v>
      </c>
      <c r="U730">
        <v>10315</v>
      </c>
      <c r="V730">
        <v>3</v>
      </c>
    </row>
    <row r="731" spans="1:22" x14ac:dyDescent="0.35">
      <c r="A731">
        <v>730</v>
      </c>
      <c r="B731" t="s">
        <v>222</v>
      </c>
      <c r="C731" t="s">
        <v>223</v>
      </c>
      <c r="D731">
        <v>2023</v>
      </c>
      <c r="E731" t="s">
        <v>104</v>
      </c>
      <c r="F731">
        <v>44.8</v>
      </c>
      <c r="G731" t="s">
        <v>348</v>
      </c>
      <c r="H731">
        <f>electric_vehicles_dataset[[#This Row],[Battery_Capacity_kWh]]/electric_vehicles_dataset[[#This Row],[Range_km]]</f>
        <v>0.11636363636363635</v>
      </c>
      <c r="I731">
        <v>385</v>
      </c>
      <c r="J731" t="s">
        <v>27</v>
      </c>
      <c r="K731">
        <v>11</v>
      </c>
      <c r="L731" s="1">
        <v>105274.21</v>
      </c>
      <c r="M731" s="1" t="str" cm="1">
        <f t="array" ref="M73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31" t="s">
        <v>100</v>
      </c>
      <c r="O731" t="s">
        <v>150</v>
      </c>
      <c r="P731" s="2" t="s">
        <v>389</v>
      </c>
      <c r="Q731">
        <v>1</v>
      </c>
      <c r="R731" t="s">
        <v>391</v>
      </c>
      <c r="S731" s="1">
        <f>electric_vehicles_dataset[[#This Row],[Units_Sold_2024]]*electric_vehicles_dataset[[#This Row],[Price_USD]]</f>
        <v>1671333357.96</v>
      </c>
      <c r="T731">
        <v>3</v>
      </c>
      <c r="U731">
        <v>15876</v>
      </c>
      <c r="V731">
        <v>3</v>
      </c>
    </row>
    <row r="732" spans="1:22" x14ac:dyDescent="0.35">
      <c r="A732">
        <v>731</v>
      </c>
      <c r="B732" t="s">
        <v>259</v>
      </c>
      <c r="C732" t="s">
        <v>260</v>
      </c>
      <c r="D732">
        <v>2019</v>
      </c>
      <c r="E732" t="s">
        <v>101</v>
      </c>
      <c r="F732">
        <v>45.8</v>
      </c>
      <c r="G732" t="s">
        <v>348</v>
      </c>
      <c r="H732">
        <f>electric_vehicles_dataset[[#This Row],[Battery_Capacity_kWh]]/electric_vehicles_dataset[[#This Row],[Range_km]]</f>
        <v>8.3576642335766421E-2</v>
      </c>
      <c r="I732">
        <v>548</v>
      </c>
      <c r="J732" t="s">
        <v>364</v>
      </c>
      <c r="K732">
        <v>11</v>
      </c>
      <c r="L732" s="1">
        <v>132858.82</v>
      </c>
      <c r="M732" s="1" t="str" cm="1">
        <f t="array" ref="M73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32" t="s">
        <v>277</v>
      </c>
      <c r="O732" t="s">
        <v>124</v>
      </c>
      <c r="P732" s="2" t="s">
        <v>389</v>
      </c>
      <c r="Q732">
        <v>1</v>
      </c>
      <c r="R732" t="s">
        <v>391</v>
      </c>
      <c r="S732" s="1">
        <f>electric_vehicles_dataset[[#This Row],[Units_Sold_2024]]*electric_vehicles_dataset[[#This Row],[Price_USD]]</f>
        <v>775364073.5200001</v>
      </c>
      <c r="T732">
        <v>3</v>
      </c>
      <c r="U732">
        <v>5836</v>
      </c>
      <c r="V732">
        <v>3</v>
      </c>
    </row>
    <row r="733" spans="1:22" x14ac:dyDescent="0.35">
      <c r="A733">
        <v>732</v>
      </c>
      <c r="B733" t="s">
        <v>125</v>
      </c>
      <c r="C733" t="s">
        <v>163</v>
      </c>
      <c r="D733">
        <v>2024</v>
      </c>
      <c r="E733" t="s">
        <v>42</v>
      </c>
      <c r="F733">
        <v>102</v>
      </c>
      <c r="G733" t="s">
        <v>361</v>
      </c>
      <c r="H733">
        <f>electric_vehicles_dataset[[#This Row],[Battery_Capacity_kWh]]/electric_vehicles_dataset[[#This Row],[Range_km]]</f>
        <v>0.46363636363636362</v>
      </c>
      <c r="I733">
        <v>220</v>
      </c>
      <c r="J733" t="s">
        <v>149</v>
      </c>
      <c r="K733">
        <v>6</v>
      </c>
      <c r="L733" s="1">
        <v>108832.92</v>
      </c>
      <c r="M733" s="1" t="str" cm="1">
        <f t="array" ref="M73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33" t="s">
        <v>229</v>
      </c>
      <c r="O733" t="s">
        <v>111</v>
      </c>
      <c r="P733" s="2" t="s">
        <v>389</v>
      </c>
      <c r="Q733">
        <v>2</v>
      </c>
      <c r="R733" t="s">
        <v>391</v>
      </c>
      <c r="S733" s="1">
        <f>electric_vehicles_dataset[[#This Row],[Units_Sold_2024]]*electric_vehicles_dataset[[#This Row],[Price_USD]]</f>
        <v>1398611854.9200001</v>
      </c>
      <c r="T733">
        <v>5</v>
      </c>
      <c r="U733">
        <v>12851</v>
      </c>
      <c r="V733">
        <v>5</v>
      </c>
    </row>
    <row r="734" spans="1:22" x14ac:dyDescent="0.35">
      <c r="A734">
        <v>733</v>
      </c>
      <c r="B734" t="s">
        <v>243</v>
      </c>
      <c r="C734" t="s">
        <v>371</v>
      </c>
      <c r="D734">
        <v>2019</v>
      </c>
      <c r="E734" t="s">
        <v>58</v>
      </c>
      <c r="F734">
        <v>48.5</v>
      </c>
      <c r="G734" t="s">
        <v>348</v>
      </c>
      <c r="H734">
        <f>electric_vehicles_dataset[[#This Row],[Battery_Capacity_kWh]]/electric_vehicles_dataset[[#This Row],[Range_km]]</f>
        <v>8.1787521079258005E-2</v>
      </c>
      <c r="I734">
        <v>593</v>
      </c>
      <c r="J734" t="s">
        <v>54</v>
      </c>
      <c r="K734">
        <v>5</v>
      </c>
      <c r="L734" s="1">
        <v>83660.75</v>
      </c>
      <c r="M734" s="1" t="str" cm="1">
        <f t="array" ref="M7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34" t="s">
        <v>100</v>
      </c>
      <c r="O734" t="s">
        <v>199</v>
      </c>
      <c r="P734" s="2" t="s">
        <v>394</v>
      </c>
      <c r="Q734">
        <v>2</v>
      </c>
      <c r="R734" t="s">
        <v>391</v>
      </c>
      <c r="S734" s="1">
        <f>electric_vehicles_dataset[[#This Row],[Units_Sold_2024]]*electric_vehicles_dataset[[#This Row],[Price_USD]]</f>
        <v>952812281.75</v>
      </c>
      <c r="T734">
        <v>3</v>
      </c>
      <c r="U734">
        <v>11389</v>
      </c>
      <c r="V734">
        <v>5</v>
      </c>
    </row>
    <row r="735" spans="1:22" x14ac:dyDescent="0.35">
      <c r="A735">
        <v>734</v>
      </c>
      <c r="B735" t="s">
        <v>36</v>
      </c>
      <c r="C735" t="s">
        <v>317</v>
      </c>
      <c r="D735">
        <v>2022</v>
      </c>
      <c r="E735" t="s">
        <v>26</v>
      </c>
      <c r="F735">
        <v>124.6</v>
      </c>
      <c r="G735" t="s">
        <v>352</v>
      </c>
      <c r="H735">
        <f>electric_vehicles_dataset[[#This Row],[Battery_Capacity_kWh]]/electric_vehicles_dataset[[#This Row],[Range_km]]</f>
        <v>0.35599999999999998</v>
      </c>
      <c r="I735">
        <v>350</v>
      </c>
      <c r="J735" t="s">
        <v>358</v>
      </c>
      <c r="K735">
        <v>8</v>
      </c>
      <c r="L735" s="1">
        <v>33475.51</v>
      </c>
      <c r="M735" s="1" t="str" cm="1">
        <f t="array" ref="M7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35" t="s">
        <v>49</v>
      </c>
      <c r="O735" t="s">
        <v>206</v>
      </c>
      <c r="P735" s="2" t="s">
        <v>394</v>
      </c>
      <c r="Q735">
        <v>3</v>
      </c>
      <c r="R735" t="s">
        <v>397</v>
      </c>
      <c r="S735" s="1">
        <f>electric_vehicles_dataset[[#This Row],[Units_Sold_2024]]*electric_vehicles_dataset[[#This Row],[Price_USD]]</f>
        <v>348379632.56999999</v>
      </c>
      <c r="T735">
        <v>4</v>
      </c>
      <c r="U735">
        <v>10407</v>
      </c>
      <c r="V735">
        <v>4</v>
      </c>
    </row>
    <row r="736" spans="1:22" x14ac:dyDescent="0.35">
      <c r="A736">
        <v>735</v>
      </c>
      <c r="B736" t="s">
        <v>36</v>
      </c>
      <c r="C736" t="s">
        <v>211</v>
      </c>
      <c r="D736">
        <v>2021</v>
      </c>
      <c r="E736" t="s">
        <v>42</v>
      </c>
      <c r="F736">
        <v>53.9</v>
      </c>
      <c r="G736" t="s">
        <v>348</v>
      </c>
      <c r="H736">
        <f>electric_vehicles_dataset[[#This Row],[Battery_Capacity_kWh]]/electric_vehicles_dataset[[#This Row],[Range_km]]</f>
        <v>0.42440944881889764</v>
      </c>
      <c r="I736">
        <v>127</v>
      </c>
      <c r="J736" t="s">
        <v>105</v>
      </c>
      <c r="K736">
        <v>6</v>
      </c>
      <c r="L736" s="1">
        <v>56273.78</v>
      </c>
      <c r="M736" s="1" t="str" cm="1">
        <f t="array" ref="M7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36" t="s">
        <v>238</v>
      </c>
      <c r="O736" t="s">
        <v>95</v>
      </c>
      <c r="P736" s="2" t="s">
        <v>394</v>
      </c>
      <c r="Q736">
        <v>3</v>
      </c>
      <c r="R736" t="s">
        <v>397</v>
      </c>
      <c r="S736" s="1">
        <f>electric_vehicles_dataset[[#This Row],[Units_Sold_2024]]*electric_vehicles_dataset[[#This Row],[Price_USD]]</f>
        <v>380185657.68000001</v>
      </c>
      <c r="T736">
        <v>5</v>
      </c>
      <c r="U736">
        <v>6756</v>
      </c>
      <c r="V736">
        <v>5</v>
      </c>
    </row>
    <row r="737" spans="1:22" x14ac:dyDescent="0.35">
      <c r="A737">
        <v>736</v>
      </c>
      <c r="B737" t="s">
        <v>64</v>
      </c>
      <c r="C737" t="s">
        <v>65</v>
      </c>
      <c r="D737">
        <v>2017</v>
      </c>
      <c r="E737" t="s">
        <v>90</v>
      </c>
      <c r="F737">
        <v>90.2</v>
      </c>
      <c r="G737" t="s">
        <v>350</v>
      </c>
      <c r="H737">
        <f>electric_vehicles_dataset[[#This Row],[Battery_Capacity_kWh]]/electric_vehicles_dataset[[#This Row],[Range_km]]</f>
        <v>0.15392491467576791</v>
      </c>
      <c r="I737">
        <v>586</v>
      </c>
      <c r="J737" t="s">
        <v>76</v>
      </c>
      <c r="K737">
        <v>10</v>
      </c>
      <c r="L737" s="1">
        <v>40830.33</v>
      </c>
      <c r="M737" s="1" t="str" cm="1">
        <f t="array" ref="M7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37" t="s">
        <v>66</v>
      </c>
      <c r="O737" t="s">
        <v>50</v>
      </c>
      <c r="P737" s="2" t="s">
        <v>396</v>
      </c>
      <c r="Q737">
        <v>4</v>
      </c>
      <c r="R737" t="s">
        <v>392</v>
      </c>
      <c r="S737" s="1">
        <f>electric_vehicles_dataset[[#This Row],[Units_Sold_2024]]*electric_vehicles_dataset[[#This Row],[Price_USD]]</f>
        <v>281565955.68000001</v>
      </c>
      <c r="T737">
        <v>4</v>
      </c>
      <c r="U737">
        <v>6896</v>
      </c>
      <c r="V737">
        <v>4</v>
      </c>
    </row>
    <row r="738" spans="1:22" x14ac:dyDescent="0.35">
      <c r="A738">
        <v>737</v>
      </c>
      <c r="B738" t="s">
        <v>82</v>
      </c>
      <c r="C738" t="s">
        <v>83</v>
      </c>
      <c r="D738">
        <v>2017</v>
      </c>
      <c r="E738" t="s">
        <v>26</v>
      </c>
      <c r="F738">
        <v>89.6</v>
      </c>
      <c r="G738" t="s">
        <v>350</v>
      </c>
      <c r="H738">
        <f>electric_vehicles_dataset[[#This Row],[Battery_Capacity_kWh]]/electric_vehicles_dataset[[#This Row],[Range_km]]</f>
        <v>0.16592592592592592</v>
      </c>
      <c r="I738">
        <v>540</v>
      </c>
      <c r="J738" t="s">
        <v>353</v>
      </c>
      <c r="K738">
        <v>4</v>
      </c>
      <c r="L738" s="1">
        <v>49368.5</v>
      </c>
      <c r="M738" s="1" t="str" cm="1">
        <f t="array" ref="M73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38" t="s">
        <v>165</v>
      </c>
      <c r="O738" t="s">
        <v>50</v>
      </c>
      <c r="P738" s="2" t="s">
        <v>396</v>
      </c>
      <c r="Q738">
        <v>4</v>
      </c>
      <c r="R738" t="s">
        <v>392</v>
      </c>
      <c r="S738" s="1">
        <f>electric_vehicles_dataset[[#This Row],[Units_Sold_2024]]*electric_vehicles_dataset[[#This Row],[Price_USD]]</f>
        <v>32385736</v>
      </c>
      <c r="T738">
        <v>3</v>
      </c>
      <c r="U738">
        <v>656</v>
      </c>
      <c r="V738">
        <v>5</v>
      </c>
    </row>
    <row r="739" spans="1:22" x14ac:dyDescent="0.35">
      <c r="A739">
        <v>738</v>
      </c>
      <c r="B739" t="s">
        <v>184</v>
      </c>
      <c r="C739" t="s">
        <v>309</v>
      </c>
      <c r="D739">
        <v>2022</v>
      </c>
      <c r="E739" t="s">
        <v>84</v>
      </c>
      <c r="F739">
        <v>40.4</v>
      </c>
      <c r="G739" t="s">
        <v>348</v>
      </c>
      <c r="H739">
        <f>electric_vehicles_dataset[[#This Row],[Battery_Capacity_kWh]]/electric_vehicles_dataset[[#This Row],[Range_km]]</f>
        <v>0.1590551181102362</v>
      </c>
      <c r="I739">
        <v>254</v>
      </c>
      <c r="J739" t="s">
        <v>76</v>
      </c>
      <c r="K739">
        <v>3</v>
      </c>
      <c r="L739" s="1">
        <v>122689.4</v>
      </c>
      <c r="M739" s="1" t="str" cm="1">
        <f t="array" ref="M73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39" t="s">
        <v>100</v>
      </c>
      <c r="O739" t="s">
        <v>95</v>
      </c>
      <c r="P739" s="2" t="s">
        <v>394</v>
      </c>
      <c r="Q739">
        <v>0</v>
      </c>
      <c r="R739" t="s">
        <v>390</v>
      </c>
      <c r="S739" s="1">
        <f>electric_vehicles_dataset[[#This Row],[Units_Sold_2024]]*electric_vehicles_dataset[[#This Row],[Price_USD]]</f>
        <v>527319041.19999999</v>
      </c>
      <c r="T739">
        <v>4</v>
      </c>
      <c r="U739">
        <v>4298</v>
      </c>
      <c r="V739">
        <v>5</v>
      </c>
    </row>
    <row r="740" spans="1:22" x14ac:dyDescent="0.35">
      <c r="A740">
        <v>739</v>
      </c>
      <c r="B740" t="s">
        <v>122</v>
      </c>
      <c r="C740" t="s">
        <v>186</v>
      </c>
      <c r="D740">
        <v>2016</v>
      </c>
      <c r="E740" t="s">
        <v>58</v>
      </c>
      <c r="F740">
        <v>85.6</v>
      </c>
      <c r="G740" t="s">
        <v>350</v>
      </c>
      <c r="H740">
        <f>electric_vehicles_dataset[[#This Row],[Battery_Capacity_kWh]]/electric_vehicles_dataset[[#This Row],[Range_km]]</f>
        <v>0.18608695652173912</v>
      </c>
      <c r="I740">
        <v>460</v>
      </c>
      <c r="J740" t="s">
        <v>358</v>
      </c>
      <c r="K740">
        <v>1</v>
      </c>
      <c r="L740" s="1">
        <v>119118.24</v>
      </c>
      <c r="M740" s="1" t="str" cm="1">
        <f t="array" ref="M7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40" t="s">
        <v>19</v>
      </c>
      <c r="O740" t="s">
        <v>139</v>
      </c>
      <c r="P740" s="2" t="s">
        <v>389</v>
      </c>
      <c r="Q740">
        <v>0</v>
      </c>
      <c r="R740" t="s">
        <v>390</v>
      </c>
      <c r="S740" s="1">
        <f>electric_vehicles_dataset[[#This Row],[Units_Sold_2024]]*electric_vehicles_dataset[[#This Row],[Price_USD]]</f>
        <v>2364139709.2800002</v>
      </c>
      <c r="T740">
        <v>3</v>
      </c>
      <c r="U740">
        <v>19847</v>
      </c>
      <c r="V740">
        <v>4</v>
      </c>
    </row>
    <row r="741" spans="1:22" x14ac:dyDescent="0.35">
      <c r="A741">
        <v>740</v>
      </c>
      <c r="B741" t="s">
        <v>170</v>
      </c>
      <c r="C741" t="s">
        <v>218</v>
      </c>
      <c r="D741">
        <v>2021</v>
      </c>
      <c r="E741" t="s">
        <v>47</v>
      </c>
      <c r="F741">
        <v>116.7</v>
      </c>
      <c r="G741" t="s">
        <v>361</v>
      </c>
      <c r="H741">
        <f>electric_vehicles_dataset[[#This Row],[Battery_Capacity_kWh]]/electric_vehicles_dataset[[#This Row],[Range_km]]</f>
        <v>0.45944881889763783</v>
      </c>
      <c r="I741">
        <v>254</v>
      </c>
      <c r="J741" t="s">
        <v>105</v>
      </c>
      <c r="K741">
        <v>6</v>
      </c>
      <c r="L741" s="1">
        <v>41961.51</v>
      </c>
      <c r="M741" s="1" t="str" cm="1">
        <f t="array" ref="M74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41" t="s">
        <v>39</v>
      </c>
      <c r="O741" t="s">
        <v>182</v>
      </c>
      <c r="P741" s="2" t="s">
        <v>394</v>
      </c>
      <c r="Q741">
        <v>2</v>
      </c>
      <c r="R741" t="s">
        <v>391</v>
      </c>
      <c r="S741" s="1">
        <f>electric_vehicles_dataset[[#This Row],[Units_Sold_2024]]*electric_vehicles_dataset[[#This Row],[Price_USD]]</f>
        <v>771336476.82000005</v>
      </c>
      <c r="T741">
        <v>4</v>
      </c>
      <c r="U741">
        <v>18382</v>
      </c>
      <c r="V741">
        <v>4</v>
      </c>
    </row>
    <row r="742" spans="1:22" x14ac:dyDescent="0.35">
      <c r="A742">
        <v>741</v>
      </c>
      <c r="B742" t="s">
        <v>173</v>
      </c>
      <c r="C742" t="s">
        <v>174</v>
      </c>
      <c r="D742">
        <v>2023</v>
      </c>
      <c r="E742" t="s">
        <v>47</v>
      </c>
      <c r="F742">
        <v>51.8</v>
      </c>
      <c r="G742" t="s">
        <v>348</v>
      </c>
      <c r="H742">
        <f>electric_vehicles_dataset[[#This Row],[Battery_Capacity_kWh]]/electric_vehicles_dataset[[#This Row],[Range_km]]</f>
        <v>0.47962962962962963</v>
      </c>
      <c r="I742">
        <v>108</v>
      </c>
      <c r="J742" t="s">
        <v>356</v>
      </c>
      <c r="K742">
        <v>9</v>
      </c>
      <c r="L742" s="1">
        <v>144174.89000000001</v>
      </c>
      <c r="M742" s="1" t="str" cm="1">
        <f t="array" ref="M7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42" t="s">
        <v>62</v>
      </c>
      <c r="O742" t="s">
        <v>107</v>
      </c>
      <c r="P742" s="2" t="s">
        <v>394</v>
      </c>
      <c r="Q742">
        <v>3</v>
      </c>
      <c r="R742" t="s">
        <v>397</v>
      </c>
      <c r="S742" s="1">
        <f>electric_vehicles_dataset[[#This Row],[Units_Sold_2024]]*electric_vehicles_dataset[[#This Row],[Price_USD]]</f>
        <v>1096450038.45</v>
      </c>
      <c r="T742">
        <v>4</v>
      </c>
      <c r="U742">
        <v>7605</v>
      </c>
      <c r="V742">
        <v>4</v>
      </c>
    </row>
    <row r="743" spans="1:22" x14ac:dyDescent="0.35">
      <c r="A743">
        <v>742</v>
      </c>
      <c r="B743" t="s">
        <v>187</v>
      </c>
      <c r="C743" t="s">
        <v>293</v>
      </c>
      <c r="D743">
        <v>2024</v>
      </c>
      <c r="E743" t="s">
        <v>58</v>
      </c>
      <c r="F743">
        <v>103.6</v>
      </c>
      <c r="G743" t="s">
        <v>361</v>
      </c>
      <c r="H743">
        <f>electric_vehicles_dataset[[#This Row],[Battery_Capacity_kWh]]/electric_vehicles_dataset[[#This Row],[Range_km]]</f>
        <v>0.38370370370370366</v>
      </c>
      <c r="I743">
        <v>270</v>
      </c>
      <c r="J743" t="s">
        <v>18</v>
      </c>
      <c r="K743">
        <v>10</v>
      </c>
      <c r="L743" s="1">
        <v>147098.09</v>
      </c>
      <c r="M743" s="1" t="str" cm="1">
        <f t="array" ref="M74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43" t="s">
        <v>175</v>
      </c>
      <c r="O743" t="s">
        <v>354</v>
      </c>
      <c r="P743" s="2" t="s">
        <v>394</v>
      </c>
      <c r="Q743">
        <v>3</v>
      </c>
      <c r="R743" t="s">
        <v>397</v>
      </c>
      <c r="S743" s="1">
        <f>electric_vehicles_dataset[[#This Row],[Units_Sold_2024]]*electric_vehicles_dataset[[#This Row],[Price_USD]]</f>
        <v>1943312866.99</v>
      </c>
      <c r="T743">
        <v>4</v>
      </c>
      <c r="U743">
        <v>13211</v>
      </c>
      <c r="V743">
        <v>5</v>
      </c>
    </row>
    <row r="744" spans="1:22" x14ac:dyDescent="0.35">
      <c r="A744">
        <v>743</v>
      </c>
      <c r="B744" t="s">
        <v>173</v>
      </c>
      <c r="C744" t="s">
        <v>306</v>
      </c>
      <c r="D744">
        <v>2024</v>
      </c>
      <c r="E744" t="s">
        <v>183</v>
      </c>
      <c r="F744">
        <v>50.2</v>
      </c>
      <c r="G744" t="s">
        <v>348</v>
      </c>
      <c r="H744">
        <f>electric_vehicles_dataset[[#This Row],[Battery_Capacity_kWh]]/electric_vehicles_dataset[[#This Row],[Range_km]]</f>
        <v>0.10203252032520325</v>
      </c>
      <c r="I744">
        <v>492</v>
      </c>
      <c r="J744" t="s">
        <v>356</v>
      </c>
      <c r="K744">
        <v>3</v>
      </c>
      <c r="L744" s="1">
        <v>67374.59</v>
      </c>
      <c r="M744" s="1" t="str" cm="1">
        <f t="array" ref="M74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44" t="s">
        <v>219</v>
      </c>
      <c r="O744" t="s">
        <v>44</v>
      </c>
      <c r="P744" s="2" t="s">
        <v>389</v>
      </c>
      <c r="Q744">
        <v>3</v>
      </c>
      <c r="R744" t="s">
        <v>397</v>
      </c>
      <c r="S744" s="1">
        <f>electric_vehicles_dataset[[#This Row],[Units_Sold_2024]]*electric_vehicles_dataset[[#This Row],[Price_USD]]</f>
        <v>591953147.74000001</v>
      </c>
      <c r="T744">
        <v>3</v>
      </c>
      <c r="U744">
        <v>8786</v>
      </c>
      <c r="V744">
        <v>5</v>
      </c>
    </row>
    <row r="745" spans="1:22" x14ac:dyDescent="0.35">
      <c r="A745">
        <v>744</v>
      </c>
      <c r="B745" t="s">
        <v>192</v>
      </c>
      <c r="C745" t="s">
        <v>366</v>
      </c>
      <c r="D745">
        <v>2022</v>
      </c>
      <c r="E745" t="s">
        <v>47</v>
      </c>
      <c r="F745">
        <v>85</v>
      </c>
      <c r="G745" t="s">
        <v>350</v>
      </c>
      <c r="H745">
        <f>electric_vehicles_dataset[[#This Row],[Battery_Capacity_kWh]]/electric_vehicles_dataset[[#This Row],[Range_km]]</f>
        <v>0.14382402707275804</v>
      </c>
      <c r="I745">
        <v>591</v>
      </c>
      <c r="J745" t="s">
        <v>353</v>
      </c>
      <c r="K745">
        <v>4</v>
      </c>
      <c r="L745" s="1">
        <v>115064.18</v>
      </c>
      <c r="M745" s="1" t="str" cm="1">
        <f t="array" ref="M7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45" t="s">
        <v>246</v>
      </c>
      <c r="O745" t="s">
        <v>354</v>
      </c>
      <c r="P745" s="2" t="s">
        <v>394</v>
      </c>
      <c r="Q745">
        <v>5</v>
      </c>
      <c r="R745" t="s">
        <v>392</v>
      </c>
      <c r="S745" s="1">
        <f>electric_vehicles_dataset[[#This Row],[Units_Sold_2024]]*electric_vehicles_dataset[[#This Row],[Price_USD]]</f>
        <v>292147953.01999998</v>
      </c>
      <c r="T745">
        <v>5</v>
      </c>
      <c r="U745">
        <v>2539</v>
      </c>
      <c r="V745">
        <v>4</v>
      </c>
    </row>
    <row r="746" spans="1:22" x14ac:dyDescent="0.35">
      <c r="A746">
        <v>745</v>
      </c>
      <c r="B746" t="s">
        <v>60</v>
      </c>
      <c r="C746" t="s">
        <v>233</v>
      </c>
      <c r="D746">
        <v>2015</v>
      </c>
      <c r="E746" t="s">
        <v>101</v>
      </c>
      <c r="F746">
        <v>87.6</v>
      </c>
      <c r="G746" t="s">
        <v>350</v>
      </c>
      <c r="H746">
        <f>electric_vehicles_dataset[[#This Row],[Battery_Capacity_kWh]]/electric_vehicles_dataset[[#This Row],[Range_km]]</f>
        <v>0.54074074074074074</v>
      </c>
      <c r="I746">
        <v>162</v>
      </c>
      <c r="J746" t="s">
        <v>85</v>
      </c>
      <c r="K746">
        <v>3</v>
      </c>
      <c r="L746" s="1">
        <v>134369.9</v>
      </c>
      <c r="M746" s="1" t="str" cm="1">
        <f t="array" ref="M74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46" t="s">
        <v>43</v>
      </c>
      <c r="O746" t="s">
        <v>95</v>
      </c>
      <c r="P746" s="2" t="s">
        <v>394</v>
      </c>
      <c r="Q746">
        <v>3</v>
      </c>
      <c r="R746" t="s">
        <v>397</v>
      </c>
      <c r="S746" s="1">
        <f>electric_vehicles_dataset[[#This Row],[Units_Sold_2024]]*electric_vehicles_dataset[[#This Row],[Price_USD]]</f>
        <v>615817251.69999993</v>
      </c>
      <c r="T746">
        <v>4</v>
      </c>
      <c r="U746">
        <v>4583</v>
      </c>
      <c r="V746">
        <v>5</v>
      </c>
    </row>
    <row r="747" spans="1:22" x14ac:dyDescent="0.35">
      <c r="A747">
        <v>746</v>
      </c>
      <c r="B747" t="s">
        <v>21</v>
      </c>
      <c r="C747" t="s">
        <v>363</v>
      </c>
      <c r="D747">
        <v>2021</v>
      </c>
      <c r="E747" t="s">
        <v>84</v>
      </c>
      <c r="F747">
        <v>58.6</v>
      </c>
      <c r="G747" t="s">
        <v>348</v>
      </c>
      <c r="H747">
        <f>electric_vehicles_dataset[[#This Row],[Battery_Capacity_kWh]]/electric_vehicles_dataset[[#This Row],[Range_km]]</f>
        <v>0.18198757763975157</v>
      </c>
      <c r="I747">
        <v>322</v>
      </c>
      <c r="J747" t="s">
        <v>54</v>
      </c>
      <c r="K747">
        <v>9</v>
      </c>
      <c r="L747" s="1">
        <v>135627.14000000001</v>
      </c>
      <c r="M747" s="1" t="str" cm="1">
        <f t="array" ref="M74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47" t="s">
        <v>49</v>
      </c>
      <c r="O747" t="s">
        <v>121</v>
      </c>
      <c r="P747" s="2" t="s">
        <v>398</v>
      </c>
      <c r="Q747">
        <v>2</v>
      </c>
      <c r="R747" t="s">
        <v>391</v>
      </c>
      <c r="S747" s="1">
        <f>electric_vehicles_dataset[[#This Row],[Units_Sold_2024]]*electric_vehicles_dataset[[#This Row],[Price_USD]]</f>
        <v>2325327315.3000002</v>
      </c>
      <c r="T747">
        <v>4</v>
      </c>
      <c r="U747">
        <v>17145</v>
      </c>
      <c r="V747">
        <v>5</v>
      </c>
    </row>
    <row r="748" spans="1:22" x14ac:dyDescent="0.35">
      <c r="A748">
        <v>747</v>
      </c>
      <c r="B748" t="s">
        <v>192</v>
      </c>
      <c r="C748" t="s">
        <v>366</v>
      </c>
      <c r="D748">
        <v>2020</v>
      </c>
      <c r="E748" t="s">
        <v>47</v>
      </c>
      <c r="F748">
        <v>98.6</v>
      </c>
      <c r="G748" t="s">
        <v>350</v>
      </c>
      <c r="H748">
        <f>electric_vehicles_dataset[[#This Row],[Battery_Capacity_kWh]]/electric_vehicles_dataset[[#This Row],[Range_km]]</f>
        <v>0.28914956011730203</v>
      </c>
      <c r="I748">
        <v>341</v>
      </c>
      <c r="J748" t="s">
        <v>345</v>
      </c>
      <c r="K748">
        <v>3</v>
      </c>
      <c r="L748" s="1">
        <v>69621.259999999995</v>
      </c>
      <c r="M748" s="1" t="str" cm="1">
        <f t="array" ref="M7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48" t="s">
        <v>277</v>
      </c>
      <c r="O748" t="s">
        <v>150</v>
      </c>
      <c r="P748" s="2" t="s">
        <v>389</v>
      </c>
      <c r="Q748">
        <v>5</v>
      </c>
      <c r="R748" t="s">
        <v>392</v>
      </c>
      <c r="S748" s="1">
        <f>electric_vehicles_dataset[[#This Row],[Units_Sold_2024]]*electric_vehicles_dataset[[#This Row],[Price_USD]]</f>
        <v>949703607.65999997</v>
      </c>
      <c r="T748">
        <v>4</v>
      </c>
      <c r="U748">
        <v>13641</v>
      </c>
      <c r="V748">
        <v>3</v>
      </c>
    </row>
    <row r="749" spans="1:22" x14ac:dyDescent="0.35">
      <c r="A749">
        <v>748</v>
      </c>
      <c r="B749" t="s">
        <v>153</v>
      </c>
      <c r="C749" t="s">
        <v>310</v>
      </c>
      <c r="D749">
        <v>2016</v>
      </c>
      <c r="E749" t="s">
        <v>84</v>
      </c>
      <c r="F749">
        <v>60.5</v>
      </c>
      <c r="G749" t="s">
        <v>351</v>
      </c>
      <c r="H749">
        <f>electric_vehicles_dataset[[#This Row],[Battery_Capacity_kWh]]/electric_vehicles_dataset[[#This Row],[Range_km]]</f>
        <v>0.30867346938775508</v>
      </c>
      <c r="I749">
        <v>196</v>
      </c>
      <c r="J749" t="s">
        <v>359</v>
      </c>
      <c r="K749">
        <v>9</v>
      </c>
      <c r="L749" s="1">
        <v>94527.78</v>
      </c>
      <c r="M749" s="1" t="str" cm="1">
        <f t="array" ref="M74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49" t="s">
        <v>219</v>
      </c>
      <c r="O749" t="s">
        <v>93</v>
      </c>
      <c r="P749" s="2" t="s">
        <v>389</v>
      </c>
      <c r="Q749">
        <v>5</v>
      </c>
      <c r="R749" t="s">
        <v>392</v>
      </c>
      <c r="S749" s="1">
        <f>electric_vehicles_dataset[[#This Row],[Units_Sold_2024]]*electric_vehicles_dataset[[#This Row],[Price_USD]]</f>
        <v>1731937985.1600001</v>
      </c>
      <c r="T749">
        <v>4</v>
      </c>
      <c r="U749">
        <v>18322</v>
      </c>
      <c r="V749">
        <v>3</v>
      </c>
    </row>
    <row r="750" spans="1:22" x14ac:dyDescent="0.35">
      <c r="A750">
        <v>749</v>
      </c>
      <c r="B750" t="s">
        <v>243</v>
      </c>
      <c r="C750" t="s">
        <v>244</v>
      </c>
      <c r="D750">
        <v>2018</v>
      </c>
      <c r="E750" t="s">
        <v>133</v>
      </c>
      <c r="F750">
        <v>56.9</v>
      </c>
      <c r="G750" t="s">
        <v>348</v>
      </c>
      <c r="H750">
        <f>electric_vehicles_dataset[[#This Row],[Battery_Capacity_kWh]]/electric_vehicles_dataset[[#This Row],[Range_km]]</f>
        <v>0.10053003533568905</v>
      </c>
      <c r="I750">
        <v>566</v>
      </c>
      <c r="J750" t="s">
        <v>358</v>
      </c>
      <c r="K750">
        <v>7</v>
      </c>
      <c r="L750" s="1">
        <v>66690.039999999994</v>
      </c>
      <c r="M750" s="1" t="str" cm="1">
        <f t="array" ref="M75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50" t="s">
        <v>217</v>
      </c>
      <c r="O750" t="s">
        <v>164</v>
      </c>
      <c r="P750" s="2" t="s">
        <v>394</v>
      </c>
      <c r="Q750">
        <v>4</v>
      </c>
      <c r="R750" t="s">
        <v>392</v>
      </c>
      <c r="S750" s="1">
        <f>electric_vehicles_dataset[[#This Row],[Units_Sold_2024]]*electric_vehicles_dataset[[#This Row],[Price_USD]]</f>
        <v>1295053886.76</v>
      </c>
      <c r="T750">
        <v>3</v>
      </c>
      <c r="U750">
        <v>19419</v>
      </c>
      <c r="V750">
        <v>3</v>
      </c>
    </row>
    <row r="751" spans="1:22" x14ac:dyDescent="0.35">
      <c r="A751">
        <v>750</v>
      </c>
      <c r="B751" t="s">
        <v>184</v>
      </c>
      <c r="C751" t="s">
        <v>213</v>
      </c>
      <c r="D751">
        <v>2019</v>
      </c>
      <c r="E751" t="s">
        <v>101</v>
      </c>
      <c r="F751">
        <v>54.2</v>
      </c>
      <c r="G751" t="s">
        <v>348</v>
      </c>
      <c r="H751">
        <f>electric_vehicles_dataset[[#This Row],[Battery_Capacity_kWh]]/electric_vehicles_dataset[[#This Row],[Range_km]]</f>
        <v>0.35657894736842105</v>
      </c>
      <c r="I751">
        <v>152</v>
      </c>
      <c r="J751" t="s">
        <v>18</v>
      </c>
      <c r="K751">
        <v>10</v>
      </c>
      <c r="L751" s="1">
        <v>100478.05</v>
      </c>
      <c r="M751" s="1" t="str" cm="1">
        <f t="array" ref="M75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51" t="s">
        <v>168</v>
      </c>
      <c r="O751" t="s">
        <v>110</v>
      </c>
      <c r="P751" s="2" t="s">
        <v>394</v>
      </c>
      <c r="Q751">
        <v>4</v>
      </c>
      <c r="R751" t="s">
        <v>392</v>
      </c>
      <c r="S751" s="1">
        <f>electric_vehicles_dataset[[#This Row],[Units_Sold_2024]]*electric_vehicles_dataset[[#This Row],[Price_USD]]</f>
        <v>1558615511.6000001</v>
      </c>
      <c r="T751">
        <v>5</v>
      </c>
      <c r="U751">
        <v>15512</v>
      </c>
      <c r="V751">
        <v>3</v>
      </c>
    </row>
    <row r="752" spans="1:22" x14ac:dyDescent="0.35">
      <c r="A752">
        <v>751</v>
      </c>
      <c r="B752" t="s">
        <v>220</v>
      </c>
      <c r="C752" t="s">
        <v>335</v>
      </c>
      <c r="D752">
        <v>2018</v>
      </c>
      <c r="E752" t="s">
        <v>31</v>
      </c>
      <c r="F752">
        <v>31.9</v>
      </c>
      <c r="G752" t="s">
        <v>357</v>
      </c>
      <c r="H752">
        <f>electric_vehicles_dataset[[#This Row],[Battery_Capacity_kWh]]/electric_vehicles_dataset[[#This Row],[Range_km]]</f>
        <v>6.2426614481409001E-2</v>
      </c>
      <c r="I752">
        <v>511</v>
      </c>
      <c r="J752" t="s">
        <v>18</v>
      </c>
      <c r="K752">
        <v>2</v>
      </c>
      <c r="L752" s="1">
        <v>87055.679999999993</v>
      </c>
      <c r="M752" s="1" t="str" cm="1">
        <f t="array" ref="M75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52" t="s">
        <v>22</v>
      </c>
      <c r="O752" t="s">
        <v>89</v>
      </c>
      <c r="P752" s="2" t="s">
        <v>389</v>
      </c>
      <c r="Q752">
        <v>4</v>
      </c>
      <c r="R752" t="s">
        <v>392</v>
      </c>
      <c r="S752" s="1">
        <f>electric_vehicles_dataset[[#This Row],[Units_Sold_2024]]*electric_vehicles_dataset[[#This Row],[Price_USD]]</f>
        <v>1213469123.52</v>
      </c>
      <c r="T752">
        <v>4</v>
      </c>
      <c r="U752">
        <v>13939</v>
      </c>
      <c r="V752">
        <v>5</v>
      </c>
    </row>
    <row r="753" spans="1:22" x14ac:dyDescent="0.35">
      <c r="A753">
        <v>752</v>
      </c>
      <c r="B753" t="s">
        <v>173</v>
      </c>
      <c r="C753" t="s">
        <v>174</v>
      </c>
      <c r="D753">
        <v>2019</v>
      </c>
      <c r="E753" t="s">
        <v>47</v>
      </c>
      <c r="F753">
        <v>118.8</v>
      </c>
      <c r="G753" t="s">
        <v>361</v>
      </c>
      <c r="H753">
        <f>electric_vehicles_dataset[[#This Row],[Battery_Capacity_kWh]]/electric_vehicles_dataset[[#This Row],[Range_km]]</f>
        <v>0.53273542600896862</v>
      </c>
      <c r="I753">
        <v>223</v>
      </c>
      <c r="J753" t="s">
        <v>34</v>
      </c>
      <c r="K753">
        <v>5</v>
      </c>
      <c r="L753" s="1">
        <v>76263.58</v>
      </c>
      <c r="M753" s="1" t="str" cm="1">
        <f t="array" ref="M75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53" t="s">
        <v>152</v>
      </c>
      <c r="O753" t="s">
        <v>202</v>
      </c>
      <c r="P753" s="2" t="s">
        <v>393</v>
      </c>
      <c r="Q753">
        <v>4</v>
      </c>
      <c r="R753" t="s">
        <v>392</v>
      </c>
      <c r="S753" s="1">
        <f>electric_vehicles_dataset[[#This Row],[Units_Sold_2024]]*electric_vehicles_dataset[[#This Row],[Price_USD]]</f>
        <v>1512840636.46</v>
      </c>
      <c r="T753">
        <v>4</v>
      </c>
      <c r="U753">
        <v>19837</v>
      </c>
      <c r="V753">
        <v>3</v>
      </c>
    </row>
    <row r="754" spans="1:22" x14ac:dyDescent="0.35">
      <c r="A754">
        <v>753</v>
      </c>
      <c r="B754" t="s">
        <v>220</v>
      </c>
      <c r="C754" t="s">
        <v>282</v>
      </c>
      <c r="D754">
        <v>2017</v>
      </c>
      <c r="E754" t="s">
        <v>26</v>
      </c>
      <c r="F754">
        <v>76.8</v>
      </c>
      <c r="G754" t="s">
        <v>351</v>
      </c>
      <c r="H754">
        <f>electric_vehicles_dataset[[#This Row],[Battery_Capacity_kWh]]/electric_vehicles_dataset[[#This Row],[Range_km]]</f>
        <v>0.23558282208588957</v>
      </c>
      <c r="I754">
        <v>326</v>
      </c>
      <c r="J754" t="s">
        <v>356</v>
      </c>
      <c r="K754">
        <v>9</v>
      </c>
      <c r="L754" s="1">
        <v>60064.68</v>
      </c>
      <c r="M754" s="1" t="str" cm="1">
        <f t="array" ref="M7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54" t="s">
        <v>43</v>
      </c>
      <c r="O754" t="s">
        <v>354</v>
      </c>
      <c r="P754" s="2" t="s">
        <v>394</v>
      </c>
      <c r="Q754">
        <v>5</v>
      </c>
      <c r="R754" t="s">
        <v>392</v>
      </c>
      <c r="S754" s="1">
        <f>electric_vehicles_dataset[[#This Row],[Units_Sold_2024]]*electric_vehicles_dataset[[#This Row],[Price_USD]]</f>
        <v>719694995.75999999</v>
      </c>
      <c r="T754">
        <v>4</v>
      </c>
      <c r="U754">
        <v>11982</v>
      </c>
      <c r="V754">
        <v>4</v>
      </c>
    </row>
    <row r="755" spans="1:22" x14ac:dyDescent="0.35">
      <c r="A755">
        <v>754</v>
      </c>
      <c r="B755" t="s">
        <v>193</v>
      </c>
      <c r="C755" t="s">
        <v>203</v>
      </c>
      <c r="D755">
        <v>2020</v>
      </c>
      <c r="E755" t="s">
        <v>17</v>
      </c>
      <c r="F755">
        <v>75.099999999999994</v>
      </c>
      <c r="G755" t="s">
        <v>351</v>
      </c>
      <c r="H755">
        <f>electric_vehicles_dataset[[#This Row],[Battery_Capacity_kWh]]/electric_vehicles_dataset[[#This Row],[Range_km]]</f>
        <v>0.18096385542168672</v>
      </c>
      <c r="I755">
        <v>415</v>
      </c>
      <c r="J755" t="s">
        <v>359</v>
      </c>
      <c r="K755">
        <v>5</v>
      </c>
      <c r="L755" s="1">
        <v>51480.67</v>
      </c>
      <c r="M755" s="1" t="str" cm="1">
        <f t="array" ref="M75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55" t="s">
        <v>277</v>
      </c>
      <c r="O755" t="s">
        <v>115</v>
      </c>
      <c r="P755" s="2" t="s">
        <v>396</v>
      </c>
      <c r="Q755">
        <v>2</v>
      </c>
      <c r="R755" t="s">
        <v>391</v>
      </c>
      <c r="S755" s="1">
        <f>electric_vehicles_dataset[[#This Row],[Units_Sold_2024]]*electric_vehicles_dataset[[#This Row],[Price_USD]]</f>
        <v>523558413.89999998</v>
      </c>
      <c r="T755">
        <v>4</v>
      </c>
      <c r="U755">
        <v>10170</v>
      </c>
      <c r="V755">
        <v>4</v>
      </c>
    </row>
    <row r="756" spans="1:22" x14ac:dyDescent="0.35">
      <c r="A756">
        <v>755</v>
      </c>
      <c r="B756" t="s">
        <v>184</v>
      </c>
      <c r="C756" t="s">
        <v>251</v>
      </c>
      <c r="D756">
        <v>2019</v>
      </c>
      <c r="E756" t="s">
        <v>47</v>
      </c>
      <c r="F756">
        <v>139.80000000000001</v>
      </c>
      <c r="G756" t="s">
        <v>352</v>
      </c>
      <c r="H756">
        <f>electric_vehicles_dataset[[#This Row],[Battery_Capacity_kWh]]/electric_vehicles_dataset[[#This Row],[Range_km]]</f>
        <v>0.34097560975609759</v>
      </c>
      <c r="I756">
        <v>410</v>
      </c>
      <c r="J756" t="s">
        <v>105</v>
      </c>
      <c r="K756">
        <v>1</v>
      </c>
      <c r="L756" s="1">
        <v>62994.17</v>
      </c>
      <c r="M756" s="1" t="str" cm="1">
        <f t="array" ref="M75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56" t="s">
        <v>152</v>
      </c>
      <c r="O756" t="s">
        <v>164</v>
      </c>
      <c r="P756" s="2" t="s">
        <v>394</v>
      </c>
      <c r="Q756">
        <v>2</v>
      </c>
      <c r="R756" t="s">
        <v>391</v>
      </c>
      <c r="S756" s="1">
        <f>electric_vehicles_dataset[[#This Row],[Units_Sold_2024]]*electric_vehicles_dataset[[#This Row],[Price_USD]]</f>
        <v>118114068.75</v>
      </c>
      <c r="T756">
        <v>5</v>
      </c>
      <c r="U756">
        <v>1875</v>
      </c>
      <c r="V756">
        <v>5</v>
      </c>
    </row>
    <row r="757" spans="1:22" x14ac:dyDescent="0.35">
      <c r="A757">
        <v>756</v>
      </c>
      <c r="B757" t="s">
        <v>241</v>
      </c>
      <c r="C757" t="s">
        <v>286</v>
      </c>
      <c r="D757">
        <v>2022</v>
      </c>
      <c r="E757" t="s">
        <v>90</v>
      </c>
      <c r="F757">
        <v>102.2</v>
      </c>
      <c r="G757" t="s">
        <v>361</v>
      </c>
      <c r="H757">
        <f>electric_vehicles_dataset[[#This Row],[Battery_Capacity_kWh]]/electric_vehicles_dataset[[#This Row],[Range_km]]</f>
        <v>0.29116809116809117</v>
      </c>
      <c r="I757">
        <v>351</v>
      </c>
      <c r="J757" t="s">
        <v>85</v>
      </c>
      <c r="K757">
        <v>6</v>
      </c>
      <c r="L757" s="1">
        <v>134992.42000000001</v>
      </c>
      <c r="M757" s="1" t="str" cm="1">
        <f t="array" ref="M75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57" t="s">
        <v>62</v>
      </c>
      <c r="O757" t="s">
        <v>107</v>
      </c>
      <c r="P757" s="2" t="s">
        <v>394</v>
      </c>
      <c r="Q757">
        <v>0</v>
      </c>
      <c r="R757" t="s">
        <v>390</v>
      </c>
      <c r="S757" s="1">
        <f>electric_vehicles_dataset[[#This Row],[Units_Sold_2024]]*electric_vehicles_dataset[[#This Row],[Price_USD]]</f>
        <v>677526955.98000002</v>
      </c>
      <c r="T757">
        <v>5</v>
      </c>
      <c r="U757">
        <v>5019</v>
      </c>
      <c r="V757">
        <v>5</v>
      </c>
    </row>
    <row r="758" spans="1:22" x14ac:dyDescent="0.35">
      <c r="A758">
        <v>757</v>
      </c>
      <c r="B758" t="s">
        <v>269</v>
      </c>
      <c r="C758" t="s">
        <v>329</v>
      </c>
      <c r="D758">
        <v>2017</v>
      </c>
      <c r="E758" t="s">
        <v>58</v>
      </c>
      <c r="F758">
        <v>74.5</v>
      </c>
      <c r="G758" t="s">
        <v>351</v>
      </c>
      <c r="H758">
        <f>electric_vehicles_dataset[[#This Row],[Battery_Capacity_kWh]]/electric_vehicles_dataset[[#This Row],[Range_km]]</f>
        <v>0.13977485928705441</v>
      </c>
      <c r="I758">
        <v>533</v>
      </c>
      <c r="J758" t="s">
        <v>48</v>
      </c>
      <c r="K758">
        <v>1</v>
      </c>
      <c r="L758" s="1">
        <v>106497.38</v>
      </c>
      <c r="M758" s="1" t="str" cm="1">
        <f t="array" ref="M75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58" t="s">
        <v>279</v>
      </c>
      <c r="O758" t="s">
        <v>89</v>
      </c>
      <c r="P758" s="2" t="s">
        <v>389</v>
      </c>
      <c r="Q758">
        <v>0</v>
      </c>
      <c r="R758" t="s">
        <v>390</v>
      </c>
      <c r="S758" s="1">
        <f>electric_vehicles_dataset[[#This Row],[Units_Sold_2024]]*electric_vehicles_dataset[[#This Row],[Price_USD]]</f>
        <v>58147569.480000004</v>
      </c>
      <c r="T758">
        <v>3</v>
      </c>
      <c r="U758">
        <v>546</v>
      </c>
      <c r="V758">
        <v>4</v>
      </c>
    </row>
    <row r="759" spans="1:22" x14ac:dyDescent="0.35">
      <c r="A759">
        <v>758</v>
      </c>
      <c r="B759" t="s">
        <v>94</v>
      </c>
      <c r="C759" t="s">
        <v>294</v>
      </c>
      <c r="D759">
        <v>2017</v>
      </c>
      <c r="E759" t="s">
        <v>53</v>
      </c>
      <c r="F759">
        <v>148.19999999999999</v>
      </c>
      <c r="G759" t="s">
        <v>386</v>
      </c>
      <c r="H759">
        <f>electric_vehicles_dataset[[#This Row],[Battery_Capacity_kWh]]/electric_vehicles_dataset[[#This Row],[Range_km]]</f>
        <v>0.31599147121535182</v>
      </c>
      <c r="I759">
        <v>469</v>
      </c>
      <c r="J759" t="s">
        <v>149</v>
      </c>
      <c r="K759">
        <v>6</v>
      </c>
      <c r="L759" s="1">
        <v>142865.42000000001</v>
      </c>
      <c r="M759" s="1" t="str" cm="1">
        <f t="array" ref="M75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59" t="s">
        <v>253</v>
      </c>
      <c r="O759" t="s">
        <v>169</v>
      </c>
      <c r="P759" s="2" t="s">
        <v>394</v>
      </c>
      <c r="Q759">
        <v>5</v>
      </c>
      <c r="R759" t="s">
        <v>392</v>
      </c>
      <c r="S759" s="1">
        <f>electric_vehicles_dataset[[#This Row],[Units_Sold_2024]]*electric_vehicles_dataset[[#This Row],[Price_USD]]</f>
        <v>690468574.86000001</v>
      </c>
      <c r="T759">
        <v>5</v>
      </c>
      <c r="U759">
        <v>4833</v>
      </c>
      <c r="V759">
        <v>5</v>
      </c>
    </row>
    <row r="760" spans="1:22" x14ac:dyDescent="0.35">
      <c r="A760">
        <v>759</v>
      </c>
      <c r="B760" t="s">
        <v>122</v>
      </c>
      <c r="C760" t="s">
        <v>186</v>
      </c>
      <c r="D760">
        <v>2017</v>
      </c>
      <c r="E760" t="s">
        <v>130</v>
      </c>
      <c r="F760">
        <v>25.8</v>
      </c>
      <c r="G760" t="s">
        <v>357</v>
      </c>
      <c r="H760">
        <f>electric_vehicles_dataset[[#This Row],[Battery_Capacity_kWh]]/electric_vehicles_dataset[[#This Row],[Range_km]]</f>
        <v>6.2773722627737227E-2</v>
      </c>
      <c r="I760">
        <v>411</v>
      </c>
      <c r="J760" t="s">
        <v>359</v>
      </c>
      <c r="K760">
        <v>8</v>
      </c>
      <c r="L760" s="1">
        <v>79110.179999999993</v>
      </c>
      <c r="M760" s="1" t="str" cm="1">
        <f t="array" ref="M76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60" t="s">
        <v>238</v>
      </c>
      <c r="O760" t="s">
        <v>115</v>
      </c>
      <c r="P760" s="2" t="s">
        <v>396</v>
      </c>
      <c r="Q760">
        <v>4</v>
      </c>
      <c r="R760" t="s">
        <v>392</v>
      </c>
      <c r="S760" s="1">
        <f>electric_vehicles_dataset[[#This Row],[Units_Sold_2024]]*electric_vehicles_dataset[[#This Row],[Price_USD]]</f>
        <v>223169817.77999997</v>
      </c>
      <c r="T760">
        <v>5</v>
      </c>
      <c r="U760">
        <v>2821</v>
      </c>
      <c r="V760">
        <v>5</v>
      </c>
    </row>
    <row r="761" spans="1:22" x14ac:dyDescent="0.35">
      <c r="A761">
        <v>760</v>
      </c>
      <c r="B761" t="s">
        <v>45</v>
      </c>
      <c r="C761" t="s">
        <v>132</v>
      </c>
      <c r="D761">
        <v>2016</v>
      </c>
      <c r="E761" t="s">
        <v>53</v>
      </c>
      <c r="F761">
        <v>31.8</v>
      </c>
      <c r="G761" t="s">
        <v>357</v>
      </c>
      <c r="H761">
        <f>electric_vehicles_dataset[[#This Row],[Battery_Capacity_kWh]]/electric_vehicles_dataset[[#This Row],[Range_km]]</f>
        <v>6.7230443974630016E-2</v>
      </c>
      <c r="I761">
        <v>473</v>
      </c>
      <c r="J761" t="s">
        <v>364</v>
      </c>
      <c r="K761">
        <v>3</v>
      </c>
      <c r="L761" s="1">
        <v>100937.82</v>
      </c>
      <c r="M761" s="1" t="str" cm="1">
        <f t="array" ref="M76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61" t="s">
        <v>301</v>
      </c>
      <c r="O761" t="s">
        <v>23</v>
      </c>
      <c r="P761" s="2" t="s">
        <v>389</v>
      </c>
      <c r="Q761">
        <v>1</v>
      </c>
      <c r="R761" t="s">
        <v>391</v>
      </c>
      <c r="S761" s="1">
        <f>electric_vehicles_dataset[[#This Row],[Units_Sold_2024]]*electric_vehicles_dataset[[#This Row],[Price_USD]]</f>
        <v>815981336.88000011</v>
      </c>
      <c r="T761">
        <v>5</v>
      </c>
      <c r="U761">
        <v>8084</v>
      </c>
      <c r="V761">
        <v>4</v>
      </c>
    </row>
    <row r="762" spans="1:22" x14ac:dyDescent="0.35">
      <c r="A762">
        <v>761</v>
      </c>
      <c r="B762" t="s">
        <v>94</v>
      </c>
      <c r="C762" t="s">
        <v>360</v>
      </c>
      <c r="D762">
        <v>2018</v>
      </c>
      <c r="E762" t="s">
        <v>17</v>
      </c>
      <c r="F762">
        <v>118.3</v>
      </c>
      <c r="G762" t="s">
        <v>361</v>
      </c>
      <c r="H762">
        <f>electric_vehicles_dataset[[#This Row],[Battery_Capacity_kWh]]/electric_vehicles_dataset[[#This Row],[Range_km]]</f>
        <v>0.70838323353293409</v>
      </c>
      <c r="I762">
        <v>167</v>
      </c>
      <c r="J762" t="s">
        <v>54</v>
      </c>
      <c r="K762">
        <v>1</v>
      </c>
      <c r="L762" s="1">
        <v>114709.68</v>
      </c>
      <c r="M762" s="1" t="str" cm="1">
        <f t="array" ref="M76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62" t="s">
        <v>229</v>
      </c>
      <c r="O762" t="s">
        <v>134</v>
      </c>
      <c r="P762" s="2" t="s">
        <v>389</v>
      </c>
      <c r="Q762">
        <v>1</v>
      </c>
      <c r="R762" t="s">
        <v>391</v>
      </c>
      <c r="S762" s="1">
        <f>electric_vehicles_dataset[[#This Row],[Units_Sold_2024]]*electric_vehicles_dataset[[#This Row],[Price_USD]]</f>
        <v>1025389829.52</v>
      </c>
      <c r="T762">
        <v>3</v>
      </c>
      <c r="U762">
        <v>8939</v>
      </c>
      <c r="V762">
        <v>3</v>
      </c>
    </row>
    <row r="763" spans="1:22" x14ac:dyDescent="0.35">
      <c r="A763">
        <v>762</v>
      </c>
      <c r="B763" t="s">
        <v>120</v>
      </c>
      <c r="C763" t="s">
        <v>195</v>
      </c>
      <c r="D763">
        <v>2019</v>
      </c>
      <c r="E763" t="s">
        <v>17</v>
      </c>
      <c r="F763">
        <v>77.099999999999994</v>
      </c>
      <c r="G763" t="s">
        <v>351</v>
      </c>
      <c r="H763">
        <f>electric_vehicles_dataset[[#This Row],[Battery_Capacity_kWh]]/electric_vehicles_dataset[[#This Row],[Range_km]]</f>
        <v>0.52448979591836731</v>
      </c>
      <c r="I763">
        <v>147</v>
      </c>
      <c r="J763" t="s">
        <v>356</v>
      </c>
      <c r="K763">
        <v>5</v>
      </c>
      <c r="L763" s="1">
        <v>73633.58</v>
      </c>
      <c r="M763" s="1" t="str" cm="1">
        <f t="array" ref="M76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63" t="s">
        <v>168</v>
      </c>
      <c r="O763" t="s">
        <v>121</v>
      </c>
      <c r="P763" s="2" t="s">
        <v>398</v>
      </c>
      <c r="Q763">
        <v>5</v>
      </c>
      <c r="R763" t="s">
        <v>392</v>
      </c>
      <c r="S763" s="1">
        <f>electric_vehicles_dataset[[#This Row],[Units_Sold_2024]]*electric_vehicles_dataset[[#This Row],[Price_USD]]</f>
        <v>930507550.46000004</v>
      </c>
      <c r="T763">
        <v>5</v>
      </c>
      <c r="U763">
        <v>12637</v>
      </c>
      <c r="V763">
        <v>3</v>
      </c>
    </row>
    <row r="764" spans="1:22" x14ac:dyDescent="0.35">
      <c r="A764">
        <v>763</v>
      </c>
      <c r="B764" t="s">
        <v>82</v>
      </c>
      <c r="C764" t="s">
        <v>83</v>
      </c>
      <c r="D764">
        <v>2021</v>
      </c>
      <c r="E764" t="s">
        <v>104</v>
      </c>
      <c r="F764">
        <v>104</v>
      </c>
      <c r="G764" t="s">
        <v>361</v>
      </c>
      <c r="H764">
        <f>electric_vehicles_dataset[[#This Row],[Battery_Capacity_kWh]]/electric_vehicles_dataset[[#This Row],[Range_km]]</f>
        <v>0.23162583518930957</v>
      </c>
      <c r="I764">
        <v>449</v>
      </c>
      <c r="J764" t="s">
        <v>54</v>
      </c>
      <c r="K764">
        <v>3</v>
      </c>
      <c r="L764" s="1">
        <v>113958.46</v>
      </c>
      <c r="M764" s="1" t="str" cm="1">
        <f t="array" ref="M7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64" t="s">
        <v>246</v>
      </c>
      <c r="O764" t="s">
        <v>354</v>
      </c>
      <c r="P764" s="2" t="s">
        <v>394</v>
      </c>
      <c r="Q764">
        <v>2</v>
      </c>
      <c r="R764" t="s">
        <v>391</v>
      </c>
      <c r="S764" s="1">
        <f>electric_vehicles_dataset[[#This Row],[Units_Sold_2024]]*electric_vehicles_dataset[[#This Row],[Price_USD]]</f>
        <v>814916947.46000004</v>
      </c>
      <c r="T764">
        <v>4</v>
      </c>
      <c r="U764">
        <v>7151</v>
      </c>
      <c r="V764">
        <v>4</v>
      </c>
    </row>
    <row r="765" spans="1:22" x14ac:dyDescent="0.35">
      <c r="A765">
        <v>764</v>
      </c>
      <c r="B765" t="s">
        <v>180</v>
      </c>
      <c r="C765" t="s">
        <v>285</v>
      </c>
      <c r="D765">
        <v>2016</v>
      </c>
      <c r="E765" t="s">
        <v>47</v>
      </c>
      <c r="F765">
        <v>105.6</v>
      </c>
      <c r="G765" t="s">
        <v>361</v>
      </c>
      <c r="H765">
        <f>electric_vehicles_dataset[[#This Row],[Battery_Capacity_kWh]]/electric_vehicles_dataset[[#This Row],[Range_km]]</f>
        <v>0.54153846153846152</v>
      </c>
      <c r="I765">
        <v>195</v>
      </c>
      <c r="J765" t="s">
        <v>356</v>
      </c>
      <c r="K765">
        <v>2</v>
      </c>
      <c r="L765" s="1">
        <v>100418.49</v>
      </c>
      <c r="M765" s="1" t="str" cm="1">
        <f t="array" ref="M76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65" t="s">
        <v>165</v>
      </c>
      <c r="O765" t="s">
        <v>182</v>
      </c>
      <c r="P765" s="2" t="s">
        <v>394</v>
      </c>
      <c r="Q765">
        <v>4</v>
      </c>
      <c r="R765" t="s">
        <v>392</v>
      </c>
      <c r="S765" s="1">
        <f>electric_vehicles_dataset[[#This Row],[Units_Sold_2024]]*electric_vehicles_dataset[[#This Row],[Price_USD]]</f>
        <v>1180821023.9100001</v>
      </c>
      <c r="T765">
        <v>3</v>
      </c>
      <c r="U765">
        <v>11759</v>
      </c>
      <c r="V765">
        <v>3</v>
      </c>
    </row>
    <row r="766" spans="1:22" x14ac:dyDescent="0.35">
      <c r="A766">
        <v>765</v>
      </c>
      <c r="B766" t="s">
        <v>220</v>
      </c>
      <c r="C766" t="s">
        <v>274</v>
      </c>
      <c r="D766">
        <v>2022</v>
      </c>
      <c r="E766" t="s">
        <v>104</v>
      </c>
      <c r="F766">
        <v>63.8</v>
      </c>
      <c r="G766" t="s">
        <v>351</v>
      </c>
      <c r="H766">
        <f>electric_vehicles_dataset[[#This Row],[Battery_Capacity_kWh]]/electric_vehicles_dataset[[#This Row],[Range_km]]</f>
        <v>0.11352313167259787</v>
      </c>
      <c r="I766">
        <v>562</v>
      </c>
      <c r="J766" t="s">
        <v>48</v>
      </c>
      <c r="K766">
        <v>3</v>
      </c>
      <c r="L766" s="1">
        <v>72960.539999999994</v>
      </c>
      <c r="M766" s="1" t="str" cm="1">
        <f t="array" ref="M76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66" t="s">
        <v>177</v>
      </c>
      <c r="O766" t="s">
        <v>40</v>
      </c>
      <c r="P766" s="2" t="s">
        <v>395</v>
      </c>
      <c r="Q766">
        <v>0</v>
      </c>
      <c r="R766" t="s">
        <v>390</v>
      </c>
      <c r="S766" s="1">
        <f>electric_vehicles_dataset[[#This Row],[Units_Sold_2024]]*electric_vehicles_dataset[[#This Row],[Price_USD]]</f>
        <v>1376984271.4199998</v>
      </c>
      <c r="T766">
        <v>5</v>
      </c>
      <c r="U766">
        <v>18873</v>
      </c>
      <c r="V766">
        <v>5</v>
      </c>
    </row>
    <row r="767" spans="1:22" x14ac:dyDescent="0.35">
      <c r="A767">
        <v>766</v>
      </c>
      <c r="B767" t="s">
        <v>222</v>
      </c>
      <c r="C767" t="s">
        <v>295</v>
      </c>
      <c r="D767">
        <v>2022</v>
      </c>
      <c r="E767" t="s">
        <v>26</v>
      </c>
      <c r="F767">
        <v>51.7</v>
      </c>
      <c r="G767" t="s">
        <v>348</v>
      </c>
      <c r="H767">
        <f>electric_vehicles_dataset[[#This Row],[Battery_Capacity_kWh]]/electric_vehicles_dataset[[#This Row],[Range_km]]</f>
        <v>0.11</v>
      </c>
      <c r="I767">
        <v>470</v>
      </c>
      <c r="J767" t="s">
        <v>149</v>
      </c>
      <c r="K767">
        <v>7</v>
      </c>
      <c r="L767" s="1">
        <v>87906.91</v>
      </c>
      <c r="M767" s="1" t="str" cm="1">
        <f t="array" ref="M76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67" t="s">
        <v>253</v>
      </c>
      <c r="O767" t="s">
        <v>111</v>
      </c>
      <c r="P767" s="2" t="s">
        <v>389</v>
      </c>
      <c r="Q767">
        <v>0</v>
      </c>
      <c r="R767" t="s">
        <v>390</v>
      </c>
      <c r="S767" s="1">
        <f>electric_vehicles_dataset[[#This Row],[Units_Sold_2024]]*electric_vehicles_dataset[[#This Row],[Price_USD]]</f>
        <v>310663019.94</v>
      </c>
      <c r="T767">
        <v>5</v>
      </c>
      <c r="U767">
        <v>3534</v>
      </c>
      <c r="V767">
        <v>4</v>
      </c>
    </row>
    <row r="768" spans="1:22" x14ac:dyDescent="0.35">
      <c r="A768">
        <v>767</v>
      </c>
      <c r="B768" t="s">
        <v>222</v>
      </c>
      <c r="C768" t="s">
        <v>232</v>
      </c>
      <c r="D768">
        <v>2024</v>
      </c>
      <c r="E768" t="s">
        <v>42</v>
      </c>
      <c r="F768">
        <v>97.1</v>
      </c>
      <c r="G768" t="s">
        <v>350</v>
      </c>
      <c r="H768">
        <f>electric_vehicles_dataset[[#This Row],[Battery_Capacity_kWh]]/electric_vehicles_dataset[[#This Row],[Range_km]]</f>
        <v>0.53060109289617485</v>
      </c>
      <c r="I768">
        <v>183</v>
      </c>
      <c r="J768" t="s">
        <v>85</v>
      </c>
      <c r="K768">
        <v>11</v>
      </c>
      <c r="L768" s="1">
        <v>136391.43</v>
      </c>
      <c r="M768" s="1" t="str" cm="1">
        <f t="array" ref="M76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68" t="s">
        <v>35</v>
      </c>
      <c r="O768" t="s">
        <v>121</v>
      </c>
      <c r="P768" s="2" t="s">
        <v>398</v>
      </c>
      <c r="Q768">
        <v>4</v>
      </c>
      <c r="R768" t="s">
        <v>392</v>
      </c>
      <c r="S768" s="1">
        <f>electric_vehicles_dataset[[#This Row],[Units_Sold_2024]]*electric_vehicles_dataset[[#This Row],[Price_USD]]</f>
        <v>240321699.66</v>
      </c>
      <c r="T768">
        <v>4</v>
      </c>
      <c r="U768">
        <v>1762</v>
      </c>
      <c r="V768">
        <v>3</v>
      </c>
    </row>
    <row r="769" spans="1:22" x14ac:dyDescent="0.35">
      <c r="A769">
        <v>768</v>
      </c>
      <c r="B769" t="s">
        <v>234</v>
      </c>
      <c r="C769" t="s">
        <v>235</v>
      </c>
      <c r="D769">
        <v>2020</v>
      </c>
      <c r="E769" t="s">
        <v>130</v>
      </c>
      <c r="F769">
        <v>71.5</v>
      </c>
      <c r="G769" t="s">
        <v>351</v>
      </c>
      <c r="H769">
        <f>electric_vehicles_dataset[[#This Row],[Battery_Capacity_kWh]]/electric_vehicles_dataset[[#This Row],[Range_km]]</f>
        <v>0.21343283582089553</v>
      </c>
      <c r="I769">
        <v>335</v>
      </c>
      <c r="J769" t="s">
        <v>76</v>
      </c>
      <c r="K769">
        <v>8</v>
      </c>
      <c r="L769" s="1">
        <v>54048.78</v>
      </c>
      <c r="M769" s="1" t="str" cm="1">
        <f t="array" ref="M76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69" t="s">
        <v>229</v>
      </c>
      <c r="O769" t="s">
        <v>111</v>
      </c>
      <c r="P769" s="2" t="s">
        <v>389</v>
      </c>
      <c r="Q769">
        <v>1</v>
      </c>
      <c r="R769" t="s">
        <v>391</v>
      </c>
      <c r="S769" s="1">
        <f>electric_vehicles_dataset[[#This Row],[Units_Sold_2024]]*electric_vehicles_dataset[[#This Row],[Price_USD]]</f>
        <v>433417166.81999999</v>
      </c>
      <c r="T769">
        <v>3</v>
      </c>
      <c r="U769">
        <v>8019</v>
      </c>
      <c r="V769">
        <v>3</v>
      </c>
    </row>
    <row r="770" spans="1:22" x14ac:dyDescent="0.35">
      <c r="A770">
        <v>769</v>
      </c>
      <c r="B770" t="s">
        <v>94</v>
      </c>
      <c r="C770" t="s">
        <v>360</v>
      </c>
      <c r="D770">
        <v>2020</v>
      </c>
      <c r="E770" t="s">
        <v>84</v>
      </c>
      <c r="F770">
        <v>82.1</v>
      </c>
      <c r="G770" t="s">
        <v>350</v>
      </c>
      <c r="H770">
        <f>electric_vehicles_dataset[[#This Row],[Battery_Capacity_kWh]]/electric_vehicles_dataset[[#This Row],[Range_km]]</f>
        <v>0.297463768115942</v>
      </c>
      <c r="I770">
        <v>276</v>
      </c>
      <c r="J770" t="s">
        <v>48</v>
      </c>
      <c r="K770">
        <v>6</v>
      </c>
      <c r="L770" s="1">
        <v>112414.37</v>
      </c>
      <c r="M770" s="1" t="str" cm="1">
        <f t="array" ref="M77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70" t="s">
        <v>35</v>
      </c>
      <c r="O770" t="s">
        <v>124</v>
      </c>
      <c r="P770" s="2" t="s">
        <v>389</v>
      </c>
      <c r="Q770">
        <v>5</v>
      </c>
      <c r="R770" t="s">
        <v>392</v>
      </c>
      <c r="S770" s="1">
        <f>electric_vehicles_dataset[[#This Row],[Units_Sold_2024]]*electric_vehicles_dataset[[#This Row],[Price_USD]]</f>
        <v>352868707.43000001</v>
      </c>
      <c r="T770">
        <v>3</v>
      </c>
      <c r="U770">
        <v>3139</v>
      </c>
      <c r="V770">
        <v>4</v>
      </c>
    </row>
    <row r="771" spans="1:22" x14ac:dyDescent="0.35">
      <c r="A771">
        <v>770</v>
      </c>
      <c r="B771" t="s">
        <v>60</v>
      </c>
      <c r="C771" t="s">
        <v>166</v>
      </c>
      <c r="D771">
        <v>2017</v>
      </c>
      <c r="E771" t="s">
        <v>42</v>
      </c>
      <c r="F771">
        <v>120.5</v>
      </c>
      <c r="G771" t="s">
        <v>352</v>
      </c>
      <c r="H771">
        <f>electric_vehicles_dataset[[#This Row],[Battery_Capacity_kWh]]/electric_vehicles_dataset[[#This Row],[Range_km]]</f>
        <v>0.21556350626118068</v>
      </c>
      <c r="I771">
        <v>559</v>
      </c>
      <c r="J771" t="s">
        <v>54</v>
      </c>
      <c r="K771">
        <v>10</v>
      </c>
      <c r="L771" s="1">
        <v>117644.65</v>
      </c>
      <c r="M771" s="1" t="str" cm="1">
        <f t="array" ref="M77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71" t="s">
        <v>196</v>
      </c>
      <c r="O771" t="s">
        <v>139</v>
      </c>
      <c r="P771" s="2" t="s">
        <v>389</v>
      </c>
      <c r="Q771">
        <v>0</v>
      </c>
      <c r="R771" t="s">
        <v>390</v>
      </c>
      <c r="S771" s="1">
        <f>electric_vehicles_dataset[[#This Row],[Units_Sold_2024]]*electric_vehicles_dataset[[#This Row],[Price_USD]]</f>
        <v>103644936.64999999</v>
      </c>
      <c r="T771">
        <v>5</v>
      </c>
      <c r="U771">
        <v>881</v>
      </c>
      <c r="V771">
        <v>3</v>
      </c>
    </row>
    <row r="772" spans="1:22" x14ac:dyDescent="0.35">
      <c r="A772">
        <v>771</v>
      </c>
      <c r="B772" t="s">
        <v>157</v>
      </c>
      <c r="C772" t="s">
        <v>296</v>
      </c>
      <c r="D772">
        <v>2018</v>
      </c>
      <c r="E772" t="s">
        <v>104</v>
      </c>
      <c r="F772">
        <v>67.099999999999994</v>
      </c>
      <c r="G772" t="s">
        <v>351</v>
      </c>
      <c r="H772">
        <f>electric_vehicles_dataset[[#This Row],[Battery_Capacity_kWh]]/electric_vehicles_dataset[[#This Row],[Range_km]]</f>
        <v>0.1884831460674157</v>
      </c>
      <c r="I772">
        <v>356</v>
      </c>
      <c r="J772" t="s">
        <v>76</v>
      </c>
      <c r="K772">
        <v>8</v>
      </c>
      <c r="L772" s="1">
        <v>120202.14</v>
      </c>
      <c r="M772" s="1" t="str" cm="1">
        <f t="array" ref="M77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72" t="s">
        <v>228</v>
      </c>
      <c r="O772" t="s">
        <v>159</v>
      </c>
      <c r="P772" s="2" t="s">
        <v>389</v>
      </c>
      <c r="Q772">
        <v>0</v>
      </c>
      <c r="R772" t="s">
        <v>390</v>
      </c>
      <c r="S772" s="1">
        <f>electric_vehicles_dataset[[#This Row],[Units_Sold_2024]]*electric_vehicles_dataset[[#This Row],[Price_USD]]</f>
        <v>365654909.88</v>
      </c>
      <c r="T772">
        <v>4</v>
      </c>
      <c r="U772">
        <v>3042</v>
      </c>
      <c r="V772">
        <v>4</v>
      </c>
    </row>
    <row r="773" spans="1:22" x14ac:dyDescent="0.35">
      <c r="A773">
        <v>772</v>
      </c>
      <c r="B773" t="s">
        <v>24</v>
      </c>
      <c r="C773" t="s">
        <v>328</v>
      </c>
      <c r="D773">
        <v>2021</v>
      </c>
      <c r="E773" t="s">
        <v>101</v>
      </c>
      <c r="F773">
        <v>57</v>
      </c>
      <c r="G773" t="s">
        <v>348</v>
      </c>
      <c r="H773">
        <f>electric_vehicles_dataset[[#This Row],[Battery_Capacity_kWh]]/electric_vehicles_dataset[[#This Row],[Range_km]]</f>
        <v>0.1912751677852349</v>
      </c>
      <c r="I773">
        <v>298</v>
      </c>
      <c r="J773" t="s">
        <v>356</v>
      </c>
      <c r="K773">
        <v>1</v>
      </c>
      <c r="L773" s="1">
        <v>145021.53</v>
      </c>
      <c r="M773" s="1" t="str" cm="1">
        <f t="array" ref="M77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73" t="s">
        <v>70</v>
      </c>
      <c r="O773" t="s">
        <v>86</v>
      </c>
      <c r="P773" s="2" t="s">
        <v>389</v>
      </c>
      <c r="Q773">
        <v>5</v>
      </c>
      <c r="R773" t="s">
        <v>392</v>
      </c>
      <c r="S773" s="1">
        <f>electric_vehicles_dataset[[#This Row],[Units_Sold_2024]]*electric_vehicles_dataset[[#This Row],[Price_USD]]</f>
        <v>1645559300.9100001</v>
      </c>
      <c r="T773">
        <v>3</v>
      </c>
      <c r="U773">
        <v>11347</v>
      </c>
      <c r="V773">
        <v>5</v>
      </c>
    </row>
    <row r="774" spans="1:22" x14ac:dyDescent="0.35">
      <c r="A774">
        <v>773</v>
      </c>
      <c r="B774" t="s">
        <v>259</v>
      </c>
      <c r="C774" t="s">
        <v>311</v>
      </c>
      <c r="D774">
        <v>2025</v>
      </c>
      <c r="E774" t="s">
        <v>26</v>
      </c>
      <c r="F774">
        <v>72.599999999999994</v>
      </c>
      <c r="G774" t="s">
        <v>351</v>
      </c>
      <c r="H774">
        <f>electric_vehicles_dataset[[#This Row],[Battery_Capacity_kWh]]/electric_vehicles_dataset[[#This Row],[Range_km]]</f>
        <v>0.1415204678362573</v>
      </c>
      <c r="I774">
        <v>513</v>
      </c>
      <c r="J774" t="s">
        <v>76</v>
      </c>
      <c r="K774">
        <v>2</v>
      </c>
      <c r="L774" s="1">
        <v>45448.74</v>
      </c>
      <c r="M774" s="1" t="str" cm="1">
        <f t="array" ref="M7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74" t="s">
        <v>246</v>
      </c>
      <c r="O774" t="s">
        <v>110</v>
      </c>
      <c r="P774" s="2" t="s">
        <v>394</v>
      </c>
      <c r="Q774">
        <v>0</v>
      </c>
      <c r="R774" t="s">
        <v>390</v>
      </c>
      <c r="S774" s="1">
        <f>electric_vehicles_dataset[[#This Row],[Units_Sold_2024]]*electric_vehicles_dataset[[#This Row],[Price_USD]]</f>
        <v>629146907.81999993</v>
      </c>
      <c r="T774">
        <v>4</v>
      </c>
      <c r="U774">
        <v>13843</v>
      </c>
      <c r="V774">
        <v>3</v>
      </c>
    </row>
    <row r="775" spans="1:22" x14ac:dyDescent="0.35">
      <c r="A775">
        <v>774</v>
      </c>
      <c r="B775" t="s">
        <v>234</v>
      </c>
      <c r="C775" t="s">
        <v>235</v>
      </c>
      <c r="D775">
        <v>2019</v>
      </c>
      <c r="E775" t="s">
        <v>17</v>
      </c>
      <c r="F775">
        <v>102.4</v>
      </c>
      <c r="G775" t="s">
        <v>361</v>
      </c>
      <c r="H775">
        <f>electric_vehicles_dataset[[#This Row],[Battery_Capacity_kWh]]/electric_vehicles_dataset[[#This Row],[Range_km]]</f>
        <v>0.2503667481662592</v>
      </c>
      <c r="I775">
        <v>409</v>
      </c>
      <c r="J775" t="s">
        <v>345</v>
      </c>
      <c r="K775">
        <v>6</v>
      </c>
      <c r="L775" s="1">
        <v>123720.42</v>
      </c>
      <c r="M775" s="1" t="str" cm="1">
        <f t="array" ref="M7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75" t="s">
        <v>66</v>
      </c>
      <c r="O775" t="s">
        <v>50</v>
      </c>
      <c r="P775" s="2" t="s">
        <v>396</v>
      </c>
      <c r="Q775">
        <v>2</v>
      </c>
      <c r="R775" t="s">
        <v>391</v>
      </c>
      <c r="S775" s="1">
        <f>electric_vehicles_dataset[[#This Row],[Units_Sold_2024]]*electric_vehicles_dataset[[#This Row],[Price_USD]]</f>
        <v>2155580877.6599998</v>
      </c>
      <c r="T775">
        <v>4</v>
      </c>
      <c r="U775">
        <v>17423</v>
      </c>
      <c r="V775">
        <v>4</v>
      </c>
    </row>
    <row r="776" spans="1:22" x14ac:dyDescent="0.35">
      <c r="A776">
        <v>775</v>
      </c>
      <c r="B776" t="s">
        <v>94</v>
      </c>
      <c r="C776" t="s">
        <v>99</v>
      </c>
      <c r="D776">
        <v>2017</v>
      </c>
      <c r="E776" t="s">
        <v>84</v>
      </c>
      <c r="F776">
        <v>63.8</v>
      </c>
      <c r="G776" t="s">
        <v>351</v>
      </c>
      <c r="H776">
        <f>electric_vehicles_dataset[[#This Row],[Battery_Capacity_kWh]]/electric_vehicles_dataset[[#This Row],[Range_km]]</f>
        <v>0.11038062283737024</v>
      </c>
      <c r="I776">
        <v>578</v>
      </c>
      <c r="J776" t="s">
        <v>105</v>
      </c>
      <c r="K776">
        <v>3</v>
      </c>
      <c r="L776" s="1">
        <v>127540.21</v>
      </c>
      <c r="M776" s="1" t="str" cm="1">
        <f t="array" ref="M77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76" t="s">
        <v>254</v>
      </c>
      <c r="O776" t="s">
        <v>40</v>
      </c>
      <c r="P776" s="2" t="s">
        <v>395</v>
      </c>
      <c r="Q776">
        <v>3</v>
      </c>
      <c r="R776" t="s">
        <v>397</v>
      </c>
      <c r="S776" s="1">
        <f>electric_vehicles_dataset[[#This Row],[Units_Sold_2024]]*electric_vehicles_dataset[[#This Row],[Price_USD]]</f>
        <v>1923433907.01</v>
      </c>
      <c r="T776">
        <v>4</v>
      </c>
      <c r="U776">
        <v>15081</v>
      </c>
      <c r="V776">
        <v>4</v>
      </c>
    </row>
    <row r="777" spans="1:22" x14ac:dyDescent="0.35">
      <c r="A777">
        <v>776</v>
      </c>
      <c r="B777" t="s">
        <v>71</v>
      </c>
      <c r="C777" t="s">
        <v>255</v>
      </c>
      <c r="D777">
        <v>2025</v>
      </c>
      <c r="E777" t="s">
        <v>104</v>
      </c>
      <c r="F777">
        <v>52.8</v>
      </c>
      <c r="G777" t="s">
        <v>348</v>
      </c>
      <c r="H777">
        <f>electric_vehicles_dataset[[#This Row],[Battery_Capacity_kWh]]/electric_vehicles_dataset[[#This Row],[Range_km]]</f>
        <v>0.19411764705882351</v>
      </c>
      <c r="I777">
        <v>272</v>
      </c>
      <c r="J777" t="s">
        <v>54</v>
      </c>
      <c r="K777">
        <v>9</v>
      </c>
      <c r="L777" s="1">
        <v>32823.64</v>
      </c>
      <c r="M777" s="1" t="str" cm="1">
        <f t="array" ref="M77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77" t="s">
        <v>49</v>
      </c>
      <c r="O777" t="s">
        <v>86</v>
      </c>
      <c r="P777" s="2" t="s">
        <v>389</v>
      </c>
      <c r="Q777">
        <v>3</v>
      </c>
      <c r="R777" t="s">
        <v>397</v>
      </c>
      <c r="S777" s="1">
        <f>electric_vehicles_dataset[[#This Row],[Units_Sold_2024]]*electric_vehicles_dataset[[#This Row],[Price_USD]]</f>
        <v>38305187.880000003</v>
      </c>
      <c r="T777">
        <v>5</v>
      </c>
      <c r="U777">
        <v>1167</v>
      </c>
      <c r="V777">
        <v>5</v>
      </c>
    </row>
    <row r="778" spans="1:22" x14ac:dyDescent="0.35">
      <c r="A778">
        <v>777</v>
      </c>
      <c r="B778" t="s">
        <v>64</v>
      </c>
      <c r="C778" t="s">
        <v>65</v>
      </c>
      <c r="D778">
        <v>2015</v>
      </c>
      <c r="E778" t="s">
        <v>47</v>
      </c>
      <c r="F778">
        <v>116</v>
      </c>
      <c r="G778" t="s">
        <v>361</v>
      </c>
      <c r="H778">
        <f>electric_vehicles_dataset[[#This Row],[Battery_Capacity_kWh]]/electric_vehicles_dataset[[#This Row],[Range_km]]</f>
        <v>0.51101321585903081</v>
      </c>
      <c r="I778">
        <v>227</v>
      </c>
      <c r="J778" t="s">
        <v>85</v>
      </c>
      <c r="K778">
        <v>2</v>
      </c>
      <c r="L778" s="1">
        <v>41348.71</v>
      </c>
      <c r="M778" s="1" t="str" cm="1">
        <f t="array" ref="M77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78" t="s">
        <v>254</v>
      </c>
      <c r="O778" t="s">
        <v>44</v>
      </c>
      <c r="P778" s="2" t="s">
        <v>389</v>
      </c>
      <c r="Q778">
        <v>3</v>
      </c>
      <c r="R778" t="s">
        <v>397</v>
      </c>
      <c r="S778" s="1">
        <f>electric_vehicles_dataset[[#This Row],[Units_Sold_2024]]*electric_vehicles_dataset[[#This Row],[Price_USD]]</f>
        <v>330706982.57999998</v>
      </c>
      <c r="T778">
        <v>4</v>
      </c>
      <c r="U778">
        <v>7998</v>
      </c>
      <c r="V778">
        <v>5</v>
      </c>
    </row>
    <row r="779" spans="1:22" x14ac:dyDescent="0.35">
      <c r="A779">
        <v>778</v>
      </c>
      <c r="B779" t="s">
        <v>241</v>
      </c>
      <c r="C779" t="s">
        <v>247</v>
      </c>
      <c r="D779">
        <v>2024</v>
      </c>
      <c r="E779" t="s">
        <v>130</v>
      </c>
      <c r="F779">
        <v>25.3</v>
      </c>
      <c r="G779" t="s">
        <v>357</v>
      </c>
      <c r="H779">
        <f>electric_vehicles_dataset[[#This Row],[Battery_Capacity_kWh]]/electric_vehicles_dataset[[#This Row],[Range_km]]</f>
        <v>9.4756554307116103E-2</v>
      </c>
      <c r="I779">
        <v>267</v>
      </c>
      <c r="J779" t="s">
        <v>149</v>
      </c>
      <c r="K779">
        <v>1</v>
      </c>
      <c r="L779" s="1">
        <v>103122.42</v>
      </c>
      <c r="M779" s="1" t="str" cm="1">
        <f t="array" ref="M77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79" t="s">
        <v>254</v>
      </c>
      <c r="O779" t="s">
        <v>93</v>
      </c>
      <c r="P779" s="2" t="s">
        <v>389</v>
      </c>
      <c r="Q779">
        <v>5</v>
      </c>
      <c r="R779" t="s">
        <v>392</v>
      </c>
      <c r="S779" s="1">
        <f>electric_vehicles_dataset[[#This Row],[Units_Sold_2024]]*electric_vehicles_dataset[[#This Row],[Price_USD]]</f>
        <v>1020396345.9</v>
      </c>
      <c r="T779">
        <v>5</v>
      </c>
      <c r="U779">
        <v>9895</v>
      </c>
      <c r="V779">
        <v>4</v>
      </c>
    </row>
    <row r="780" spans="1:22" x14ac:dyDescent="0.35">
      <c r="A780">
        <v>779</v>
      </c>
      <c r="B780" t="s">
        <v>36</v>
      </c>
      <c r="C780" t="s">
        <v>245</v>
      </c>
      <c r="D780">
        <v>2017</v>
      </c>
      <c r="E780" t="s">
        <v>17</v>
      </c>
      <c r="F780">
        <v>53.4</v>
      </c>
      <c r="G780" t="s">
        <v>348</v>
      </c>
      <c r="H780">
        <f>electric_vehicles_dataset[[#This Row],[Battery_Capacity_kWh]]/electric_vehicles_dataset[[#This Row],[Range_km]]</f>
        <v>0.12304147465437788</v>
      </c>
      <c r="I780">
        <v>434</v>
      </c>
      <c r="J780" t="s">
        <v>364</v>
      </c>
      <c r="K780">
        <v>10</v>
      </c>
      <c r="L780" s="1">
        <v>82012.23</v>
      </c>
      <c r="M780" s="1" t="str" cm="1">
        <f t="array" ref="M78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80" t="s">
        <v>43</v>
      </c>
      <c r="O780" t="s">
        <v>63</v>
      </c>
      <c r="P780" s="2" t="s">
        <v>389</v>
      </c>
      <c r="Q780">
        <v>2</v>
      </c>
      <c r="R780" t="s">
        <v>391</v>
      </c>
      <c r="S780" s="1">
        <f>electric_vehicles_dataset[[#This Row],[Units_Sold_2024]]*electric_vehicles_dataset[[#This Row],[Price_USD]]</f>
        <v>131219568</v>
      </c>
      <c r="T780">
        <v>3</v>
      </c>
      <c r="U780">
        <v>1600</v>
      </c>
      <c r="V780">
        <v>4</v>
      </c>
    </row>
    <row r="781" spans="1:22" x14ac:dyDescent="0.35">
      <c r="A781">
        <v>780</v>
      </c>
      <c r="B781" t="s">
        <v>261</v>
      </c>
      <c r="C781" t="s">
        <v>278</v>
      </c>
      <c r="D781">
        <v>2018</v>
      </c>
      <c r="E781" t="s">
        <v>183</v>
      </c>
      <c r="F781">
        <v>141.6</v>
      </c>
      <c r="G781" t="s">
        <v>386</v>
      </c>
      <c r="H781">
        <f>electric_vehicles_dataset[[#This Row],[Battery_Capacity_kWh]]/electric_vehicles_dataset[[#This Row],[Range_km]]</f>
        <v>0.59</v>
      </c>
      <c r="I781">
        <v>240</v>
      </c>
      <c r="J781" t="s">
        <v>85</v>
      </c>
      <c r="K781">
        <v>4</v>
      </c>
      <c r="L781" s="1">
        <v>110572.76</v>
      </c>
      <c r="M781" s="1" t="str" cm="1">
        <f t="array" ref="M78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81" t="s">
        <v>160</v>
      </c>
      <c r="O781" t="s">
        <v>164</v>
      </c>
      <c r="P781" s="2" t="s">
        <v>394</v>
      </c>
      <c r="Q781">
        <v>5</v>
      </c>
      <c r="R781" t="s">
        <v>392</v>
      </c>
      <c r="S781" s="1">
        <f>electric_vehicles_dataset[[#This Row],[Units_Sold_2024]]*electric_vehicles_dataset[[#This Row],[Price_USD]]</f>
        <v>750457322.12</v>
      </c>
      <c r="T781">
        <v>4</v>
      </c>
      <c r="U781">
        <v>6787</v>
      </c>
      <c r="V781">
        <v>3</v>
      </c>
    </row>
    <row r="782" spans="1:22" x14ac:dyDescent="0.35">
      <c r="A782">
        <v>781</v>
      </c>
      <c r="B782" t="s">
        <v>170</v>
      </c>
      <c r="C782" t="s">
        <v>275</v>
      </c>
      <c r="D782">
        <v>2025</v>
      </c>
      <c r="E782" t="s">
        <v>101</v>
      </c>
      <c r="F782">
        <v>55.7</v>
      </c>
      <c r="G782" t="s">
        <v>348</v>
      </c>
      <c r="H782">
        <f>electric_vehicles_dataset[[#This Row],[Battery_Capacity_kWh]]/electric_vehicles_dataset[[#This Row],[Range_km]]</f>
        <v>0.16577380952380955</v>
      </c>
      <c r="I782">
        <v>336</v>
      </c>
      <c r="J782" t="s">
        <v>38</v>
      </c>
      <c r="K782">
        <v>2</v>
      </c>
      <c r="L782" s="1">
        <v>56978.97</v>
      </c>
      <c r="M782" s="1" t="str" cm="1">
        <f t="array" ref="M7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82" t="s">
        <v>66</v>
      </c>
      <c r="O782" t="s">
        <v>89</v>
      </c>
      <c r="P782" s="2" t="s">
        <v>389</v>
      </c>
      <c r="Q782">
        <v>4</v>
      </c>
      <c r="R782" t="s">
        <v>392</v>
      </c>
      <c r="S782" s="1">
        <f>electric_vehicles_dataset[[#This Row],[Units_Sold_2024]]*electric_vehicles_dataset[[#This Row],[Price_USD]]</f>
        <v>1097642878.0799999</v>
      </c>
      <c r="T782">
        <v>4</v>
      </c>
      <c r="U782">
        <v>19264</v>
      </c>
      <c r="V782">
        <v>4</v>
      </c>
    </row>
    <row r="783" spans="1:22" x14ac:dyDescent="0.35">
      <c r="A783">
        <v>782</v>
      </c>
      <c r="B783" t="s">
        <v>16</v>
      </c>
      <c r="C783" t="s">
        <v>347</v>
      </c>
      <c r="D783">
        <v>2023</v>
      </c>
      <c r="E783" t="s">
        <v>42</v>
      </c>
      <c r="F783">
        <v>81.8</v>
      </c>
      <c r="G783" t="s">
        <v>350</v>
      </c>
      <c r="H783">
        <f>electric_vehicles_dataset[[#This Row],[Battery_Capacity_kWh]]/electric_vehicles_dataset[[#This Row],[Range_km]]</f>
        <v>0.21246753246753247</v>
      </c>
      <c r="I783">
        <v>385</v>
      </c>
      <c r="J783" t="s">
        <v>76</v>
      </c>
      <c r="K783">
        <v>4</v>
      </c>
      <c r="L783" s="1">
        <v>68357.14</v>
      </c>
      <c r="M783" s="1" t="str" cm="1">
        <f t="array" ref="M78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83" t="s">
        <v>257</v>
      </c>
      <c r="O783" t="s">
        <v>236</v>
      </c>
      <c r="P783" s="2" t="s">
        <v>394</v>
      </c>
      <c r="Q783">
        <v>5</v>
      </c>
      <c r="R783" t="s">
        <v>392</v>
      </c>
      <c r="S783" s="1">
        <f>electric_vehicles_dataset[[#This Row],[Units_Sold_2024]]*electric_vehicles_dataset[[#This Row],[Price_USD]]</f>
        <v>873672606.34000003</v>
      </c>
      <c r="T783">
        <v>3</v>
      </c>
      <c r="U783">
        <v>12781</v>
      </c>
      <c r="V783">
        <v>4</v>
      </c>
    </row>
    <row r="784" spans="1:22" x14ac:dyDescent="0.35">
      <c r="A784">
        <v>783</v>
      </c>
      <c r="B784" t="s">
        <v>36</v>
      </c>
      <c r="C784" t="s">
        <v>245</v>
      </c>
      <c r="D784">
        <v>2025</v>
      </c>
      <c r="E784" t="s">
        <v>26</v>
      </c>
      <c r="F784">
        <v>94.3</v>
      </c>
      <c r="G784" t="s">
        <v>350</v>
      </c>
      <c r="H784">
        <f>electric_vehicles_dataset[[#This Row],[Battery_Capacity_kWh]]/electric_vehicles_dataset[[#This Row],[Range_km]]</f>
        <v>0.6735714285714286</v>
      </c>
      <c r="I784">
        <v>140</v>
      </c>
      <c r="J784" t="s">
        <v>356</v>
      </c>
      <c r="K784">
        <v>7</v>
      </c>
      <c r="L784" s="1">
        <v>71435.899999999994</v>
      </c>
      <c r="M784" s="1" t="str" cm="1">
        <f t="array" ref="M78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84" t="s">
        <v>205</v>
      </c>
      <c r="O784" t="s">
        <v>121</v>
      </c>
      <c r="P784" s="2" t="s">
        <v>398</v>
      </c>
      <c r="Q784">
        <v>2</v>
      </c>
      <c r="R784" t="s">
        <v>391</v>
      </c>
      <c r="S784" s="1">
        <f>electric_vehicles_dataset[[#This Row],[Units_Sold_2024]]*electric_vehicles_dataset[[#This Row],[Price_USD]]</f>
        <v>69149951.199999988</v>
      </c>
      <c r="T784">
        <v>4</v>
      </c>
      <c r="U784">
        <v>968</v>
      </c>
      <c r="V784">
        <v>3</v>
      </c>
    </row>
    <row r="785" spans="1:22" x14ac:dyDescent="0.35">
      <c r="A785">
        <v>784</v>
      </c>
      <c r="B785" t="s">
        <v>155</v>
      </c>
      <c r="C785" t="s">
        <v>156</v>
      </c>
      <c r="D785">
        <v>2024</v>
      </c>
      <c r="E785" t="s">
        <v>104</v>
      </c>
      <c r="F785">
        <v>93.4</v>
      </c>
      <c r="G785" t="s">
        <v>350</v>
      </c>
      <c r="H785">
        <f>electric_vehicles_dataset[[#This Row],[Battery_Capacity_kWh]]/electric_vehicles_dataset[[#This Row],[Range_km]]</f>
        <v>0.29935897435897435</v>
      </c>
      <c r="I785">
        <v>312</v>
      </c>
      <c r="J785" t="s">
        <v>76</v>
      </c>
      <c r="K785">
        <v>9</v>
      </c>
      <c r="L785" s="1">
        <v>64066.52</v>
      </c>
      <c r="M785" s="1" t="str" cm="1">
        <f t="array" ref="M78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85" t="s">
        <v>277</v>
      </c>
      <c r="O785" t="s">
        <v>230</v>
      </c>
      <c r="P785" s="2" t="s">
        <v>389</v>
      </c>
      <c r="Q785">
        <v>3</v>
      </c>
      <c r="R785" t="s">
        <v>397</v>
      </c>
      <c r="S785" s="1">
        <f>electric_vehicles_dataset[[#This Row],[Units_Sold_2024]]*electric_vehicles_dataset[[#This Row],[Price_USD]]</f>
        <v>259213139.91999999</v>
      </c>
      <c r="T785">
        <v>5</v>
      </c>
      <c r="U785">
        <v>4046</v>
      </c>
      <c r="V785">
        <v>3</v>
      </c>
    </row>
    <row r="786" spans="1:22" x14ac:dyDescent="0.35">
      <c r="A786">
        <v>785</v>
      </c>
      <c r="B786" t="s">
        <v>36</v>
      </c>
      <c r="C786" t="s">
        <v>317</v>
      </c>
      <c r="D786">
        <v>2018</v>
      </c>
      <c r="E786" t="s">
        <v>58</v>
      </c>
      <c r="F786">
        <v>94.2</v>
      </c>
      <c r="G786" t="s">
        <v>350</v>
      </c>
      <c r="H786">
        <f>electric_vehicles_dataset[[#This Row],[Battery_Capacity_kWh]]/electric_vehicles_dataset[[#This Row],[Range_km]]</f>
        <v>0.4931937172774869</v>
      </c>
      <c r="I786">
        <v>191</v>
      </c>
      <c r="J786" t="s">
        <v>85</v>
      </c>
      <c r="K786">
        <v>9</v>
      </c>
      <c r="L786" s="1">
        <v>148125.93</v>
      </c>
      <c r="M786" s="1" t="str" cm="1">
        <f t="array" ref="M78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86" t="s">
        <v>253</v>
      </c>
      <c r="O786" t="s">
        <v>354</v>
      </c>
      <c r="P786" s="2" t="s">
        <v>394</v>
      </c>
      <c r="Q786">
        <v>1</v>
      </c>
      <c r="R786" t="s">
        <v>391</v>
      </c>
      <c r="S786" s="1">
        <f>electric_vehicles_dataset[[#This Row],[Units_Sold_2024]]*electric_vehicles_dataset[[#This Row],[Price_USD]]</f>
        <v>1762698567</v>
      </c>
      <c r="T786">
        <v>4</v>
      </c>
      <c r="U786">
        <v>11900</v>
      </c>
      <c r="V786">
        <v>5</v>
      </c>
    </row>
    <row r="787" spans="1:22" x14ac:dyDescent="0.35">
      <c r="A787">
        <v>786</v>
      </c>
      <c r="B787" t="s">
        <v>184</v>
      </c>
      <c r="C787" t="s">
        <v>251</v>
      </c>
      <c r="D787">
        <v>2023</v>
      </c>
      <c r="E787" t="s">
        <v>47</v>
      </c>
      <c r="F787">
        <v>89.2</v>
      </c>
      <c r="G787" t="s">
        <v>350</v>
      </c>
      <c r="H787">
        <f>electric_vehicles_dataset[[#This Row],[Battery_Capacity_kWh]]/electric_vehicles_dataset[[#This Row],[Range_km]]</f>
        <v>0.41488372093023257</v>
      </c>
      <c r="I787">
        <v>215</v>
      </c>
      <c r="J787" t="s">
        <v>34</v>
      </c>
      <c r="K787">
        <v>6</v>
      </c>
      <c r="L787" s="1">
        <v>85669.67</v>
      </c>
      <c r="M787" s="1" t="str" cm="1">
        <f t="array" ref="M78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87" t="s">
        <v>257</v>
      </c>
      <c r="O787" t="s">
        <v>236</v>
      </c>
      <c r="P787" s="2" t="s">
        <v>394</v>
      </c>
      <c r="Q787">
        <v>1</v>
      </c>
      <c r="R787" t="s">
        <v>391</v>
      </c>
      <c r="S787" s="1">
        <f>electric_vehicles_dataset[[#This Row],[Units_Sold_2024]]*electric_vehicles_dataset[[#This Row],[Price_USD]]</f>
        <v>937740207.81999993</v>
      </c>
      <c r="T787">
        <v>4</v>
      </c>
      <c r="U787">
        <v>10946</v>
      </c>
      <c r="V787">
        <v>4</v>
      </c>
    </row>
    <row r="788" spans="1:22" x14ac:dyDescent="0.35">
      <c r="A788">
        <v>787</v>
      </c>
      <c r="B788" t="s">
        <v>224</v>
      </c>
      <c r="C788" t="s">
        <v>297</v>
      </c>
      <c r="D788">
        <v>2025</v>
      </c>
      <c r="E788" t="s">
        <v>53</v>
      </c>
      <c r="F788">
        <v>32.799999999999997</v>
      </c>
      <c r="G788" t="s">
        <v>357</v>
      </c>
      <c r="H788">
        <f>electric_vehicles_dataset[[#This Row],[Battery_Capacity_kWh]]/electric_vehicles_dataset[[#This Row],[Range_km]]</f>
        <v>8.2619647355163722E-2</v>
      </c>
      <c r="I788">
        <v>397</v>
      </c>
      <c r="J788" t="s">
        <v>358</v>
      </c>
      <c r="K788">
        <v>12</v>
      </c>
      <c r="L788" s="1">
        <v>79235.259999999995</v>
      </c>
      <c r="M788" s="1" t="str" cm="1">
        <f t="array" ref="M78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88" t="s">
        <v>238</v>
      </c>
      <c r="O788" t="s">
        <v>135</v>
      </c>
      <c r="P788" s="2" t="s">
        <v>389</v>
      </c>
      <c r="Q788">
        <v>1</v>
      </c>
      <c r="R788" t="s">
        <v>391</v>
      </c>
      <c r="S788" s="1">
        <f>electric_vehicles_dataset[[#This Row],[Units_Sold_2024]]*electric_vehicles_dataset[[#This Row],[Price_USD]]</f>
        <v>1556655917.9599998</v>
      </c>
      <c r="T788">
        <v>3</v>
      </c>
      <c r="U788">
        <v>19646</v>
      </c>
      <c r="V788">
        <v>5</v>
      </c>
    </row>
    <row r="789" spans="1:22" x14ac:dyDescent="0.35">
      <c r="A789">
        <v>788</v>
      </c>
      <c r="B789" t="s">
        <v>259</v>
      </c>
      <c r="C789" t="s">
        <v>260</v>
      </c>
      <c r="D789">
        <v>2015</v>
      </c>
      <c r="E789" t="s">
        <v>104</v>
      </c>
      <c r="F789">
        <v>99.3</v>
      </c>
      <c r="G789" t="s">
        <v>350</v>
      </c>
      <c r="H789">
        <f>electric_vehicles_dataset[[#This Row],[Battery_Capacity_kWh]]/electric_vehicles_dataset[[#This Row],[Range_km]]</f>
        <v>0.53675675675675671</v>
      </c>
      <c r="I789">
        <v>185</v>
      </c>
      <c r="J789" t="s">
        <v>356</v>
      </c>
      <c r="K789">
        <v>8</v>
      </c>
      <c r="L789" s="1">
        <v>144221.53</v>
      </c>
      <c r="M789" s="1" t="str" cm="1">
        <f t="array" ref="M78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89" t="s">
        <v>301</v>
      </c>
      <c r="O789" t="s">
        <v>139</v>
      </c>
      <c r="P789" s="2" t="s">
        <v>389</v>
      </c>
      <c r="Q789">
        <v>5</v>
      </c>
      <c r="R789" t="s">
        <v>392</v>
      </c>
      <c r="S789" s="1">
        <f>electric_vehicles_dataset[[#This Row],[Units_Sold_2024]]*electric_vehicles_dataset[[#This Row],[Price_USD]]</f>
        <v>762643450.63999999</v>
      </c>
      <c r="T789">
        <v>3</v>
      </c>
      <c r="U789">
        <v>5288</v>
      </c>
      <c r="V789">
        <v>4</v>
      </c>
    </row>
    <row r="790" spans="1:22" x14ac:dyDescent="0.35">
      <c r="A790">
        <v>789</v>
      </c>
      <c r="B790" t="s">
        <v>187</v>
      </c>
      <c r="C790" t="s">
        <v>320</v>
      </c>
      <c r="D790">
        <v>2018</v>
      </c>
      <c r="E790" t="s">
        <v>101</v>
      </c>
      <c r="F790">
        <v>81.400000000000006</v>
      </c>
      <c r="G790" t="s">
        <v>350</v>
      </c>
      <c r="H790">
        <f>electric_vehicles_dataset[[#This Row],[Battery_Capacity_kWh]]/electric_vehicles_dataset[[#This Row],[Range_km]]</f>
        <v>0.17543103448275862</v>
      </c>
      <c r="I790">
        <v>464</v>
      </c>
      <c r="J790" t="s">
        <v>359</v>
      </c>
      <c r="K790">
        <v>4</v>
      </c>
      <c r="L790" s="1">
        <v>65157.83</v>
      </c>
      <c r="M790" s="1" t="str" cm="1">
        <f t="array" ref="M79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90" t="s">
        <v>301</v>
      </c>
      <c r="O790" t="s">
        <v>124</v>
      </c>
      <c r="P790" s="2" t="s">
        <v>389</v>
      </c>
      <c r="Q790">
        <v>3</v>
      </c>
      <c r="R790" t="s">
        <v>397</v>
      </c>
      <c r="S790" s="1">
        <f>electric_vehicles_dataset[[#This Row],[Units_Sold_2024]]*electric_vehicles_dataset[[#This Row],[Price_USD]]</f>
        <v>377589624.85000002</v>
      </c>
      <c r="T790">
        <v>3</v>
      </c>
      <c r="U790">
        <v>5795</v>
      </c>
      <c r="V790">
        <v>4</v>
      </c>
    </row>
    <row r="791" spans="1:22" x14ac:dyDescent="0.35">
      <c r="A791">
        <v>790</v>
      </c>
      <c r="B791" t="s">
        <v>140</v>
      </c>
      <c r="C791" t="s">
        <v>339</v>
      </c>
      <c r="D791">
        <v>2024</v>
      </c>
      <c r="E791" t="s">
        <v>26</v>
      </c>
      <c r="F791">
        <v>63.1</v>
      </c>
      <c r="G791" t="s">
        <v>351</v>
      </c>
      <c r="H791">
        <f>electric_vehicles_dataset[[#This Row],[Battery_Capacity_kWh]]/electric_vehicles_dataset[[#This Row],[Range_km]]</f>
        <v>0.11050788091068302</v>
      </c>
      <c r="I791">
        <v>571</v>
      </c>
      <c r="J791" t="s">
        <v>85</v>
      </c>
      <c r="K791">
        <v>3</v>
      </c>
      <c r="L791" s="1">
        <v>116645.55</v>
      </c>
      <c r="M791" s="1" t="str" cm="1">
        <f t="array" ref="M79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91" t="s">
        <v>228</v>
      </c>
      <c r="O791" t="s">
        <v>115</v>
      </c>
      <c r="P791" s="2" t="s">
        <v>396</v>
      </c>
      <c r="Q791">
        <v>5</v>
      </c>
      <c r="R791" t="s">
        <v>392</v>
      </c>
      <c r="S791" s="1">
        <f>electric_vehicles_dataset[[#This Row],[Units_Sold_2024]]*electric_vehicles_dataset[[#This Row],[Price_USD]]</f>
        <v>1472766714.3</v>
      </c>
      <c r="T791">
        <v>4</v>
      </c>
      <c r="U791">
        <v>12626</v>
      </c>
      <c r="V791">
        <v>3</v>
      </c>
    </row>
    <row r="792" spans="1:22" x14ac:dyDescent="0.35">
      <c r="A792">
        <v>791</v>
      </c>
      <c r="B792" t="s">
        <v>170</v>
      </c>
      <c r="C792" t="s">
        <v>275</v>
      </c>
      <c r="D792">
        <v>2019</v>
      </c>
      <c r="E792" t="s">
        <v>53</v>
      </c>
      <c r="F792">
        <v>113.1</v>
      </c>
      <c r="G792" t="s">
        <v>361</v>
      </c>
      <c r="H792">
        <f>electric_vehicles_dataset[[#This Row],[Battery_Capacity_kWh]]/electric_vehicles_dataset[[#This Row],[Range_km]]</f>
        <v>0.70248447204968945</v>
      </c>
      <c r="I792">
        <v>161</v>
      </c>
      <c r="J792" t="s">
        <v>76</v>
      </c>
      <c r="K792">
        <v>6</v>
      </c>
      <c r="L792" s="1">
        <v>129330.46</v>
      </c>
      <c r="M792" s="1" t="str" cm="1">
        <f t="array" ref="M7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92" t="s">
        <v>279</v>
      </c>
      <c r="O792" t="s">
        <v>265</v>
      </c>
      <c r="P792" s="2" t="s">
        <v>389</v>
      </c>
      <c r="Q792">
        <v>5</v>
      </c>
      <c r="R792" t="s">
        <v>392</v>
      </c>
      <c r="S792" s="1">
        <f>electric_vehicles_dataset[[#This Row],[Units_Sold_2024]]*electric_vehicles_dataset[[#This Row],[Price_USD]]</f>
        <v>2167837170.52</v>
      </c>
      <c r="T792">
        <v>5</v>
      </c>
      <c r="U792">
        <v>16762</v>
      </c>
      <c r="V792">
        <v>5</v>
      </c>
    </row>
    <row r="793" spans="1:22" x14ac:dyDescent="0.35">
      <c r="A793">
        <v>792</v>
      </c>
      <c r="B793" t="s">
        <v>224</v>
      </c>
      <c r="C793" t="s">
        <v>303</v>
      </c>
      <c r="D793">
        <v>2021</v>
      </c>
      <c r="E793" t="s">
        <v>183</v>
      </c>
      <c r="F793">
        <v>36.1</v>
      </c>
      <c r="G793" t="s">
        <v>357</v>
      </c>
      <c r="H793">
        <f>electric_vehicles_dataset[[#This Row],[Battery_Capacity_kWh]]/electric_vehicles_dataset[[#This Row],[Range_km]]</f>
        <v>0.2074712643678161</v>
      </c>
      <c r="I793">
        <v>174</v>
      </c>
      <c r="J793" t="s">
        <v>105</v>
      </c>
      <c r="K793">
        <v>9</v>
      </c>
      <c r="L793" s="1">
        <v>99577.44</v>
      </c>
      <c r="M793" s="1" t="str" cm="1">
        <f t="array" ref="M79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93" t="s">
        <v>81</v>
      </c>
      <c r="O793" t="s">
        <v>147</v>
      </c>
      <c r="P793" s="2" t="s">
        <v>396</v>
      </c>
      <c r="Q793">
        <v>2</v>
      </c>
      <c r="R793" t="s">
        <v>391</v>
      </c>
      <c r="S793" s="1">
        <f>electric_vehicles_dataset[[#This Row],[Units_Sold_2024]]*electric_vehicles_dataset[[#This Row],[Price_USD]]</f>
        <v>1574618058.72</v>
      </c>
      <c r="T793">
        <v>3</v>
      </c>
      <c r="U793">
        <v>15813</v>
      </c>
      <c r="V793">
        <v>3</v>
      </c>
    </row>
    <row r="794" spans="1:22" x14ac:dyDescent="0.35">
      <c r="A794">
        <v>793</v>
      </c>
      <c r="B794" t="s">
        <v>180</v>
      </c>
      <c r="C794" t="s">
        <v>285</v>
      </c>
      <c r="D794">
        <v>2020</v>
      </c>
      <c r="E794" t="s">
        <v>73</v>
      </c>
      <c r="F794">
        <v>110.2</v>
      </c>
      <c r="G794" t="s">
        <v>361</v>
      </c>
      <c r="H794">
        <f>electric_vehicles_dataset[[#This Row],[Battery_Capacity_kWh]]/electric_vehicles_dataset[[#This Row],[Range_km]]</f>
        <v>0.32994011976047904</v>
      </c>
      <c r="I794">
        <v>334</v>
      </c>
      <c r="J794" t="s">
        <v>356</v>
      </c>
      <c r="K794">
        <v>9</v>
      </c>
      <c r="L794" s="1">
        <v>120837.67</v>
      </c>
      <c r="M794" s="1" t="str" cm="1">
        <f t="array" ref="M7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94" t="s">
        <v>219</v>
      </c>
      <c r="O794" t="s">
        <v>265</v>
      </c>
      <c r="P794" s="2" t="s">
        <v>389</v>
      </c>
      <c r="Q794">
        <v>2</v>
      </c>
      <c r="R794" t="s">
        <v>391</v>
      </c>
      <c r="S794" s="1">
        <f>electric_vehicles_dataset[[#This Row],[Units_Sold_2024]]*electric_vehicles_dataset[[#This Row],[Price_USD]]</f>
        <v>1089955783.4000001</v>
      </c>
      <c r="T794">
        <v>5</v>
      </c>
      <c r="U794">
        <v>9020</v>
      </c>
      <c r="V794">
        <v>5</v>
      </c>
    </row>
    <row r="795" spans="1:22" x14ac:dyDescent="0.35">
      <c r="A795">
        <v>794</v>
      </c>
      <c r="B795" t="s">
        <v>108</v>
      </c>
      <c r="C795" t="s">
        <v>119</v>
      </c>
      <c r="D795">
        <v>2017</v>
      </c>
      <c r="E795" t="s">
        <v>47</v>
      </c>
      <c r="F795">
        <v>57.5</v>
      </c>
      <c r="G795" t="s">
        <v>348</v>
      </c>
      <c r="H795">
        <f>electric_vehicles_dataset[[#This Row],[Battery_Capacity_kWh]]/electric_vehicles_dataset[[#This Row],[Range_km]]</f>
        <v>0.2699530516431925</v>
      </c>
      <c r="I795">
        <v>213</v>
      </c>
      <c r="J795" t="s">
        <v>149</v>
      </c>
      <c r="K795">
        <v>7</v>
      </c>
      <c r="L795" s="1">
        <v>115656.38</v>
      </c>
      <c r="M795" s="1" t="str" cm="1">
        <f t="array" ref="M79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795" t="s">
        <v>127</v>
      </c>
      <c r="O795" t="s">
        <v>23</v>
      </c>
      <c r="P795" s="2" t="s">
        <v>389</v>
      </c>
      <c r="Q795">
        <v>2</v>
      </c>
      <c r="R795" t="s">
        <v>391</v>
      </c>
      <c r="S795" s="1">
        <f>electric_vehicles_dataset[[#This Row],[Units_Sold_2024]]*electric_vehicles_dataset[[#This Row],[Price_USD]]</f>
        <v>585221282.80000007</v>
      </c>
      <c r="T795">
        <v>4</v>
      </c>
      <c r="U795">
        <v>5060</v>
      </c>
      <c r="V795">
        <v>5</v>
      </c>
    </row>
    <row r="796" spans="1:22" x14ac:dyDescent="0.35">
      <c r="A796">
        <v>795</v>
      </c>
      <c r="B796" t="s">
        <v>74</v>
      </c>
      <c r="C796" t="s">
        <v>75</v>
      </c>
      <c r="D796">
        <v>2017</v>
      </c>
      <c r="E796" t="s">
        <v>90</v>
      </c>
      <c r="F796">
        <v>58</v>
      </c>
      <c r="G796" t="s">
        <v>348</v>
      </c>
      <c r="H796">
        <f>electric_vehicles_dataset[[#This Row],[Battery_Capacity_kWh]]/electric_vehicles_dataset[[#This Row],[Range_km]]</f>
        <v>0.19594594594594594</v>
      </c>
      <c r="I796">
        <v>296</v>
      </c>
      <c r="J796" t="s">
        <v>105</v>
      </c>
      <c r="K796">
        <v>8</v>
      </c>
      <c r="L796" s="1">
        <v>33360.559999999998</v>
      </c>
      <c r="M796" s="1" t="str" cm="1">
        <f t="array" ref="M79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96" t="s">
        <v>205</v>
      </c>
      <c r="O796" t="s">
        <v>167</v>
      </c>
      <c r="P796" s="2" t="s">
        <v>394</v>
      </c>
      <c r="Q796">
        <v>4</v>
      </c>
      <c r="R796" t="s">
        <v>392</v>
      </c>
      <c r="S796" s="1">
        <f>electric_vehicles_dataset[[#This Row],[Units_Sold_2024]]*electric_vehicles_dataset[[#This Row],[Price_USD]]</f>
        <v>564961083.5999999</v>
      </c>
      <c r="T796">
        <v>5</v>
      </c>
      <c r="U796">
        <v>16935</v>
      </c>
      <c r="V796">
        <v>4</v>
      </c>
    </row>
    <row r="797" spans="1:22" x14ac:dyDescent="0.35">
      <c r="A797">
        <v>796</v>
      </c>
      <c r="B797" t="s">
        <v>173</v>
      </c>
      <c r="C797" t="s">
        <v>306</v>
      </c>
      <c r="D797">
        <v>2017</v>
      </c>
      <c r="E797" t="s">
        <v>104</v>
      </c>
      <c r="F797">
        <v>103.7</v>
      </c>
      <c r="G797" t="s">
        <v>361</v>
      </c>
      <c r="H797">
        <f>electric_vehicles_dataset[[#This Row],[Battery_Capacity_kWh]]/electric_vehicles_dataset[[#This Row],[Range_km]]</f>
        <v>0.25924999999999998</v>
      </c>
      <c r="I797">
        <v>400</v>
      </c>
      <c r="J797" t="s">
        <v>38</v>
      </c>
      <c r="K797">
        <v>7</v>
      </c>
      <c r="L797" s="1">
        <v>75357.45</v>
      </c>
      <c r="M797" s="1" t="str" cm="1">
        <f t="array" ref="M79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97" t="s">
        <v>214</v>
      </c>
      <c r="O797" t="s">
        <v>23</v>
      </c>
      <c r="P797" s="2" t="s">
        <v>389</v>
      </c>
      <c r="Q797">
        <v>3</v>
      </c>
      <c r="R797" t="s">
        <v>397</v>
      </c>
      <c r="S797" s="1">
        <f>electric_vehicles_dataset[[#This Row],[Units_Sold_2024]]*electric_vehicles_dataset[[#This Row],[Price_USD]]</f>
        <v>159833151.44999999</v>
      </c>
      <c r="T797">
        <v>3</v>
      </c>
      <c r="U797">
        <v>2121</v>
      </c>
      <c r="V797">
        <v>4</v>
      </c>
    </row>
    <row r="798" spans="1:22" x14ac:dyDescent="0.35">
      <c r="A798">
        <v>797</v>
      </c>
      <c r="B798" t="s">
        <v>128</v>
      </c>
      <c r="C798" t="s">
        <v>129</v>
      </c>
      <c r="D798">
        <v>2018</v>
      </c>
      <c r="E798" t="s">
        <v>31</v>
      </c>
      <c r="F798">
        <v>39.5</v>
      </c>
      <c r="G798" t="s">
        <v>357</v>
      </c>
      <c r="H798">
        <f>electric_vehicles_dataset[[#This Row],[Battery_Capacity_kWh]]/electric_vehicles_dataset[[#This Row],[Range_km]]</f>
        <v>9.6107055961070553E-2</v>
      </c>
      <c r="I798">
        <v>411</v>
      </c>
      <c r="J798" t="s">
        <v>48</v>
      </c>
      <c r="K798">
        <v>8</v>
      </c>
      <c r="L798" s="1">
        <v>72780.179999999993</v>
      </c>
      <c r="M798" s="1" t="str" cm="1">
        <f t="array" ref="M79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798" t="s">
        <v>32</v>
      </c>
      <c r="O798" t="s">
        <v>182</v>
      </c>
      <c r="P798" s="2" t="s">
        <v>394</v>
      </c>
      <c r="Q798">
        <v>0</v>
      </c>
      <c r="R798" t="s">
        <v>390</v>
      </c>
      <c r="S798" s="1">
        <f>electric_vehicles_dataset[[#This Row],[Units_Sold_2024]]*electric_vehicles_dataset[[#This Row],[Price_USD]]</f>
        <v>544614086.93999994</v>
      </c>
      <c r="T798">
        <v>5</v>
      </c>
      <c r="U798">
        <v>7483</v>
      </c>
      <c r="V798">
        <v>5</v>
      </c>
    </row>
    <row r="799" spans="1:22" x14ac:dyDescent="0.35">
      <c r="A799">
        <v>798</v>
      </c>
      <c r="B799" t="s">
        <v>112</v>
      </c>
      <c r="C799" t="s">
        <v>113</v>
      </c>
      <c r="D799">
        <v>2025</v>
      </c>
      <c r="E799" t="s">
        <v>84</v>
      </c>
      <c r="F799">
        <v>71.8</v>
      </c>
      <c r="G799" t="s">
        <v>351</v>
      </c>
      <c r="H799">
        <f>electric_vehicles_dataset[[#This Row],[Battery_Capacity_kWh]]/electric_vehicles_dataset[[#This Row],[Range_km]]</f>
        <v>0.47866666666666663</v>
      </c>
      <c r="I799">
        <v>150</v>
      </c>
      <c r="J799" t="s">
        <v>38</v>
      </c>
      <c r="K799">
        <v>6</v>
      </c>
      <c r="L799" s="1">
        <v>62576.83</v>
      </c>
      <c r="M799" s="1" t="str" cm="1">
        <f t="array" ref="M7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799" t="s">
        <v>19</v>
      </c>
      <c r="O799" t="s">
        <v>107</v>
      </c>
      <c r="P799" s="2" t="s">
        <v>394</v>
      </c>
      <c r="Q799">
        <v>0</v>
      </c>
      <c r="R799" t="s">
        <v>390</v>
      </c>
      <c r="S799" s="1">
        <f>electric_vehicles_dataset[[#This Row],[Units_Sold_2024]]*electric_vehicles_dataset[[#This Row],[Price_USD]]</f>
        <v>525019603.69999999</v>
      </c>
      <c r="T799">
        <v>3</v>
      </c>
      <c r="U799">
        <v>8390</v>
      </c>
      <c r="V799">
        <v>5</v>
      </c>
    </row>
    <row r="800" spans="1:22" x14ac:dyDescent="0.35">
      <c r="A800">
        <v>799</v>
      </c>
      <c r="B800" t="s">
        <v>120</v>
      </c>
      <c r="C800" t="s">
        <v>288</v>
      </c>
      <c r="D800">
        <v>2018</v>
      </c>
      <c r="E800" t="s">
        <v>17</v>
      </c>
      <c r="F800">
        <v>113.3</v>
      </c>
      <c r="G800" t="s">
        <v>361</v>
      </c>
      <c r="H800">
        <f>electric_vehicles_dataset[[#This Row],[Battery_Capacity_kWh]]/electric_vehicles_dataset[[#This Row],[Range_km]]</f>
        <v>0.59631578947368424</v>
      </c>
      <c r="I800">
        <v>190</v>
      </c>
      <c r="J800" t="s">
        <v>27</v>
      </c>
      <c r="K800">
        <v>12</v>
      </c>
      <c r="L800" s="1">
        <v>61891.6</v>
      </c>
      <c r="M800" s="1" t="str" cm="1">
        <f t="array" ref="M80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00" t="s">
        <v>49</v>
      </c>
      <c r="O800" t="s">
        <v>20</v>
      </c>
      <c r="P800" s="2" t="s">
        <v>389</v>
      </c>
      <c r="Q800">
        <v>5</v>
      </c>
      <c r="R800" t="s">
        <v>392</v>
      </c>
      <c r="S800" s="1">
        <f>electric_vehicles_dataset[[#This Row],[Units_Sold_2024]]*electric_vehicles_dataset[[#This Row],[Price_USD]]</f>
        <v>268795218.80000001</v>
      </c>
      <c r="T800">
        <v>4</v>
      </c>
      <c r="U800">
        <v>4343</v>
      </c>
      <c r="V800">
        <v>5</v>
      </c>
    </row>
    <row r="801" spans="1:22" x14ac:dyDescent="0.35">
      <c r="A801">
        <v>800</v>
      </c>
      <c r="B801" t="s">
        <v>234</v>
      </c>
      <c r="C801" t="s">
        <v>235</v>
      </c>
      <c r="D801">
        <v>2018</v>
      </c>
      <c r="E801" t="s">
        <v>31</v>
      </c>
      <c r="F801">
        <v>51.7</v>
      </c>
      <c r="G801" t="s">
        <v>348</v>
      </c>
      <c r="H801">
        <f>electric_vehicles_dataset[[#This Row],[Battery_Capacity_kWh]]/electric_vehicles_dataset[[#This Row],[Range_km]]</f>
        <v>0.10572597137014315</v>
      </c>
      <c r="I801">
        <v>489</v>
      </c>
      <c r="J801" t="s">
        <v>356</v>
      </c>
      <c r="K801">
        <v>6</v>
      </c>
      <c r="L801" s="1">
        <v>94432.04</v>
      </c>
      <c r="M801" s="1" t="str" cm="1">
        <f t="array" ref="M80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01" t="s">
        <v>81</v>
      </c>
      <c r="O801" t="s">
        <v>67</v>
      </c>
      <c r="P801" s="2" t="s">
        <v>394</v>
      </c>
      <c r="Q801">
        <v>5</v>
      </c>
      <c r="R801" t="s">
        <v>392</v>
      </c>
      <c r="S801" s="1">
        <f>electric_vehicles_dataset[[#This Row],[Units_Sold_2024]]*electric_vehicles_dataset[[#This Row],[Price_USD]]</f>
        <v>257988333.27999997</v>
      </c>
      <c r="T801">
        <v>4</v>
      </c>
      <c r="U801">
        <v>2732</v>
      </c>
      <c r="V801">
        <v>4</v>
      </c>
    </row>
    <row r="802" spans="1:22" x14ac:dyDescent="0.35">
      <c r="A802">
        <v>801</v>
      </c>
      <c r="B802" t="s">
        <v>112</v>
      </c>
      <c r="C802" t="s">
        <v>138</v>
      </c>
      <c r="D802">
        <v>2023</v>
      </c>
      <c r="E802" t="s">
        <v>90</v>
      </c>
      <c r="F802">
        <v>47.9</v>
      </c>
      <c r="G802" t="s">
        <v>348</v>
      </c>
      <c r="H802">
        <f>electric_vehicles_dataset[[#This Row],[Battery_Capacity_kWh]]/electric_vehicles_dataset[[#This Row],[Range_km]]</f>
        <v>0.13724928366762176</v>
      </c>
      <c r="I802">
        <v>349</v>
      </c>
      <c r="J802" t="s">
        <v>54</v>
      </c>
      <c r="K802">
        <v>7</v>
      </c>
      <c r="L802" s="1">
        <v>99805.63</v>
      </c>
      <c r="M802" s="1" t="str" cm="1">
        <f t="array" ref="M8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02" t="s">
        <v>43</v>
      </c>
      <c r="O802" t="s">
        <v>236</v>
      </c>
      <c r="P802" s="2" t="s">
        <v>394</v>
      </c>
      <c r="Q802">
        <v>1</v>
      </c>
      <c r="R802" t="s">
        <v>391</v>
      </c>
      <c r="S802" s="1">
        <f>electric_vehicles_dataset[[#This Row],[Units_Sold_2024]]*electric_vehicles_dataset[[#This Row],[Price_USD]]</f>
        <v>1596890.08</v>
      </c>
      <c r="T802">
        <v>4</v>
      </c>
      <c r="U802">
        <v>16</v>
      </c>
      <c r="V802">
        <v>4</v>
      </c>
    </row>
    <row r="803" spans="1:22" x14ac:dyDescent="0.35">
      <c r="A803">
        <v>802</v>
      </c>
      <c r="B803" t="s">
        <v>51</v>
      </c>
      <c r="C803" t="s">
        <v>239</v>
      </c>
      <c r="D803">
        <v>2024</v>
      </c>
      <c r="E803" t="s">
        <v>133</v>
      </c>
      <c r="F803">
        <v>84</v>
      </c>
      <c r="G803" t="s">
        <v>350</v>
      </c>
      <c r="H803">
        <f>electric_vehicles_dataset[[#This Row],[Battery_Capacity_kWh]]/electric_vehicles_dataset[[#This Row],[Range_km]]</f>
        <v>0.44210526315789472</v>
      </c>
      <c r="I803">
        <v>190</v>
      </c>
      <c r="J803" t="s">
        <v>38</v>
      </c>
      <c r="K803">
        <v>6</v>
      </c>
      <c r="L803" s="1">
        <v>91704.03</v>
      </c>
      <c r="M803" s="1" t="str" cm="1">
        <f t="array" ref="M80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03" t="s">
        <v>39</v>
      </c>
      <c r="O803" t="s">
        <v>111</v>
      </c>
      <c r="P803" s="2" t="s">
        <v>389</v>
      </c>
      <c r="Q803">
        <v>4</v>
      </c>
      <c r="R803" t="s">
        <v>392</v>
      </c>
      <c r="S803" s="1">
        <f>electric_vehicles_dataset[[#This Row],[Units_Sold_2024]]*electric_vehicles_dataset[[#This Row],[Price_USD]]</f>
        <v>1511649230.52</v>
      </c>
      <c r="T803">
        <v>5</v>
      </c>
      <c r="U803">
        <v>16484</v>
      </c>
      <c r="V803">
        <v>4</v>
      </c>
    </row>
    <row r="804" spans="1:22" x14ac:dyDescent="0.35">
      <c r="A804">
        <v>803</v>
      </c>
      <c r="B804" t="s">
        <v>16</v>
      </c>
      <c r="C804" t="s">
        <v>347</v>
      </c>
      <c r="D804">
        <v>2016</v>
      </c>
      <c r="E804" t="s">
        <v>183</v>
      </c>
      <c r="F804">
        <v>142.9</v>
      </c>
      <c r="G804" t="s">
        <v>386</v>
      </c>
      <c r="H804">
        <f>electric_vehicles_dataset[[#This Row],[Battery_Capacity_kWh]]/electric_vehicles_dataset[[#This Row],[Range_km]]</f>
        <v>0.40945558739255017</v>
      </c>
      <c r="I804">
        <v>349</v>
      </c>
      <c r="J804" t="s">
        <v>76</v>
      </c>
      <c r="K804">
        <v>4</v>
      </c>
      <c r="L804" s="1">
        <v>146922.53</v>
      </c>
      <c r="M804" s="1" t="str" cm="1">
        <f t="array" ref="M80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04" t="s">
        <v>152</v>
      </c>
      <c r="O804" t="s">
        <v>230</v>
      </c>
      <c r="P804" s="2" t="s">
        <v>389</v>
      </c>
      <c r="Q804">
        <v>0</v>
      </c>
      <c r="R804" t="s">
        <v>390</v>
      </c>
      <c r="S804" s="1">
        <f>electric_vehicles_dataset[[#This Row],[Units_Sold_2024]]*electric_vehicles_dataset[[#This Row],[Price_USD]]</f>
        <v>2133608980.6600001</v>
      </c>
      <c r="T804">
        <v>3</v>
      </c>
      <c r="U804">
        <v>14522</v>
      </c>
      <c r="V804">
        <v>4</v>
      </c>
    </row>
    <row r="805" spans="1:22" x14ac:dyDescent="0.35">
      <c r="A805">
        <v>804</v>
      </c>
      <c r="B805" t="s">
        <v>16</v>
      </c>
      <c r="C805" t="s">
        <v>347</v>
      </c>
      <c r="D805">
        <v>2018</v>
      </c>
      <c r="E805" t="s">
        <v>183</v>
      </c>
      <c r="F805">
        <v>34.1</v>
      </c>
      <c r="G805" t="s">
        <v>357</v>
      </c>
      <c r="H805">
        <f>electric_vehicles_dataset[[#This Row],[Battery_Capacity_kWh]]/electric_vehicles_dataset[[#This Row],[Range_km]]</f>
        <v>0.15642201834862385</v>
      </c>
      <c r="I805">
        <v>218</v>
      </c>
      <c r="J805" t="s">
        <v>359</v>
      </c>
      <c r="K805">
        <v>4</v>
      </c>
      <c r="L805" s="1">
        <v>66646.06</v>
      </c>
      <c r="M805" s="1" t="str" cm="1">
        <f t="array" ref="M8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05" t="s">
        <v>168</v>
      </c>
      <c r="O805" t="s">
        <v>121</v>
      </c>
      <c r="P805" s="2" t="s">
        <v>398</v>
      </c>
      <c r="Q805">
        <v>5</v>
      </c>
      <c r="R805" t="s">
        <v>392</v>
      </c>
      <c r="S805" s="1">
        <f>electric_vehicles_dataset[[#This Row],[Units_Sold_2024]]*electric_vehicles_dataset[[#This Row],[Price_USD]]</f>
        <v>337562293.89999998</v>
      </c>
      <c r="T805">
        <v>5</v>
      </c>
      <c r="U805">
        <v>5065</v>
      </c>
      <c r="V805">
        <v>4</v>
      </c>
    </row>
    <row r="806" spans="1:22" x14ac:dyDescent="0.35">
      <c r="A806">
        <v>805</v>
      </c>
      <c r="B806" t="s">
        <v>220</v>
      </c>
      <c r="C806" t="s">
        <v>221</v>
      </c>
      <c r="D806">
        <v>2021</v>
      </c>
      <c r="E806" t="s">
        <v>183</v>
      </c>
      <c r="F806">
        <v>42.3</v>
      </c>
      <c r="G806" t="s">
        <v>348</v>
      </c>
      <c r="H806">
        <f>electric_vehicles_dataset[[#This Row],[Battery_Capacity_kWh]]/electric_vehicles_dataset[[#This Row],[Range_km]]</f>
        <v>0.23499999999999999</v>
      </c>
      <c r="I806">
        <v>180</v>
      </c>
      <c r="J806" t="s">
        <v>85</v>
      </c>
      <c r="K806">
        <v>4</v>
      </c>
      <c r="L806" s="1">
        <v>91975.96</v>
      </c>
      <c r="M806" s="1" t="str" cm="1">
        <f t="array" ref="M80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06" t="s">
        <v>152</v>
      </c>
      <c r="O806" t="s">
        <v>139</v>
      </c>
      <c r="P806" s="2" t="s">
        <v>389</v>
      </c>
      <c r="Q806">
        <v>5</v>
      </c>
      <c r="R806" t="s">
        <v>392</v>
      </c>
      <c r="S806" s="1">
        <f>electric_vehicles_dataset[[#This Row],[Units_Sold_2024]]*electric_vehicles_dataset[[#This Row],[Price_USD]]</f>
        <v>914976850.08000004</v>
      </c>
      <c r="T806">
        <v>4</v>
      </c>
      <c r="U806">
        <v>9948</v>
      </c>
      <c r="V806">
        <v>4</v>
      </c>
    </row>
    <row r="807" spans="1:22" x14ac:dyDescent="0.35">
      <c r="A807">
        <v>806</v>
      </c>
      <c r="B807" t="s">
        <v>153</v>
      </c>
      <c r="C807" t="s">
        <v>154</v>
      </c>
      <c r="D807">
        <v>2020</v>
      </c>
      <c r="E807" t="s">
        <v>17</v>
      </c>
      <c r="F807">
        <v>66</v>
      </c>
      <c r="G807" t="s">
        <v>351</v>
      </c>
      <c r="H807">
        <f>electric_vehicles_dataset[[#This Row],[Battery_Capacity_kWh]]/electric_vehicles_dataset[[#This Row],[Range_km]]</f>
        <v>0.13721413721413722</v>
      </c>
      <c r="I807">
        <v>481</v>
      </c>
      <c r="J807" t="s">
        <v>38</v>
      </c>
      <c r="K807">
        <v>6</v>
      </c>
      <c r="L807" s="1">
        <v>81035.75</v>
      </c>
      <c r="M807" s="1" t="str" cm="1">
        <f t="array" ref="M8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07" t="s">
        <v>253</v>
      </c>
      <c r="O807" t="s">
        <v>169</v>
      </c>
      <c r="P807" s="2" t="s">
        <v>394</v>
      </c>
      <c r="Q807">
        <v>5</v>
      </c>
      <c r="R807" t="s">
        <v>392</v>
      </c>
      <c r="S807" s="1">
        <f>electric_vehicles_dataset[[#This Row],[Units_Sold_2024]]*electric_vehicles_dataset[[#This Row],[Price_USD]]</f>
        <v>1085473871.25</v>
      </c>
      <c r="T807">
        <v>4</v>
      </c>
      <c r="U807">
        <v>13395</v>
      </c>
      <c r="V807">
        <v>4</v>
      </c>
    </row>
    <row r="808" spans="1:22" x14ac:dyDescent="0.35">
      <c r="A808">
        <v>807</v>
      </c>
      <c r="B808" t="s">
        <v>224</v>
      </c>
      <c r="C808" t="s">
        <v>297</v>
      </c>
      <c r="D808">
        <v>2022</v>
      </c>
      <c r="E808" t="s">
        <v>183</v>
      </c>
      <c r="F808">
        <v>55.6</v>
      </c>
      <c r="G808" t="s">
        <v>348</v>
      </c>
      <c r="H808">
        <f>electric_vehicles_dataset[[#This Row],[Battery_Capacity_kWh]]/electric_vehicles_dataset[[#This Row],[Range_km]]</f>
        <v>0.10712909441233141</v>
      </c>
      <c r="I808">
        <v>519</v>
      </c>
      <c r="J808" t="s">
        <v>359</v>
      </c>
      <c r="K808">
        <v>3</v>
      </c>
      <c r="L808" s="1">
        <v>116000.72</v>
      </c>
      <c r="M808" s="1" t="str" cm="1">
        <f t="array" ref="M8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08" t="s">
        <v>179</v>
      </c>
      <c r="O808" t="s">
        <v>33</v>
      </c>
      <c r="P808" s="2" t="s">
        <v>393</v>
      </c>
      <c r="Q808">
        <v>5</v>
      </c>
      <c r="R808" t="s">
        <v>392</v>
      </c>
      <c r="S808" s="1">
        <f>electric_vehicles_dataset[[#This Row],[Units_Sold_2024]]*electric_vehicles_dataset[[#This Row],[Price_USD]]</f>
        <v>2128497211.28</v>
      </c>
      <c r="T808">
        <v>5</v>
      </c>
      <c r="U808">
        <v>18349</v>
      </c>
      <c r="V808">
        <v>5</v>
      </c>
    </row>
    <row r="809" spans="1:22" x14ac:dyDescent="0.35">
      <c r="A809">
        <v>808</v>
      </c>
      <c r="B809" t="s">
        <v>112</v>
      </c>
      <c r="C809" t="s">
        <v>138</v>
      </c>
      <c r="D809">
        <v>2024</v>
      </c>
      <c r="E809" t="s">
        <v>47</v>
      </c>
      <c r="F809">
        <v>77.2</v>
      </c>
      <c r="G809" t="s">
        <v>351</v>
      </c>
      <c r="H809">
        <f>electric_vehicles_dataset[[#This Row],[Battery_Capacity_kWh]]/electric_vehicles_dataset[[#This Row],[Range_km]]</f>
        <v>0.32166666666666666</v>
      </c>
      <c r="I809">
        <v>240</v>
      </c>
      <c r="J809" t="s">
        <v>48</v>
      </c>
      <c r="K809">
        <v>1</v>
      </c>
      <c r="L809" s="1">
        <v>49250.15</v>
      </c>
      <c r="M809" s="1" t="str" cm="1">
        <f t="array" ref="M80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09" t="s">
        <v>254</v>
      </c>
      <c r="O809" t="s">
        <v>226</v>
      </c>
      <c r="P809" s="2" t="s">
        <v>395</v>
      </c>
      <c r="Q809">
        <v>4</v>
      </c>
      <c r="R809" t="s">
        <v>392</v>
      </c>
      <c r="S809" s="1">
        <f>electric_vehicles_dataset[[#This Row],[Units_Sold_2024]]*electric_vehicles_dataset[[#This Row],[Price_USD]]</f>
        <v>629466167.14999998</v>
      </c>
      <c r="T809">
        <v>3</v>
      </c>
      <c r="U809">
        <v>12781</v>
      </c>
      <c r="V809">
        <v>5</v>
      </c>
    </row>
    <row r="810" spans="1:22" x14ac:dyDescent="0.35">
      <c r="A810">
        <v>809</v>
      </c>
      <c r="B810" t="s">
        <v>215</v>
      </c>
      <c r="C810" t="s">
        <v>377</v>
      </c>
      <c r="D810">
        <v>2018</v>
      </c>
      <c r="E810" t="s">
        <v>133</v>
      </c>
      <c r="F810">
        <v>148.30000000000001</v>
      </c>
      <c r="G810" t="s">
        <v>386</v>
      </c>
      <c r="H810">
        <f>electric_vehicles_dataset[[#This Row],[Battery_Capacity_kWh]]/electric_vehicles_dataset[[#This Row],[Range_km]]</f>
        <v>0.37075000000000002</v>
      </c>
      <c r="I810">
        <v>400</v>
      </c>
      <c r="J810" t="s">
        <v>34</v>
      </c>
      <c r="K810">
        <v>1</v>
      </c>
      <c r="L810" s="1">
        <v>36733.75</v>
      </c>
      <c r="M810" s="1" t="str" cm="1">
        <f t="array" ref="M81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10" t="s">
        <v>219</v>
      </c>
      <c r="O810" t="s">
        <v>134</v>
      </c>
      <c r="P810" s="2" t="s">
        <v>389</v>
      </c>
      <c r="Q810">
        <v>3</v>
      </c>
      <c r="R810" t="s">
        <v>397</v>
      </c>
      <c r="S810" s="1">
        <f>electric_vehicles_dataset[[#This Row],[Units_Sold_2024]]*electric_vehicles_dataset[[#This Row],[Price_USD]]</f>
        <v>89042610</v>
      </c>
      <c r="T810">
        <v>3</v>
      </c>
      <c r="U810">
        <v>2424</v>
      </c>
      <c r="V810">
        <v>4</v>
      </c>
    </row>
    <row r="811" spans="1:22" x14ac:dyDescent="0.35">
      <c r="A811">
        <v>810</v>
      </c>
      <c r="B811" t="s">
        <v>193</v>
      </c>
      <c r="C811" t="s">
        <v>203</v>
      </c>
      <c r="D811">
        <v>2021</v>
      </c>
      <c r="E811" t="s">
        <v>26</v>
      </c>
      <c r="F811">
        <v>39.700000000000003</v>
      </c>
      <c r="G811" t="s">
        <v>357</v>
      </c>
      <c r="H811">
        <f>electric_vehicles_dataset[[#This Row],[Battery_Capacity_kWh]]/electric_vehicles_dataset[[#This Row],[Range_km]]</f>
        <v>0.22429378531073449</v>
      </c>
      <c r="I811">
        <v>177</v>
      </c>
      <c r="J811" t="s">
        <v>54</v>
      </c>
      <c r="K811">
        <v>7</v>
      </c>
      <c r="L811" s="1">
        <v>97420.37</v>
      </c>
      <c r="M811" s="1" t="str" cm="1">
        <f t="array" ref="M8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11" t="s">
        <v>172</v>
      </c>
      <c r="O811" t="s">
        <v>78</v>
      </c>
      <c r="P811" s="2" t="s">
        <v>389</v>
      </c>
      <c r="Q811">
        <v>4</v>
      </c>
      <c r="R811" t="s">
        <v>392</v>
      </c>
      <c r="S811" s="1">
        <f>electric_vehicles_dataset[[#This Row],[Units_Sold_2024]]*electric_vehicles_dataset[[#This Row],[Price_USD]]</f>
        <v>930267113.13</v>
      </c>
      <c r="T811">
        <v>5</v>
      </c>
      <c r="U811">
        <v>9549</v>
      </c>
      <c r="V811">
        <v>5</v>
      </c>
    </row>
    <row r="812" spans="1:22" x14ac:dyDescent="0.35">
      <c r="A812">
        <v>811</v>
      </c>
      <c r="B812" t="s">
        <v>144</v>
      </c>
      <c r="C812" t="s">
        <v>273</v>
      </c>
      <c r="D812">
        <v>2016</v>
      </c>
      <c r="E812" t="s">
        <v>26</v>
      </c>
      <c r="F812">
        <v>122.2</v>
      </c>
      <c r="G812" t="s">
        <v>352</v>
      </c>
      <c r="H812">
        <f>electric_vehicles_dataset[[#This Row],[Battery_Capacity_kWh]]/electric_vehicles_dataset[[#This Row],[Range_km]]</f>
        <v>0.26336206896551723</v>
      </c>
      <c r="I812">
        <v>464</v>
      </c>
      <c r="J812" t="s">
        <v>38</v>
      </c>
      <c r="K812">
        <v>12</v>
      </c>
      <c r="L812" s="1">
        <v>73347.55</v>
      </c>
      <c r="M812" s="1" t="str" cm="1">
        <f t="array" ref="M81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12" t="s">
        <v>168</v>
      </c>
      <c r="O812" t="s">
        <v>236</v>
      </c>
      <c r="P812" s="2" t="s">
        <v>394</v>
      </c>
      <c r="Q812">
        <v>1</v>
      </c>
      <c r="R812" t="s">
        <v>391</v>
      </c>
      <c r="S812" s="1">
        <f>electric_vehicles_dataset[[#This Row],[Units_Sold_2024]]*electric_vehicles_dataset[[#This Row],[Price_USD]]</f>
        <v>870488723.39999998</v>
      </c>
      <c r="T812">
        <v>4</v>
      </c>
      <c r="U812">
        <v>11868</v>
      </c>
      <c r="V812">
        <v>4</v>
      </c>
    </row>
    <row r="813" spans="1:22" x14ac:dyDescent="0.35">
      <c r="A813">
        <v>812</v>
      </c>
      <c r="B813" t="s">
        <v>112</v>
      </c>
      <c r="C813" t="s">
        <v>237</v>
      </c>
      <c r="D813">
        <v>2019</v>
      </c>
      <c r="E813" t="s">
        <v>133</v>
      </c>
      <c r="F813">
        <v>98.5</v>
      </c>
      <c r="G813" t="s">
        <v>350</v>
      </c>
      <c r="H813">
        <f>electric_vehicles_dataset[[#This Row],[Battery_Capacity_kWh]]/electric_vehicles_dataset[[#This Row],[Range_km]]</f>
        <v>0.1707105719237435</v>
      </c>
      <c r="I813">
        <v>577</v>
      </c>
      <c r="J813" t="s">
        <v>76</v>
      </c>
      <c r="K813">
        <v>2</v>
      </c>
      <c r="L813" s="1">
        <v>107068.83</v>
      </c>
      <c r="M813" s="1" t="str" cm="1">
        <f t="array" ref="M81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13" t="s">
        <v>196</v>
      </c>
      <c r="O813" t="s">
        <v>164</v>
      </c>
      <c r="P813" s="2" t="s">
        <v>394</v>
      </c>
      <c r="Q813">
        <v>0</v>
      </c>
      <c r="R813" t="s">
        <v>390</v>
      </c>
      <c r="S813" s="1">
        <f>electric_vehicles_dataset[[#This Row],[Units_Sold_2024]]*electric_vehicles_dataset[[#This Row],[Price_USD]]</f>
        <v>1797150311.55</v>
      </c>
      <c r="T813">
        <v>4</v>
      </c>
      <c r="U813">
        <v>16785</v>
      </c>
      <c r="V813">
        <v>4</v>
      </c>
    </row>
    <row r="814" spans="1:22" x14ac:dyDescent="0.35">
      <c r="A814">
        <v>813</v>
      </c>
      <c r="B814" t="s">
        <v>144</v>
      </c>
      <c r="C814" t="s">
        <v>145</v>
      </c>
      <c r="D814">
        <v>2015</v>
      </c>
      <c r="E814" t="s">
        <v>47</v>
      </c>
      <c r="F814">
        <v>133.5</v>
      </c>
      <c r="G814" t="s">
        <v>352</v>
      </c>
      <c r="H814">
        <f>electric_vehicles_dataset[[#This Row],[Battery_Capacity_kWh]]/electric_vehicles_dataset[[#This Row],[Range_km]]</f>
        <v>0.5</v>
      </c>
      <c r="I814">
        <v>267</v>
      </c>
      <c r="J814" t="s">
        <v>356</v>
      </c>
      <c r="K814">
        <v>4</v>
      </c>
      <c r="L814" s="1">
        <v>70050.31</v>
      </c>
      <c r="M814" s="1" t="str" cm="1">
        <f t="array" ref="M81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14" t="s">
        <v>228</v>
      </c>
      <c r="O814" t="s">
        <v>92</v>
      </c>
      <c r="P814" s="2" t="s">
        <v>394</v>
      </c>
      <c r="Q814">
        <v>4</v>
      </c>
      <c r="R814" t="s">
        <v>392</v>
      </c>
      <c r="S814" s="1">
        <f>electric_vehicles_dataset[[#This Row],[Units_Sold_2024]]*electric_vehicles_dataset[[#This Row],[Price_USD]]</f>
        <v>201324590.94</v>
      </c>
      <c r="T814">
        <v>5</v>
      </c>
      <c r="U814">
        <v>2874</v>
      </c>
      <c r="V814">
        <v>5</v>
      </c>
    </row>
    <row r="815" spans="1:22" x14ac:dyDescent="0.35">
      <c r="A815">
        <v>814</v>
      </c>
      <c r="B815" t="s">
        <v>45</v>
      </c>
      <c r="C815" t="s">
        <v>46</v>
      </c>
      <c r="D815">
        <v>2025</v>
      </c>
      <c r="E815" t="s">
        <v>31</v>
      </c>
      <c r="F815">
        <v>117.7</v>
      </c>
      <c r="G815" t="s">
        <v>361</v>
      </c>
      <c r="H815">
        <f>electric_vehicles_dataset[[#This Row],[Battery_Capacity_kWh]]/electric_vehicles_dataset[[#This Row],[Range_km]]</f>
        <v>0.23922764227642276</v>
      </c>
      <c r="I815">
        <v>492</v>
      </c>
      <c r="J815" t="s">
        <v>358</v>
      </c>
      <c r="K815">
        <v>10</v>
      </c>
      <c r="L815" s="1">
        <v>85885.82</v>
      </c>
      <c r="M815" s="1" t="str" cm="1">
        <f t="array" ref="M81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15" t="s">
        <v>277</v>
      </c>
      <c r="O815" t="s">
        <v>44</v>
      </c>
      <c r="P815" s="2" t="s">
        <v>389</v>
      </c>
      <c r="Q815">
        <v>0</v>
      </c>
      <c r="R815" t="s">
        <v>390</v>
      </c>
      <c r="S815" s="1">
        <f>electric_vehicles_dataset[[#This Row],[Units_Sold_2024]]*electric_vehicles_dataset[[#This Row],[Price_USD]]</f>
        <v>1485137599.4400001</v>
      </c>
      <c r="T815">
        <v>4</v>
      </c>
      <c r="U815">
        <v>17292</v>
      </c>
      <c r="V815">
        <v>5</v>
      </c>
    </row>
    <row r="816" spans="1:22" x14ac:dyDescent="0.35">
      <c r="A816">
        <v>815</v>
      </c>
      <c r="B816" t="s">
        <v>269</v>
      </c>
      <c r="C816" t="s">
        <v>340</v>
      </c>
      <c r="D816">
        <v>2015</v>
      </c>
      <c r="E816" t="s">
        <v>42</v>
      </c>
      <c r="F816">
        <v>94.7</v>
      </c>
      <c r="G816" t="s">
        <v>350</v>
      </c>
      <c r="H816">
        <f>electric_vehicles_dataset[[#This Row],[Battery_Capacity_kWh]]/electric_vehicles_dataset[[#This Row],[Range_km]]</f>
        <v>0.91941747572815535</v>
      </c>
      <c r="I816">
        <v>103</v>
      </c>
      <c r="J816" t="s">
        <v>34</v>
      </c>
      <c r="K816">
        <v>1</v>
      </c>
      <c r="L816" s="1">
        <v>57027.59</v>
      </c>
      <c r="M816" s="1" t="str" cm="1">
        <f t="array" ref="M81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16" t="s">
        <v>196</v>
      </c>
      <c r="O816" t="s">
        <v>44</v>
      </c>
      <c r="P816" s="2" t="s">
        <v>389</v>
      </c>
      <c r="Q816">
        <v>1</v>
      </c>
      <c r="R816" t="s">
        <v>391</v>
      </c>
      <c r="S816" s="1">
        <f>electric_vehicles_dataset[[#This Row],[Units_Sold_2024]]*electric_vehicles_dataset[[#This Row],[Price_USD]]</f>
        <v>855356822.40999997</v>
      </c>
      <c r="T816">
        <v>5</v>
      </c>
      <c r="U816">
        <v>14999</v>
      </c>
      <c r="V816">
        <v>5</v>
      </c>
    </row>
    <row r="817" spans="1:22" x14ac:dyDescent="0.35">
      <c r="A817">
        <v>816</v>
      </c>
      <c r="B817" t="s">
        <v>68</v>
      </c>
      <c r="C817" t="s">
        <v>103</v>
      </c>
      <c r="D817">
        <v>2024</v>
      </c>
      <c r="E817" t="s">
        <v>53</v>
      </c>
      <c r="F817">
        <v>66.099999999999994</v>
      </c>
      <c r="G817" t="s">
        <v>351</v>
      </c>
      <c r="H817">
        <f>electric_vehicles_dataset[[#This Row],[Battery_Capacity_kWh]]/electric_vehicles_dataset[[#This Row],[Range_km]]</f>
        <v>0.12018181818181817</v>
      </c>
      <c r="I817">
        <v>550</v>
      </c>
      <c r="J817" t="s">
        <v>18</v>
      </c>
      <c r="K817">
        <v>3</v>
      </c>
      <c r="L817" s="1">
        <v>47794.06</v>
      </c>
      <c r="M817" s="1" t="str" cm="1">
        <f t="array" ref="M81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17" t="s">
        <v>127</v>
      </c>
      <c r="O817" t="s">
        <v>86</v>
      </c>
      <c r="P817" s="2" t="s">
        <v>389</v>
      </c>
      <c r="Q817">
        <v>1</v>
      </c>
      <c r="R817" t="s">
        <v>391</v>
      </c>
      <c r="S817" s="1">
        <f>electric_vehicles_dataset[[#This Row],[Units_Sold_2024]]*electric_vehicles_dataset[[#This Row],[Price_USD]]</f>
        <v>199396818.31999999</v>
      </c>
      <c r="T817">
        <v>3</v>
      </c>
      <c r="U817">
        <v>4172</v>
      </c>
      <c r="V817">
        <v>5</v>
      </c>
    </row>
    <row r="818" spans="1:22" x14ac:dyDescent="0.35">
      <c r="A818">
        <v>817</v>
      </c>
      <c r="B818" t="s">
        <v>243</v>
      </c>
      <c r="C818" t="s">
        <v>244</v>
      </c>
      <c r="D818">
        <v>2020</v>
      </c>
      <c r="E818" t="s">
        <v>26</v>
      </c>
      <c r="F818">
        <v>61</v>
      </c>
      <c r="G818" t="s">
        <v>351</v>
      </c>
      <c r="H818">
        <f>electric_vehicles_dataset[[#This Row],[Battery_Capacity_kWh]]/electric_vehicles_dataset[[#This Row],[Range_km]]</f>
        <v>0.28110599078341014</v>
      </c>
      <c r="I818">
        <v>217</v>
      </c>
      <c r="J818" t="s">
        <v>359</v>
      </c>
      <c r="K818">
        <v>3</v>
      </c>
      <c r="L818" s="1">
        <v>49594.67</v>
      </c>
      <c r="M818" s="1" t="str" cm="1">
        <f t="array" ref="M81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18" t="s">
        <v>49</v>
      </c>
      <c r="O818" t="s">
        <v>159</v>
      </c>
      <c r="P818" s="2" t="s">
        <v>389</v>
      </c>
      <c r="Q818">
        <v>1</v>
      </c>
      <c r="R818" t="s">
        <v>391</v>
      </c>
      <c r="S818" s="1">
        <f>electric_vehicles_dataset[[#This Row],[Units_Sold_2024]]*electric_vehicles_dataset[[#This Row],[Price_USD]]</f>
        <v>714460816.01999998</v>
      </c>
      <c r="T818">
        <v>4</v>
      </c>
      <c r="U818">
        <v>14406</v>
      </c>
      <c r="V818">
        <v>3</v>
      </c>
    </row>
    <row r="819" spans="1:22" x14ac:dyDescent="0.35">
      <c r="A819">
        <v>818</v>
      </c>
      <c r="B819" t="s">
        <v>24</v>
      </c>
      <c r="C819" t="s">
        <v>264</v>
      </c>
      <c r="D819">
        <v>2022</v>
      </c>
      <c r="E819" t="s">
        <v>26</v>
      </c>
      <c r="F819">
        <v>116.7</v>
      </c>
      <c r="G819" t="s">
        <v>361</v>
      </c>
      <c r="H819">
        <f>electric_vehicles_dataset[[#This Row],[Battery_Capacity_kWh]]/electric_vehicles_dataset[[#This Row],[Range_km]]</f>
        <v>0.24414225941422596</v>
      </c>
      <c r="I819">
        <v>478</v>
      </c>
      <c r="J819" t="s">
        <v>359</v>
      </c>
      <c r="K819">
        <v>5</v>
      </c>
      <c r="L819" s="1">
        <v>83617.490000000005</v>
      </c>
      <c r="M819" s="1" t="str" cm="1">
        <f t="array" ref="M81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19" t="s">
        <v>253</v>
      </c>
      <c r="O819" t="s">
        <v>63</v>
      </c>
      <c r="P819" s="2" t="s">
        <v>389</v>
      </c>
      <c r="Q819">
        <v>3</v>
      </c>
      <c r="R819" t="s">
        <v>397</v>
      </c>
      <c r="S819" s="1">
        <f>electric_vehicles_dataset[[#This Row],[Units_Sold_2024]]*electric_vehicles_dataset[[#This Row],[Price_USD]]</f>
        <v>1388301186.47</v>
      </c>
      <c r="T819">
        <v>3</v>
      </c>
      <c r="U819">
        <v>16603</v>
      </c>
      <c r="V819">
        <v>5</v>
      </c>
    </row>
    <row r="820" spans="1:22" x14ac:dyDescent="0.35">
      <c r="A820">
        <v>819</v>
      </c>
      <c r="B820" t="s">
        <v>259</v>
      </c>
      <c r="C820" t="s">
        <v>311</v>
      </c>
      <c r="D820">
        <v>2017</v>
      </c>
      <c r="E820" t="s">
        <v>183</v>
      </c>
      <c r="F820">
        <v>47.3</v>
      </c>
      <c r="G820" t="s">
        <v>348</v>
      </c>
      <c r="H820">
        <f>electric_vehicles_dataset[[#This Row],[Battery_Capacity_kWh]]/electric_vehicles_dataset[[#This Row],[Range_km]]</f>
        <v>8.1411359724612734E-2</v>
      </c>
      <c r="I820">
        <v>581</v>
      </c>
      <c r="J820" t="s">
        <v>356</v>
      </c>
      <c r="K820">
        <v>9</v>
      </c>
      <c r="L820" s="1">
        <v>73006.84</v>
      </c>
      <c r="M820" s="1" t="str" cm="1">
        <f t="array" ref="M82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20" t="s">
        <v>146</v>
      </c>
      <c r="O820" t="s">
        <v>169</v>
      </c>
      <c r="P820" s="2" t="s">
        <v>394</v>
      </c>
      <c r="Q820">
        <v>0</v>
      </c>
      <c r="R820" t="s">
        <v>390</v>
      </c>
      <c r="S820" s="1">
        <f>electric_vehicles_dataset[[#This Row],[Units_Sold_2024]]*electric_vehicles_dataset[[#This Row],[Price_USD]]</f>
        <v>1217024022.8</v>
      </c>
      <c r="T820">
        <v>4</v>
      </c>
      <c r="U820">
        <v>16670</v>
      </c>
      <c r="V820">
        <v>3</v>
      </c>
    </row>
    <row r="821" spans="1:22" x14ac:dyDescent="0.35">
      <c r="A821">
        <v>820</v>
      </c>
      <c r="B821" t="s">
        <v>45</v>
      </c>
      <c r="C821" t="s">
        <v>132</v>
      </c>
      <c r="D821">
        <v>2015</v>
      </c>
      <c r="E821" t="s">
        <v>42</v>
      </c>
      <c r="F821">
        <v>124.4</v>
      </c>
      <c r="G821" t="s">
        <v>352</v>
      </c>
      <c r="H821">
        <f>electric_vehicles_dataset[[#This Row],[Battery_Capacity_kWh]]/electric_vehicles_dataset[[#This Row],[Range_km]]</f>
        <v>0.40921052631578947</v>
      </c>
      <c r="I821">
        <v>304</v>
      </c>
      <c r="J821" t="s">
        <v>48</v>
      </c>
      <c r="K821">
        <v>5</v>
      </c>
      <c r="L821" s="1">
        <v>143487.81</v>
      </c>
      <c r="M821" s="1" t="str" cm="1">
        <f t="array" ref="M82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21" t="s">
        <v>142</v>
      </c>
      <c r="O821" t="s">
        <v>92</v>
      </c>
      <c r="P821" s="2" t="s">
        <v>394</v>
      </c>
      <c r="Q821">
        <v>5</v>
      </c>
      <c r="R821" t="s">
        <v>392</v>
      </c>
      <c r="S821" s="1">
        <f>electric_vehicles_dataset[[#This Row],[Units_Sold_2024]]*electric_vehicles_dataset[[#This Row],[Price_USD]]</f>
        <v>1832195845.8899999</v>
      </c>
      <c r="T821">
        <v>3</v>
      </c>
      <c r="U821">
        <v>12769</v>
      </c>
      <c r="V821">
        <v>4</v>
      </c>
    </row>
    <row r="822" spans="1:22" x14ac:dyDescent="0.35">
      <c r="A822">
        <v>821</v>
      </c>
      <c r="B822" t="s">
        <v>144</v>
      </c>
      <c r="C822" t="s">
        <v>145</v>
      </c>
      <c r="D822">
        <v>2025</v>
      </c>
      <c r="E822" t="s">
        <v>53</v>
      </c>
      <c r="F822">
        <v>62</v>
      </c>
      <c r="G822" t="s">
        <v>351</v>
      </c>
      <c r="H822">
        <f>electric_vehicles_dataset[[#This Row],[Battery_Capacity_kWh]]/electric_vehicles_dataset[[#This Row],[Range_km]]</f>
        <v>0.36046511627906974</v>
      </c>
      <c r="I822">
        <v>172</v>
      </c>
      <c r="J822" t="s">
        <v>353</v>
      </c>
      <c r="K822">
        <v>3</v>
      </c>
      <c r="L822" s="1">
        <v>31112.87</v>
      </c>
      <c r="M822" s="1" t="str" cm="1">
        <f t="array" ref="M82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22" t="s">
        <v>212</v>
      </c>
      <c r="O822" t="s">
        <v>44</v>
      </c>
      <c r="P822" s="2" t="s">
        <v>389</v>
      </c>
      <c r="Q822">
        <v>5</v>
      </c>
      <c r="R822" t="s">
        <v>392</v>
      </c>
      <c r="S822" s="1">
        <f>electric_vehicles_dataset[[#This Row],[Units_Sold_2024]]*electric_vehicles_dataset[[#This Row],[Price_USD]]</f>
        <v>607821028.31999993</v>
      </c>
      <c r="T822">
        <v>4</v>
      </c>
      <c r="U822">
        <v>19536</v>
      </c>
      <c r="V822">
        <v>3</v>
      </c>
    </row>
    <row r="823" spans="1:22" x14ac:dyDescent="0.35">
      <c r="A823">
        <v>822</v>
      </c>
      <c r="B823" t="s">
        <v>269</v>
      </c>
      <c r="C823" t="s">
        <v>270</v>
      </c>
      <c r="D823">
        <v>2020</v>
      </c>
      <c r="E823" t="s">
        <v>90</v>
      </c>
      <c r="F823">
        <v>73.900000000000006</v>
      </c>
      <c r="G823" t="s">
        <v>351</v>
      </c>
      <c r="H823">
        <f>electric_vehicles_dataset[[#This Row],[Battery_Capacity_kWh]]/electric_vehicles_dataset[[#This Row],[Range_km]]</f>
        <v>0.41055555555555556</v>
      </c>
      <c r="I823">
        <v>180</v>
      </c>
      <c r="J823" t="s">
        <v>358</v>
      </c>
      <c r="K823">
        <v>3</v>
      </c>
      <c r="L823" s="1">
        <v>142354.99</v>
      </c>
      <c r="M823" s="1" t="str" cm="1">
        <f t="array" ref="M82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23" t="s">
        <v>240</v>
      </c>
      <c r="O823" t="s">
        <v>86</v>
      </c>
      <c r="P823" s="2" t="s">
        <v>389</v>
      </c>
      <c r="Q823">
        <v>0</v>
      </c>
      <c r="R823" t="s">
        <v>390</v>
      </c>
      <c r="S823" s="1">
        <f>electric_vehicles_dataset[[#This Row],[Units_Sold_2024]]*electric_vehicles_dataset[[#This Row],[Price_USD]]</f>
        <v>951927818.13</v>
      </c>
      <c r="T823">
        <v>4</v>
      </c>
      <c r="U823">
        <v>6687</v>
      </c>
      <c r="V823">
        <v>4</v>
      </c>
    </row>
    <row r="824" spans="1:22" x14ac:dyDescent="0.35">
      <c r="A824">
        <v>823</v>
      </c>
      <c r="B824" t="s">
        <v>36</v>
      </c>
      <c r="C824" t="s">
        <v>37</v>
      </c>
      <c r="D824">
        <v>2019</v>
      </c>
      <c r="E824" t="s">
        <v>90</v>
      </c>
      <c r="F824">
        <v>61.7</v>
      </c>
      <c r="G824" t="s">
        <v>351</v>
      </c>
      <c r="H824">
        <f>electric_vehicles_dataset[[#This Row],[Battery_Capacity_kWh]]/electric_vehicles_dataset[[#This Row],[Range_km]]</f>
        <v>0.12315369261477047</v>
      </c>
      <c r="I824">
        <v>501</v>
      </c>
      <c r="J824" t="s">
        <v>76</v>
      </c>
      <c r="K824">
        <v>4</v>
      </c>
      <c r="L824" s="1">
        <v>136658.45000000001</v>
      </c>
      <c r="M824" s="1" t="str" cm="1">
        <f t="array" ref="M82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24" t="s">
        <v>210</v>
      </c>
      <c r="O824" t="s">
        <v>44</v>
      </c>
      <c r="P824" s="2" t="s">
        <v>389</v>
      </c>
      <c r="Q824">
        <v>0</v>
      </c>
      <c r="R824" t="s">
        <v>390</v>
      </c>
      <c r="S824" s="1">
        <f>electric_vehicles_dataset[[#This Row],[Units_Sold_2024]]*electric_vehicles_dataset[[#This Row],[Price_USD]]</f>
        <v>2351755266.0500002</v>
      </c>
      <c r="T824">
        <v>5</v>
      </c>
      <c r="U824">
        <v>17209</v>
      </c>
      <c r="V824">
        <v>3</v>
      </c>
    </row>
    <row r="825" spans="1:22" x14ac:dyDescent="0.35">
      <c r="A825">
        <v>824</v>
      </c>
      <c r="B825" t="s">
        <v>220</v>
      </c>
      <c r="C825" t="s">
        <v>290</v>
      </c>
      <c r="D825">
        <v>2015</v>
      </c>
      <c r="E825" t="s">
        <v>104</v>
      </c>
      <c r="F825">
        <v>136.6</v>
      </c>
      <c r="G825" t="s">
        <v>352</v>
      </c>
      <c r="H825">
        <f>electric_vehicles_dataset[[#This Row],[Battery_Capacity_kWh]]/electric_vehicles_dataset[[#This Row],[Range_km]]</f>
        <v>0.92925170068027207</v>
      </c>
      <c r="I825">
        <v>147</v>
      </c>
      <c r="J825" t="s">
        <v>358</v>
      </c>
      <c r="K825">
        <v>12</v>
      </c>
      <c r="L825" s="1">
        <v>43489.27</v>
      </c>
      <c r="M825" s="1" t="str" cm="1">
        <f t="array" ref="M82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25" t="s">
        <v>152</v>
      </c>
      <c r="O825" t="s">
        <v>40</v>
      </c>
      <c r="P825" s="2" t="s">
        <v>395</v>
      </c>
      <c r="Q825">
        <v>4</v>
      </c>
      <c r="R825" t="s">
        <v>392</v>
      </c>
      <c r="S825" s="1">
        <f>electric_vehicles_dataset[[#This Row],[Units_Sold_2024]]*electric_vehicles_dataset[[#This Row],[Price_USD]]</f>
        <v>1000253.21</v>
      </c>
      <c r="T825">
        <v>5</v>
      </c>
      <c r="U825">
        <v>23</v>
      </c>
      <c r="V825">
        <v>4</v>
      </c>
    </row>
    <row r="826" spans="1:22" x14ac:dyDescent="0.35">
      <c r="A826">
        <v>825</v>
      </c>
      <c r="B826" t="s">
        <v>173</v>
      </c>
      <c r="C826" t="s">
        <v>174</v>
      </c>
      <c r="D826">
        <v>2019</v>
      </c>
      <c r="E826" t="s">
        <v>101</v>
      </c>
      <c r="F826">
        <v>62</v>
      </c>
      <c r="G826" t="s">
        <v>351</v>
      </c>
      <c r="H826">
        <f>electric_vehicles_dataset[[#This Row],[Battery_Capacity_kWh]]/electric_vehicles_dataset[[#This Row],[Range_km]]</f>
        <v>0.16489361702127658</v>
      </c>
      <c r="I826">
        <v>376</v>
      </c>
      <c r="J826" t="s">
        <v>149</v>
      </c>
      <c r="K826">
        <v>12</v>
      </c>
      <c r="L826" s="1">
        <v>110211.83</v>
      </c>
      <c r="M826" s="1" t="str" cm="1">
        <f t="array" ref="M82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26" t="s">
        <v>175</v>
      </c>
      <c r="O826" t="s">
        <v>226</v>
      </c>
      <c r="P826" s="2" t="s">
        <v>395</v>
      </c>
      <c r="Q826">
        <v>4</v>
      </c>
      <c r="R826" t="s">
        <v>392</v>
      </c>
      <c r="S826" s="1">
        <f>electric_vehicles_dataset[[#This Row],[Units_Sold_2024]]*electric_vehicles_dataset[[#This Row],[Price_USD]]</f>
        <v>514909669.75999999</v>
      </c>
      <c r="T826">
        <v>3</v>
      </c>
      <c r="U826">
        <v>4672</v>
      </c>
      <c r="V826">
        <v>3</v>
      </c>
    </row>
    <row r="827" spans="1:22" x14ac:dyDescent="0.35">
      <c r="A827">
        <v>826</v>
      </c>
      <c r="B827" t="s">
        <v>68</v>
      </c>
      <c r="C827" t="s">
        <v>103</v>
      </c>
      <c r="D827">
        <v>2016</v>
      </c>
      <c r="E827" t="s">
        <v>17</v>
      </c>
      <c r="F827">
        <v>72.5</v>
      </c>
      <c r="G827" t="s">
        <v>351</v>
      </c>
      <c r="H827">
        <f>electric_vehicles_dataset[[#This Row],[Battery_Capacity_kWh]]/electric_vehicles_dataset[[#This Row],[Range_km]]</f>
        <v>0.13086642599277978</v>
      </c>
      <c r="I827">
        <v>554</v>
      </c>
      <c r="J827" t="s">
        <v>48</v>
      </c>
      <c r="K827">
        <v>3</v>
      </c>
      <c r="L827" s="1">
        <v>60080.480000000003</v>
      </c>
      <c r="M827" s="1" t="str" cm="1">
        <f t="array" ref="M82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27" t="s">
        <v>254</v>
      </c>
      <c r="O827" t="s">
        <v>111</v>
      </c>
      <c r="P827" s="2" t="s">
        <v>389</v>
      </c>
      <c r="Q827">
        <v>3</v>
      </c>
      <c r="R827" t="s">
        <v>397</v>
      </c>
      <c r="S827" s="1">
        <f>electric_vehicles_dataset[[#This Row],[Units_Sold_2024]]*electric_vehicles_dataset[[#This Row],[Price_USD]]</f>
        <v>525103395.20000005</v>
      </c>
      <c r="T827">
        <v>5</v>
      </c>
      <c r="U827">
        <v>8740</v>
      </c>
      <c r="V827">
        <v>3</v>
      </c>
    </row>
    <row r="828" spans="1:22" x14ac:dyDescent="0.35">
      <c r="A828">
        <v>827</v>
      </c>
      <c r="B828" t="s">
        <v>56</v>
      </c>
      <c r="C828" t="s">
        <v>57</v>
      </c>
      <c r="D828">
        <v>2020</v>
      </c>
      <c r="E828" t="s">
        <v>73</v>
      </c>
      <c r="F828">
        <v>38.9</v>
      </c>
      <c r="G828" t="s">
        <v>357</v>
      </c>
      <c r="H828">
        <f>electric_vehicles_dataset[[#This Row],[Battery_Capacity_kWh]]/electric_vehicles_dataset[[#This Row],[Range_km]]</f>
        <v>8.1551362683438156E-2</v>
      </c>
      <c r="I828">
        <v>477</v>
      </c>
      <c r="J828" t="s">
        <v>27</v>
      </c>
      <c r="K828">
        <v>9</v>
      </c>
      <c r="L828" s="1">
        <v>125972.57</v>
      </c>
      <c r="M828" s="1" t="str" cm="1">
        <f t="array" ref="M8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28" t="s">
        <v>238</v>
      </c>
      <c r="O828" t="s">
        <v>67</v>
      </c>
      <c r="P828" s="2" t="s">
        <v>394</v>
      </c>
      <c r="Q828">
        <v>1</v>
      </c>
      <c r="R828" t="s">
        <v>391</v>
      </c>
      <c r="S828" s="1">
        <f>electric_vehicles_dataset[[#This Row],[Units_Sold_2024]]*electric_vehicles_dataset[[#This Row],[Price_USD]]</f>
        <v>668158511.28000009</v>
      </c>
      <c r="T828">
        <v>3</v>
      </c>
      <c r="U828">
        <v>5304</v>
      </c>
      <c r="V828">
        <v>4</v>
      </c>
    </row>
    <row r="829" spans="1:22" x14ac:dyDescent="0.35">
      <c r="A829">
        <v>828</v>
      </c>
      <c r="B829" t="s">
        <v>56</v>
      </c>
      <c r="C829" t="s">
        <v>57</v>
      </c>
      <c r="D829">
        <v>2024</v>
      </c>
      <c r="E829" t="s">
        <v>130</v>
      </c>
      <c r="F829">
        <v>82.9</v>
      </c>
      <c r="G829" t="s">
        <v>350</v>
      </c>
      <c r="H829">
        <f>electric_vehicles_dataset[[#This Row],[Battery_Capacity_kWh]]/electric_vehicles_dataset[[#This Row],[Range_km]]</f>
        <v>0.30036231884057973</v>
      </c>
      <c r="I829">
        <v>276</v>
      </c>
      <c r="J829" t="s">
        <v>359</v>
      </c>
      <c r="K829">
        <v>8</v>
      </c>
      <c r="L829" s="1">
        <v>128038.74</v>
      </c>
      <c r="M829" s="1" t="str" cm="1">
        <f t="array" ref="M82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29" t="s">
        <v>59</v>
      </c>
      <c r="O829" t="s">
        <v>164</v>
      </c>
      <c r="P829" s="2" t="s">
        <v>394</v>
      </c>
      <c r="Q829">
        <v>1</v>
      </c>
      <c r="R829" t="s">
        <v>391</v>
      </c>
      <c r="S829" s="1">
        <f>electric_vehicles_dataset[[#This Row],[Units_Sold_2024]]*electric_vehicles_dataset[[#This Row],[Price_USD]]</f>
        <v>494229536.40000004</v>
      </c>
      <c r="T829">
        <v>4</v>
      </c>
      <c r="U829">
        <v>3860</v>
      </c>
      <c r="V829">
        <v>5</v>
      </c>
    </row>
    <row r="830" spans="1:22" x14ac:dyDescent="0.35">
      <c r="A830">
        <v>829</v>
      </c>
      <c r="B830" t="s">
        <v>122</v>
      </c>
      <c r="C830" t="s">
        <v>250</v>
      </c>
      <c r="D830">
        <v>2023</v>
      </c>
      <c r="E830" t="s">
        <v>53</v>
      </c>
      <c r="F830">
        <v>63.9</v>
      </c>
      <c r="G830" t="s">
        <v>351</v>
      </c>
      <c r="H830">
        <f>electric_vehicles_dataset[[#This Row],[Battery_Capacity_kWh]]/electric_vehicles_dataset[[#This Row],[Range_km]]</f>
        <v>0.11492805755395684</v>
      </c>
      <c r="I830">
        <v>556</v>
      </c>
      <c r="J830" t="s">
        <v>85</v>
      </c>
      <c r="K830">
        <v>3</v>
      </c>
      <c r="L830" s="1">
        <v>126838.62</v>
      </c>
      <c r="M830" s="1" t="str" cm="1">
        <f t="array" ref="M8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30" t="s">
        <v>214</v>
      </c>
      <c r="O830" t="s">
        <v>354</v>
      </c>
      <c r="P830" s="2" t="s">
        <v>394</v>
      </c>
      <c r="Q830">
        <v>0</v>
      </c>
      <c r="R830" t="s">
        <v>390</v>
      </c>
      <c r="S830" s="1">
        <f>electric_vehicles_dataset[[#This Row],[Units_Sold_2024]]*electric_vehicles_dataset[[#This Row],[Price_USD]]</f>
        <v>1092461034.0599999</v>
      </c>
      <c r="T830">
        <v>5</v>
      </c>
      <c r="U830">
        <v>8613</v>
      </c>
      <c r="V830">
        <v>3</v>
      </c>
    </row>
    <row r="831" spans="1:22" x14ac:dyDescent="0.35">
      <c r="A831">
        <v>830</v>
      </c>
      <c r="B831" t="s">
        <v>170</v>
      </c>
      <c r="C831" t="s">
        <v>218</v>
      </c>
      <c r="D831">
        <v>2021</v>
      </c>
      <c r="E831" t="s">
        <v>73</v>
      </c>
      <c r="F831">
        <v>23.3</v>
      </c>
      <c r="G831" t="s">
        <v>357</v>
      </c>
      <c r="H831">
        <f>electric_vehicles_dataset[[#This Row],[Battery_Capacity_kWh]]/electric_vehicles_dataset[[#This Row],[Range_km]]</f>
        <v>6.1640211640211641E-2</v>
      </c>
      <c r="I831">
        <v>378</v>
      </c>
      <c r="J831" t="s">
        <v>18</v>
      </c>
      <c r="K831">
        <v>2</v>
      </c>
      <c r="L831" s="1">
        <v>147010.54999999999</v>
      </c>
      <c r="M831" s="1" t="str" cm="1">
        <f t="array" ref="M83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31" t="s">
        <v>142</v>
      </c>
      <c r="O831" t="s">
        <v>147</v>
      </c>
      <c r="P831" s="2" t="s">
        <v>396</v>
      </c>
      <c r="Q831">
        <v>0</v>
      </c>
      <c r="R831" t="s">
        <v>390</v>
      </c>
      <c r="S831" s="1">
        <f>electric_vehicles_dataset[[#This Row],[Units_Sold_2024]]*electric_vehicles_dataset[[#This Row],[Price_USD]]</f>
        <v>1478926133</v>
      </c>
      <c r="T831">
        <v>4</v>
      </c>
      <c r="U831">
        <v>10060</v>
      </c>
      <c r="V831">
        <v>4</v>
      </c>
    </row>
    <row r="832" spans="1:22" x14ac:dyDescent="0.35">
      <c r="A832">
        <v>831</v>
      </c>
      <c r="B832" t="s">
        <v>222</v>
      </c>
      <c r="C832" t="s">
        <v>223</v>
      </c>
      <c r="D832">
        <v>2023</v>
      </c>
      <c r="E832" t="s">
        <v>101</v>
      </c>
      <c r="F832">
        <v>71.7</v>
      </c>
      <c r="G832" t="s">
        <v>351</v>
      </c>
      <c r="H832">
        <f>electric_vehicles_dataset[[#This Row],[Battery_Capacity_kWh]]/electric_vehicles_dataset[[#This Row],[Range_km]]</f>
        <v>0.12340791738382101</v>
      </c>
      <c r="I832">
        <v>581</v>
      </c>
      <c r="J832" t="s">
        <v>359</v>
      </c>
      <c r="K832">
        <v>2</v>
      </c>
      <c r="L832" s="1">
        <v>111668.92</v>
      </c>
      <c r="M832" s="1" t="str" cm="1">
        <f t="array" ref="M83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32" t="s">
        <v>168</v>
      </c>
      <c r="O832" t="s">
        <v>135</v>
      </c>
      <c r="P832" s="2" t="s">
        <v>389</v>
      </c>
      <c r="Q832">
        <v>5</v>
      </c>
      <c r="R832" t="s">
        <v>392</v>
      </c>
      <c r="S832" s="1">
        <f>electric_vehicles_dataset[[#This Row],[Units_Sold_2024]]*electric_vehicles_dataset[[#This Row],[Price_USD]]</f>
        <v>2059621560.48</v>
      </c>
      <c r="T832">
        <v>3</v>
      </c>
      <c r="U832">
        <v>18444</v>
      </c>
      <c r="V832">
        <v>5</v>
      </c>
    </row>
    <row r="833" spans="1:22" x14ac:dyDescent="0.35">
      <c r="A833">
        <v>832</v>
      </c>
      <c r="B833" t="s">
        <v>207</v>
      </c>
      <c r="C833" t="s">
        <v>304</v>
      </c>
      <c r="D833">
        <v>2023</v>
      </c>
      <c r="E833" t="s">
        <v>104</v>
      </c>
      <c r="F833">
        <v>90.1</v>
      </c>
      <c r="G833" t="s">
        <v>350</v>
      </c>
      <c r="H833">
        <f>electric_vehicles_dataset[[#This Row],[Battery_Capacity_kWh]]/electric_vehicles_dataset[[#This Row],[Range_km]]</f>
        <v>0.19802197802197802</v>
      </c>
      <c r="I833">
        <v>455</v>
      </c>
      <c r="J833" t="s">
        <v>85</v>
      </c>
      <c r="K833">
        <v>5</v>
      </c>
      <c r="L833" s="1">
        <v>42016.57</v>
      </c>
      <c r="M833" s="1" t="str" cm="1">
        <f t="array" ref="M83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33" t="s">
        <v>177</v>
      </c>
      <c r="O833" t="s">
        <v>118</v>
      </c>
      <c r="P833" s="2" t="s">
        <v>389</v>
      </c>
      <c r="Q833">
        <v>5</v>
      </c>
      <c r="R833" t="s">
        <v>392</v>
      </c>
      <c r="S833" s="1">
        <f>electric_vehicles_dataset[[#This Row],[Units_Sold_2024]]*electric_vehicles_dataset[[#This Row],[Price_USD]]</f>
        <v>583778223.58000004</v>
      </c>
      <c r="T833">
        <v>5</v>
      </c>
      <c r="U833">
        <v>13894</v>
      </c>
      <c r="V833">
        <v>3</v>
      </c>
    </row>
    <row r="834" spans="1:22" x14ac:dyDescent="0.35">
      <c r="A834">
        <v>833</v>
      </c>
      <c r="B834" t="s">
        <v>122</v>
      </c>
      <c r="C834" t="s">
        <v>186</v>
      </c>
      <c r="D834">
        <v>2021</v>
      </c>
      <c r="E834" t="s">
        <v>133</v>
      </c>
      <c r="F834">
        <v>70.7</v>
      </c>
      <c r="G834" t="s">
        <v>351</v>
      </c>
      <c r="H834">
        <f>electric_vehicles_dataset[[#This Row],[Battery_Capacity_kWh]]/electric_vehicles_dataset[[#This Row],[Range_km]]</f>
        <v>0.19264305177111718</v>
      </c>
      <c r="I834">
        <v>367</v>
      </c>
      <c r="J834" t="s">
        <v>358</v>
      </c>
      <c r="K834">
        <v>11</v>
      </c>
      <c r="L834" s="1">
        <v>86160.5</v>
      </c>
      <c r="M834" s="1" t="str" cm="1">
        <f t="array" ref="M8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34" t="s">
        <v>131</v>
      </c>
      <c r="O834" t="s">
        <v>111</v>
      </c>
      <c r="P834" s="2" t="s">
        <v>389</v>
      </c>
      <c r="Q834">
        <v>5</v>
      </c>
      <c r="R834" t="s">
        <v>392</v>
      </c>
      <c r="S834" s="1">
        <f>electric_vehicles_dataset[[#This Row],[Units_Sold_2024]]*electric_vehicles_dataset[[#This Row],[Price_USD]]</f>
        <v>589337820</v>
      </c>
      <c r="T834">
        <v>4</v>
      </c>
      <c r="U834">
        <v>6840</v>
      </c>
      <c r="V834">
        <v>5</v>
      </c>
    </row>
    <row r="835" spans="1:22" x14ac:dyDescent="0.35">
      <c r="A835">
        <v>834</v>
      </c>
      <c r="B835" t="s">
        <v>155</v>
      </c>
      <c r="C835" t="s">
        <v>156</v>
      </c>
      <c r="D835">
        <v>2015</v>
      </c>
      <c r="E835" t="s">
        <v>183</v>
      </c>
      <c r="F835">
        <v>73.3</v>
      </c>
      <c r="G835" t="s">
        <v>351</v>
      </c>
      <c r="H835">
        <f>electric_vehicles_dataset[[#This Row],[Battery_Capacity_kWh]]/electric_vehicles_dataset[[#This Row],[Range_km]]</f>
        <v>0.4236994219653179</v>
      </c>
      <c r="I835">
        <v>173</v>
      </c>
      <c r="J835" t="s">
        <v>356</v>
      </c>
      <c r="K835">
        <v>10</v>
      </c>
      <c r="L835" s="1">
        <v>121751.15</v>
      </c>
      <c r="M835" s="1" t="str" cm="1">
        <f t="array" ref="M83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35" t="s">
        <v>271</v>
      </c>
      <c r="O835" t="s">
        <v>78</v>
      </c>
      <c r="P835" s="2" t="s">
        <v>389</v>
      </c>
      <c r="Q835">
        <v>1</v>
      </c>
      <c r="R835" t="s">
        <v>391</v>
      </c>
      <c r="S835" s="1">
        <f>electric_vehicles_dataset[[#This Row],[Units_Sold_2024]]*electric_vehicles_dataset[[#This Row],[Price_USD]]</f>
        <v>991663116.75</v>
      </c>
      <c r="T835">
        <v>3</v>
      </c>
      <c r="U835">
        <v>8145</v>
      </c>
      <c r="V835">
        <v>4</v>
      </c>
    </row>
    <row r="836" spans="1:22" x14ac:dyDescent="0.35">
      <c r="A836">
        <v>835</v>
      </c>
      <c r="B836" t="s">
        <v>29</v>
      </c>
      <c r="C836" t="s">
        <v>197</v>
      </c>
      <c r="D836">
        <v>2019</v>
      </c>
      <c r="E836" t="s">
        <v>101</v>
      </c>
      <c r="F836">
        <v>136</v>
      </c>
      <c r="G836" t="s">
        <v>352</v>
      </c>
      <c r="H836">
        <f>electric_vehicles_dataset[[#This Row],[Battery_Capacity_kWh]]/electric_vehicles_dataset[[#This Row],[Range_km]]</f>
        <v>0.83435582822085885</v>
      </c>
      <c r="I836">
        <v>163</v>
      </c>
      <c r="J836" t="s">
        <v>18</v>
      </c>
      <c r="K836">
        <v>3</v>
      </c>
      <c r="L836" s="1">
        <v>47089.01</v>
      </c>
      <c r="M836" s="1" t="str" cm="1">
        <f t="array" ref="M8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36" t="s">
        <v>49</v>
      </c>
      <c r="O836" t="s">
        <v>89</v>
      </c>
      <c r="P836" s="2" t="s">
        <v>389</v>
      </c>
      <c r="Q836">
        <v>1</v>
      </c>
      <c r="R836" t="s">
        <v>391</v>
      </c>
      <c r="S836" s="1">
        <f>electric_vehicles_dataset[[#This Row],[Units_Sold_2024]]*electric_vehicles_dataset[[#This Row],[Price_USD]]</f>
        <v>923368397.09000003</v>
      </c>
      <c r="T836">
        <v>3</v>
      </c>
      <c r="U836">
        <v>19609</v>
      </c>
      <c r="V836">
        <v>4</v>
      </c>
    </row>
    <row r="837" spans="1:22" x14ac:dyDescent="0.35">
      <c r="A837">
        <v>836</v>
      </c>
      <c r="B837" t="s">
        <v>128</v>
      </c>
      <c r="C837" t="s">
        <v>332</v>
      </c>
      <c r="D837">
        <v>2019</v>
      </c>
      <c r="E837" t="s">
        <v>26</v>
      </c>
      <c r="F837">
        <v>36.200000000000003</v>
      </c>
      <c r="G837" t="s">
        <v>357</v>
      </c>
      <c r="H837">
        <f>electric_vehicles_dataset[[#This Row],[Battery_Capacity_kWh]]/electric_vehicles_dataset[[#This Row],[Range_km]]</f>
        <v>7.5416666666666674E-2</v>
      </c>
      <c r="I837">
        <v>480</v>
      </c>
      <c r="J837" t="s">
        <v>345</v>
      </c>
      <c r="K837">
        <v>2</v>
      </c>
      <c r="L837" s="1">
        <v>135627.23000000001</v>
      </c>
      <c r="M837" s="1" t="str" cm="1">
        <f t="array" ref="M83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37" t="s">
        <v>62</v>
      </c>
      <c r="O837" t="s">
        <v>50</v>
      </c>
      <c r="P837" s="2" t="s">
        <v>396</v>
      </c>
      <c r="Q837">
        <v>0</v>
      </c>
      <c r="R837" t="s">
        <v>390</v>
      </c>
      <c r="S837" s="1">
        <f>electric_vehicles_dataset[[#This Row],[Units_Sold_2024]]*electric_vehicles_dataset[[#This Row],[Price_USD]]</f>
        <v>2073333465.0100002</v>
      </c>
      <c r="T837">
        <v>3</v>
      </c>
      <c r="U837">
        <v>15287</v>
      </c>
      <c r="V837">
        <v>4</v>
      </c>
    </row>
    <row r="838" spans="1:22" x14ac:dyDescent="0.35">
      <c r="A838">
        <v>837</v>
      </c>
      <c r="B838" t="s">
        <v>41</v>
      </c>
      <c r="C838" t="s">
        <v>374</v>
      </c>
      <c r="D838">
        <v>2022</v>
      </c>
      <c r="E838" t="s">
        <v>183</v>
      </c>
      <c r="F838">
        <v>57.8</v>
      </c>
      <c r="G838" t="s">
        <v>348</v>
      </c>
      <c r="H838">
        <f>electric_vehicles_dataset[[#This Row],[Battery_Capacity_kWh]]/electric_vehicles_dataset[[#This Row],[Range_km]]</f>
        <v>0.15749318801089918</v>
      </c>
      <c r="I838">
        <v>367</v>
      </c>
      <c r="J838" t="s">
        <v>48</v>
      </c>
      <c r="K838">
        <v>2</v>
      </c>
      <c r="L838" s="1">
        <v>117811.12</v>
      </c>
      <c r="M838" s="1" t="str" cm="1">
        <f t="array" ref="M83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38" t="s">
        <v>160</v>
      </c>
      <c r="O838" t="s">
        <v>33</v>
      </c>
      <c r="P838" s="2" t="s">
        <v>393</v>
      </c>
      <c r="Q838">
        <v>5</v>
      </c>
      <c r="R838" t="s">
        <v>392</v>
      </c>
      <c r="S838" s="1">
        <f>electric_vehicles_dataset[[#This Row],[Units_Sold_2024]]*electric_vehicles_dataset[[#This Row],[Price_USD]]</f>
        <v>1627796245.04</v>
      </c>
      <c r="T838">
        <v>4</v>
      </c>
      <c r="U838">
        <v>13817</v>
      </c>
      <c r="V838">
        <v>3</v>
      </c>
    </row>
    <row r="839" spans="1:22" x14ac:dyDescent="0.35">
      <c r="A839">
        <v>838</v>
      </c>
      <c r="B839" t="s">
        <v>16</v>
      </c>
      <c r="C839" t="s">
        <v>347</v>
      </c>
      <c r="D839">
        <v>2019</v>
      </c>
      <c r="E839" t="s">
        <v>26</v>
      </c>
      <c r="F839">
        <v>114.1</v>
      </c>
      <c r="G839" t="s">
        <v>361</v>
      </c>
      <c r="H839">
        <f>electric_vehicles_dataset[[#This Row],[Battery_Capacity_kWh]]/electric_vehicles_dataset[[#This Row],[Range_km]]</f>
        <v>0.47344398340248961</v>
      </c>
      <c r="I839">
        <v>241</v>
      </c>
      <c r="J839" t="s">
        <v>105</v>
      </c>
      <c r="K839">
        <v>8</v>
      </c>
      <c r="L839" s="1">
        <v>69459.56</v>
      </c>
      <c r="M839" s="1" t="str" cm="1">
        <f t="array" ref="M8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39" t="s">
        <v>117</v>
      </c>
      <c r="O839" t="s">
        <v>161</v>
      </c>
      <c r="P839" s="2" t="s">
        <v>389</v>
      </c>
      <c r="Q839">
        <v>0</v>
      </c>
      <c r="R839" t="s">
        <v>390</v>
      </c>
      <c r="S839" s="1">
        <f>electric_vehicles_dataset[[#This Row],[Units_Sold_2024]]*electric_vehicles_dataset[[#This Row],[Price_USD]]</f>
        <v>552481340.24000001</v>
      </c>
      <c r="T839">
        <v>4</v>
      </c>
      <c r="U839">
        <v>7954</v>
      </c>
      <c r="V839">
        <v>5</v>
      </c>
    </row>
    <row r="840" spans="1:22" x14ac:dyDescent="0.35">
      <c r="A840">
        <v>839</v>
      </c>
      <c r="B840" t="s">
        <v>262</v>
      </c>
      <c r="C840" t="s">
        <v>263</v>
      </c>
      <c r="D840">
        <v>2024</v>
      </c>
      <c r="E840" t="s">
        <v>42</v>
      </c>
      <c r="F840">
        <v>106.5</v>
      </c>
      <c r="G840" t="s">
        <v>361</v>
      </c>
      <c r="H840">
        <f>electric_vehicles_dataset[[#This Row],[Battery_Capacity_kWh]]/electric_vehicles_dataset[[#This Row],[Range_km]]</f>
        <v>0.69607843137254899</v>
      </c>
      <c r="I840">
        <v>153</v>
      </c>
      <c r="J840" t="s">
        <v>356</v>
      </c>
      <c r="K840">
        <v>7</v>
      </c>
      <c r="L840" s="1">
        <v>130489.44</v>
      </c>
      <c r="M840" s="1" t="str" cm="1">
        <f t="array" ref="M8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40" t="s">
        <v>28</v>
      </c>
      <c r="O840" t="s">
        <v>139</v>
      </c>
      <c r="P840" s="2" t="s">
        <v>389</v>
      </c>
      <c r="Q840">
        <v>5</v>
      </c>
      <c r="R840" t="s">
        <v>392</v>
      </c>
      <c r="S840" s="1">
        <f>electric_vehicles_dataset[[#This Row],[Units_Sold_2024]]*electric_vehicles_dataset[[#This Row],[Price_USD]]</f>
        <v>421480891.19999999</v>
      </c>
      <c r="T840">
        <v>5</v>
      </c>
      <c r="U840">
        <v>3230</v>
      </c>
      <c r="V840">
        <v>5</v>
      </c>
    </row>
    <row r="841" spans="1:22" x14ac:dyDescent="0.35">
      <c r="A841">
        <v>840</v>
      </c>
      <c r="B841" t="s">
        <v>184</v>
      </c>
      <c r="C841" t="s">
        <v>185</v>
      </c>
      <c r="D841">
        <v>2018</v>
      </c>
      <c r="E841" t="s">
        <v>104</v>
      </c>
      <c r="F841">
        <v>95.4</v>
      </c>
      <c r="G841" t="s">
        <v>350</v>
      </c>
      <c r="H841">
        <f>electric_vehicles_dataset[[#This Row],[Battery_Capacity_kWh]]/electric_vehicles_dataset[[#This Row],[Range_km]]</f>
        <v>0.20604751619870412</v>
      </c>
      <c r="I841">
        <v>463</v>
      </c>
      <c r="J841" t="s">
        <v>358</v>
      </c>
      <c r="K841">
        <v>10</v>
      </c>
      <c r="L841" s="1">
        <v>116194.68</v>
      </c>
      <c r="M841" s="1" t="str" cm="1">
        <f t="array" ref="M84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41" t="s">
        <v>210</v>
      </c>
      <c r="O841" t="s">
        <v>202</v>
      </c>
      <c r="P841" s="2" t="s">
        <v>393</v>
      </c>
      <c r="Q841">
        <v>3</v>
      </c>
      <c r="R841" t="s">
        <v>397</v>
      </c>
      <c r="S841" s="1">
        <f>electric_vehicles_dataset[[#This Row],[Units_Sold_2024]]*electric_vehicles_dataset[[#This Row],[Price_USD]]</f>
        <v>141873704.28</v>
      </c>
      <c r="T841">
        <v>5</v>
      </c>
      <c r="U841">
        <v>1221</v>
      </c>
      <c r="V841">
        <v>4</v>
      </c>
    </row>
    <row r="842" spans="1:22" x14ac:dyDescent="0.35">
      <c r="A842">
        <v>841</v>
      </c>
      <c r="B842" t="s">
        <v>241</v>
      </c>
      <c r="C842" t="s">
        <v>247</v>
      </c>
      <c r="D842">
        <v>2021</v>
      </c>
      <c r="E842" t="s">
        <v>73</v>
      </c>
      <c r="F842">
        <v>138.1</v>
      </c>
      <c r="G842" t="s">
        <v>352</v>
      </c>
      <c r="H842">
        <f>electric_vehicles_dataset[[#This Row],[Battery_Capacity_kWh]]/electric_vehicles_dataset[[#This Row],[Range_km]]</f>
        <v>0.65761904761904755</v>
      </c>
      <c r="I842">
        <v>210</v>
      </c>
      <c r="J842" t="s">
        <v>85</v>
      </c>
      <c r="K842">
        <v>1</v>
      </c>
      <c r="L842" s="1">
        <v>143513.97</v>
      </c>
      <c r="M842" s="1" t="str" cm="1">
        <f t="array" ref="M8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42" t="s">
        <v>175</v>
      </c>
      <c r="O842" t="s">
        <v>265</v>
      </c>
      <c r="P842" s="2" t="s">
        <v>389</v>
      </c>
      <c r="Q842">
        <v>0</v>
      </c>
      <c r="R842" t="s">
        <v>390</v>
      </c>
      <c r="S842" s="1">
        <f>electric_vehicles_dataset[[#This Row],[Units_Sold_2024]]*electric_vehicles_dataset[[#This Row],[Price_USD]]</f>
        <v>1686289147.5</v>
      </c>
      <c r="T842">
        <v>4</v>
      </c>
      <c r="U842">
        <v>11750</v>
      </c>
      <c r="V842">
        <v>5</v>
      </c>
    </row>
    <row r="843" spans="1:22" x14ac:dyDescent="0.35">
      <c r="A843">
        <v>842</v>
      </c>
      <c r="B843" t="s">
        <v>243</v>
      </c>
      <c r="C843" t="s">
        <v>371</v>
      </c>
      <c r="D843">
        <v>2018</v>
      </c>
      <c r="E843" t="s">
        <v>133</v>
      </c>
      <c r="F843">
        <v>78</v>
      </c>
      <c r="G843" t="s">
        <v>351</v>
      </c>
      <c r="H843">
        <f>electric_vehicles_dataset[[#This Row],[Battery_Capacity_kWh]]/electric_vehicles_dataset[[#This Row],[Range_km]]</f>
        <v>0.62903225806451613</v>
      </c>
      <c r="I843">
        <v>124</v>
      </c>
      <c r="J843" t="s">
        <v>38</v>
      </c>
      <c r="K843">
        <v>6</v>
      </c>
      <c r="L843" s="1">
        <v>148917.07999999999</v>
      </c>
      <c r="M843" s="1" t="str" cm="1">
        <f t="array" ref="M84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43" t="s">
        <v>189</v>
      </c>
      <c r="O843" t="s">
        <v>23</v>
      </c>
      <c r="P843" s="2" t="s">
        <v>389</v>
      </c>
      <c r="Q843">
        <v>4</v>
      </c>
      <c r="R843" t="s">
        <v>392</v>
      </c>
      <c r="S843" s="1">
        <f>electric_vehicles_dataset[[#This Row],[Units_Sold_2024]]*electric_vehicles_dataset[[#This Row],[Price_USD]]</f>
        <v>839445579.95999992</v>
      </c>
      <c r="T843">
        <v>4</v>
      </c>
      <c r="U843">
        <v>5637</v>
      </c>
      <c r="V843">
        <v>4</v>
      </c>
    </row>
    <row r="844" spans="1:22" x14ac:dyDescent="0.35">
      <c r="A844">
        <v>843</v>
      </c>
      <c r="B844" t="s">
        <v>200</v>
      </c>
      <c r="C844" t="s">
        <v>327</v>
      </c>
      <c r="D844">
        <v>2020</v>
      </c>
      <c r="E844" t="s">
        <v>90</v>
      </c>
      <c r="F844">
        <v>90</v>
      </c>
      <c r="G844" t="s">
        <v>350</v>
      </c>
      <c r="H844">
        <f>electric_vehicles_dataset[[#This Row],[Battery_Capacity_kWh]]/electric_vehicles_dataset[[#This Row],[Range_km]]</f>
        <v>0.17578125</v>
      </c>
      <c r="I844">
        <v>512</v>
      </c>
      <c r="J844" t="s">
        <v>353</v>
      </c>
      <c r="K844">
        <v>4</v>
      </c>
      <c r="L844" s="1">
        <v>66700.22</v>
      </c>
      <c r="M844" s="1" t="str" cm="1">
        <f t="array" ref="M84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44" t="s">
        <v>254</v>
      </c>
      <c r="O844" t="s">
        <v>20</v>
      </c>
      <c r="P844" s="2" t="s">
        <v>389</v>
      </c>
      <c r="Q844">
        <v>2</v>
      </c>
      <c r="R844" t="s">
        <v>391</v>
      </c>
      <c r="S844" s="1">
        <f>electric_vehicles_dataset[[#This Row],[Units_Sold_2024]]*electric_vehicles_dataset[[#This Row],[Price_USD]]</f>
        <v>441822257.28000003</v>
      </c>
      <c r="T844">
        <v>4</v>
      </c>
      <c r="U844">
        <v>6624</v>
      </c>
      <c r="V844">
        <v>4</v>
      </c>
    </row>
    <row r="845" spans="1:22" x14ac:dyDescent="0.35">
      <c r="A845">
        <v>844</v>
      </c>
      <c r="B845" t="s">
        <v>215</v>
      </c>
      <c r="C845" t="s">
        <v>377</v>
      </c>
      <c r="D845">
        <v>2020</v>
      </c>
      <c r="E845" t="s">
        <v>104</v>
      </c>
      <c r="F845">
        <v>124.8</v>
      </c>
      <c r="G845" t="s">
        <v>352</v>
      </c>
      <c r="H845">
        <f>electric_vehicles_dataset[[#This Row],[Battery_Capacity_kWh]]/electric_vehicles_dataset[[#This Row],[Range_km]]</f>
        <v>0.22365591397849463</v>
      </c>
      <c r="I845">
        <v>558</v>
      </c>
      <c r="J845" t="s">
        <v>149</v>
      </c>
      <c r="K845">
        <v>9</v>
      </c>
      <c r="L845" s="1">
        <v>145117</v>
      </c>
      <c r="M845" s="1" t="str" cm="1">
        <f t="array" ref="M8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45" t="s">
        <v>146</v>
      </c>
      <c r="O845" t="s">
        <v>135</v>
      </c>
      <c r="P845" s="2" t="s">
        <v>389</v>
      </c>
      <c r="Q845">
        <v>2</v>
      </c>
      <c r="R845" t="s">
        <v>391</v>
      </c>
      <c r="S845" s="1">
        <f>electric_vehicles_dataset[[#This Row],[Units_Sold_2024]]*electric_vehicles_dataset[[#This Row],[Price_USD]]</f>
        <v>2665073705</v>
      </c>
      <c r="T845">
        <v>5</v>
      </c>
      <c r="U845">
        <v>18365</v>
      </c>
      <c r="V845">
        <v>4</v>
      </c>
    </row>
    <row r="846" spans="1:22" x14ac:dyDescent="0.35">
      <c r="A846">
        <v>845</v>
      </c>
      <c r="B846" t="s">
        <v>51</v>
      </c>
      <c r="C846" t="s">
        <v>162</v>
      </c>
      <c r="D846">
        <v>2023</v>
      </c>
      <c r="E846" t="s">
        <v>101</v>
      </c>
      <c r="F846">
        <v>71.7</v>
      </c>
      <c r="G846" t="s">
        <v>351</v>
      </c>
      <c r="H846">
        <f>electric_vehicles_dataset[[#This Row],[Battery_Capacity_kWh]]/electric_vehicles_dataset[[#This Row],[Range_km]]</f>
        <v>0.15723684210526317</v>
      </c>
      <c r="I846">
        <v>456</v>
      </c>
      <c r="J846" t="s">
        <v>364</v>
      </c>
      <c r="K846">
        <v>3</v>
      </c>
      <c r="L846" s="1">
        <v>40865.07</v>
      </c>
      <c r="M846" s="1" t="str" cm="1">
        <f t="array" ref="M8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46" t="s">
        <v>160</v>
      </c>
      <c r="O846" t="s">
        <v>164</v>
      </c>
      <c r="P846" s="2" t="s">
        <v>394</v>
      </c>
      <c r="Q846">
        <v>1</v>
      </c>
      <c r="R846" t="s">
        <v>391</v>
      </c>
      <c r="S846" s="1">
        <f>electric_vehicles_dataset[[#This Row],[Units_Sold_2024]]*electric_vehicles_dataset[[#This Row],[Price_USD]]</f>
        <v>178130840.13</v>
      </c>
      <c r="T846">
        <v>4</v>
      </c>
      <c r="U846">
        <v>4359</v>
      </c>
      <c r="V846">
        <v>4</v>
      </c>
    </row>
    <row r="847" spans="1:22" x14ac:dyDescent="0.35">
      <c r="A847">
        <v>846</v>
      </c>
      <c r="B847" t="s">
        <v>184</v>
      </c>
      <c r="C847" t="s">
        <v>251</v>
      </c>
      <c r="D847">
        <v>2024</v>
      </c>
      <c r="E847" t="s">
        <v>90</v>
      </c>
      <c r="F847">
        <v>146.19999999999999</v>
      </c>
      <c r="G847" t="s">
        <v>386</v>
      </c>
      <c r="H847">
        <f>electric_vehicles_dataset[[#This Row],[Battery_Capacity_kWh]]/electric_vehicles_dataset[[#This Row],[Range_km]]</f>
        <v>0.55169811320754714</v>
      </c>
      <c r="I847">
        <v>265</v>
      </c>
      <c r="J847" t="s">
        <v>353</v>
      </c>
      <c r="K847">
        <v>6</v>
      </c>
      <c r="L847" s="1">
        <v>34892.74</v>
      </c>
      <c r="M847" s="1" t="str" cm="1">
        <f t="array" ref="M84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47" t="s">
        <v>114</v>
      </c>
      <c r="O847" t="s">
        <v>44</v>
      </c>
      <c r="P847" s="2" t="s">
        <v>389</v>
      </c>
      <c r="Q847">
        <v>2</v>
      </c>
      <c r="R847" t="s">
        <v>391</v>
      </c>
      <c r="S847" s="1">
        <f>electric_vehicles_dataset[[#This Row],[Units_Sold_2024]]*electric_vehicles_dataset[[#This Row],[Price_USD]]</f>
        <v>250355409.5</v>
      </c>
      <c r="T847">
        <v>5</v>
      </c>
      <c r="U847">
        <v>7175</v>
      </c>
      <c r="V847">
        <v>3</v>
      </c>
    </row>
    <row r="848" spans="1:22" x14ac:dyDescent="0.35">
      <c r="A848">
        <v>847</v>
      </c>
      <c r="B848" t="s">
        <v>128</v>
      </c>
      <c r="C848" t="s">
        <v>332</v>
      </c>
      <c r="D848">
        <v>2025</v>
      </c>
      <c r="E848" t="s">
        <v>183</v>
      </c>
      <c r="F848">
        <v>48.1</v>
      </c>
      <c r="G848" t="s">
        <v>348</v>
      </c>
      <c r="H848">
        <f>electric_vehicles_dataset[[#This Row],[Battery_Capacity_kWh]]/electric_vehicles_dataset[[#This Row],[Range_km]]</f>
        <v>0.45377358490566039</v>
      </c>
      <c r="I848">
        <v>106</v>
      </c>
      <c r="J848" t="s">
        <v>54</v>
      </c>
      <c r="K848">
        <v>3</v>
      </c>
      <c r="L848" s="1">
        <v>32492.87</v>
      </c>
      <c r="M848" s="1" t="str" cm="1">
        <f t="array" ref="M8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48" t="s">
        <v>217</v>
      </c>
      <c r="O848" t="s">
        <v>226</v>
      </c>
      <c r="P848" s="2" t="s">
        <v>395</v>
      </c>
      <c r="Q848">
        <v>3</v>
      </c>
      <c r="R848" t="s">
        <v>397</v>
      </c>
      <c r="S848" s="1">
        <f>electric_vehicles_dataset[[#This Row],[Units_Sold_2024]]*electric_vehicles_dataset[[#This Row],[Price_USD]]</f>
        <v>439011166.56999999</v>
      </c>
      <c r="T848">
        <v>3</v>
      </c>
      <c r="U848">
        <v>13511</v>
      </c>
      <c r="V848">
        <v>3</v>
      </c>
    </row>
    <row r="849" spans="1:22" x14ac:dyDescent="0.35">
      <c r="A849">
        <v>848</v>
      </c>
      <c r="B849" t="s">
        <v>207</v>
      </c>
      <c r="C849" t="s">
        <v>208</v>
      </c>
      <c r="D849">
        <v>2021</v>
      </c>
      <c r="E849" t="s">
        <v>73</v>
      </c>
      <c r="F849">
        <v>94.8</v>
      </c>
      <c r="G849" t="s">
        <v>350</v>
      </c>
      <c r="H849">
        <f>electric_vehicles_dataset[[#This Row],[Battery_Capacity_kWh]]/electric_vehicles_dataset[[#This Row],[Range_km]]</f>
        <v>0.16898395721925133</v>
      </c>
      <c r="I849">
        <v>561</v>
      </c>
      <c r="J849" t="s">
        <v>34</v>
      </c>
      <c r="K849">
        <v>9</v>
      </c>
      <c r="L849" s="1">
        <v>114809.51</v>
      </c>
      <c r="M849" s="1" t="str" cm="1">
        <f t="array" ref="M84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49" t="s">
        <v>165</v>
      </c>
      <c r="O849" t="s">
        <v>161</v>
      </c>
      <c r="P849" s="2" t="s">
        <v>389</v>
      </c>
      <c r="Q849">
        <v>2</v>
      </c>
      <c r="R849" t="s">
        <v>391</v>
      </c>
      <c r="S849" s="1">
        <f>electric_vehicles_dataset[[#This Row],[Units_Sold_2024]]*electric_vehicles_dataset[[#This Row],[Price_USD]]</f>
        <v>2032817184.0599999</v>
      </c>
      <c r="T849">
        <v>4</v>
      </c>
      <c r="U849">
        <v>17706</v>
      </c>
      <c r="V849">
        <v>4</v>
      </c>
    </row>
    <row r="850" spans="1:22" x14ac:dyDescent="0.35">
      <c r="A850">
        <v>849</v>
      </c>
      <c r="B850" t="s">
        <v>29</v>
      </c>
      <c r="C850" t="s">
        <v>197</v>
      </c>
      <c r="D850">
        <v>2020</v>
      </c>
      <c r="E850" t="s">
        <v>26</v>
      </c>
      <c r="F850">
        <v>127.6</v>
      </c>
      <c r="G850" t="s">
        <v>352</v>
      </c>
      <c r="H850">
        <f>electric_vehicles_dataset[[#This Row],[Battery_Capacity_kWh]]/electric_vehicles_dataset[[#This Row],[Range_km]]</f>
        <v>0.27799564270152505</v>
      </c>
      <c r="I850">
        <v>459</v>
      </c>
      <c r="J850" t="s">
        <v>353</v>
      </c>
      <c r="K850">
        <v>10</v>
      </c>
      <c r="L850" s="1">
        <v>99475.02</v>
      </c>
      <c r="M850" s="1" t="str" cm="1">
        <f t="array" ref="M8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50" t="s">
        <v>175</v>
      </c>
      <c r="O850" t="s">
        <v>206</v>
      </c>
      <c r="P850" s="2" t="s">
        <v>394</v>
      </c>
      <c r="Q850">
        <v>4</v>
      </c>
      <c r="R850" t="s">
        <v>392</v>
      </c>
      <c r="S850" s="1">
        <f>electric_vehicles_dataset[[#This Row],[Units_Sold_2024]]*electric_vehicles_dataset[[#This Row],[Price_USD]]</f>
        <v>742581024.30000007</v>
      </c>
      <c r="T850">
        <v>5</v>
      </c>
      <c r="U850">
        <v>7465</v>
      </c>
      <c r="V850">
        <v>5</v>
      </c>
    </row>
    <row r="851" spans="1:22" x14ac:dyDescent="0.35">
      <c r="A851">
        <v>850</v>
      </c>
      <c r="B851" t="s">
        <v>243</v>
      </c>
      <c r="C851" t="s">
        <v>244</v>
      </c>
      <c r="D851">
        <v>2022</v>
      </c>
      <c r="E851" t="s">
        <v>133</v>
      </c>
      <c r="F851">
        <v>94.7</v>
      </c>
      <c r="G851" t="s">
        <v>350</v>
      </c>
      <c r="H851">
        <f>electric_vehicles_dataset[[#This Row],[Battery_Capacity_kWh]]/electric_vehicles_dataset[[#This Row],[Range_km]]</f>
        <v>0.74566929133858273</v>
      </c>
      <c r="I851">
        <v>127</v>
      </c>
      <c r="J851" t="s">
        <v>345</v>
      </c>
      <c r="K851">
        <v>8</v>
      </c>
      <c r="L851" s="1">
        <v>89655.95</v>
      </c>
      <c r="M851" s="1" t="str" cm="1">
        <f t="array" ref="M85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51" t="s">
        <v>196</v>
      </c>
      <c r="O851" t="s">
        <v>92</v>
      </c>
      <c r="P851" s="2" t="s">
        <v>394</v>
      </c>
      <c r="Q851">
        <v>1</v>
      </c>
      <c r="R851" t="s">
        <v>391</v>
      </c>
      <c r="S851" s="1">
        <f>electric_vehicles_dataset[[#This Row],[Units_Sold_2024]]*electric_vehicles_dataset[[#This Row],[Price_USD]]</f>
        <v>169001465.75</v>
      </c>
      <c r="T851">
        <v>5</v>
      </c>
      <c r="U851">
        <v>1885</v>
      </c>
      <c r="V851">
        <v>4</v>
      </c>
    </row>
    <row r="852" spans="1:22" x14ac:dyDescent="0.35">
      <c r="A852">
        <v>851</v>
      </c>
      <c r="B852" t="s">
        <v>173</v>
      </c>
      <c r="C852" t="s">
        <v>306</v>
      </c>
      <c r="D852">
        <v>2017</v>
      </c>
      <c r="E852" t="s">
        <v>58</v>
      </c>
      <c r="F852">
        <v>108.7</v>
      </c>
      <c r="G852" t="s">
        <v>361</v>
      </c>
      <c r="H852">
        <f>electric_vehicles_dataset[[#This Row],[Battery_Capacity_kWh]]/electric_vehicles_dataset[[#This Row],[Range_km]]</f>
        <v>0.81729323308270674</v>
      </c>
      <c r="I852">
        <v>133</v>
      </c>
      <c r="J852" t="s">
        <v>105</v>
      </c>
      <c r="K852">
        <v>7</v>
      </c>
      <c r="L852" s="1">
        <v>143682.14000000001</v>
      </c>
      <c r="M852" s="1" t="str" cm="1">
        <f t="array" ref="M85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52" t="s">
        <v>254</v>
      </c>
      <c r="O852" t="s">
        <v>135</v>
      </c>
      <c r="P852" s="2" t="s">
        <v>389</v>
      </c>
      <c r="Q852">
        <v>3</v>
      </c>
      <c r="R852" t="s">
        <v>397</v>
      </c>
      <c r="S852" s="1">
        <f>electric_vehicles_dataset[[#This Row],[Units_Sold_2024]]*electric_vehicles_dataset[[#This Row],[Price_USD]]</f>
        <v>1865568905.7600002</v>
      </c>
      <c r="T852">
        <v>3</v>
      </c>
      <c r="U852">
        <v>12984</v>
      </c>
      <c r="V852">
        <v>3</v>
      </c>
    </row>
    <row r="853" spans="1:22" x14ac:dyDescent="0.35">
      <c r="A853">
        <v>852</v>
      </c>
      <c r="B853" t="s">
        <v>68</v>
      </c>
      <c r="C853" t="s">
        <v>69</v>
      </c>
      <c r="D853">
        <v>2019</v>
      </c>
      <c r="E853" t="s">
        <v>47</v>
      </c>
      <c r="F853">
        <v>110.6</v>
      </c>
      <c r="G853" t="s">
        <v>361</v>
      </c>
      <c r="H853">
        <f>electric_vehicles_dataset[[#This Row],[Battery_Capacity_kWh]]/electric_vehicles_dataset[[#This Row],[Range_km]]</f>
        <v>0.43372549019607842</v>
      </c>
      <c r="I853">
        <v>255</v>
      </c>
      <c r="J853" t="s">
        <v>38</v>
      </c>
      <c r="K853">
        <v>3</v>
      </c>
      <c r="L853" s="1">
        <v>125809.96</v>
      </c>
      <c r="M853" s="1" t="str" cm="1">
        <f t="array" ref="M8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53" t="s">
        <v>246</v>
      </c>
      <c r="O853" t="s">
        <v>169</v>
      </c>
      <c r="P853" s="2" t="s">
        <v>394</v>
      </c>
      <c r="Q853">
        <v>3</v>
      </c>
      <c r="R853" t="s">
        <v>397</v>
      </c>
      <c r="S853" s="1">
        <f>electric_vehicles_dataset[[#This Row],[Units_Sold_2024]]*electric_vehicles_dataset[[#This Row],[Price_USD]]</f>
        <v>27929811.120000001</v>
      </c>
      <c r="T853">
        <v>4</v>
      </c>
      <c r="U853">
        <v>222</v>
      </c>
      <c r="V853">
        <v>5</v>
      </c>
    </row>
    <row r="854" spans="1:22" x14ac:dyDescent="0.35">
      <c r="A854">
        <v>853</v>
      </c>
      <c r="B854" t="s">
        <v>71</v>
      </c>
      <c r="C854" t="s">
        <v>72</v>
      </c>
      <c r="D854">
        <v>2020</v>
      </c>
      <c r="E854" t="s">
        <v>90</v>
      </c>
      <c r="F854">
        <v>35.6</v>
      </c>
      <c r="G854" t="s">
        <v>357</v>
      </c>
      <c r="H854">
        <f>electric_vehicles_dataset[[#This Row],[Battery_Capacity_kWh]]/electric_vehicles_dataset[[#This Row],[Range_km]]</f>
        <v>5.9333333333333335E-2</v>
      </c>
      <c r="I854">
        <v>600</v>
      </c>
      <c r="J854" t="s">
        <v>364</v>
      </c>
      <c r="K854">
        <v>8</v>
      </c>
      <c r="L854" s="1">
        <v>93572.64</v>
      </c>
      <c r="M854" s="1" t="str" cm="1">
        <f t="array" ref="M85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54" t="s">
        <v>254</v>
      </c>
      <c r="O854" t="s">
        <v>23</v>
      </c>
      <c r="P854" s="2" t="s">
        <v>389</v>
      </c>
      <c r="Q854">
        <v>1</v>
      </c>
      <c r="R854" t="s">
        <v>391</v>
      </c>
      <c r="S854" s="1">
        <f>electric_vehicles_dataset[[#This Row],[Units_Sold_2024]]*electric_vehicles_dataset[[#This Row],[Price_USD]]</f>
        <v>555634336.32000005</v>
      </c>
      <c r="T854">
        <v>3</v>
      </c>
      <c r="U854">
        <v>5938</v>
      </c>
      <c r="V854">
        <v>3</v>
      </c>
    </row>
    <row r="855" spans="1:22" x14ac:dyDescent="0.35">
      <c r="A855">
        <v>854</v>
      </c>
      <c r="B855" t="s">
        <v>224</v>
      </c>
      <c r="C855" t="s">
        <v>303</v>
      </c>
      <c r="D855">
        <v>2016</v>
      </c>
      <c r="E855" t="s">
        <v>104</v>
      </c>
      <c r="F855">
        <v>31.6</v>
      </c>
      <c r="G855" t="s">
        <v>357</v>
      </c>
      <c r="H855">
        <f>electric_vehicles_dataset[[#This Row],[Battery_Capacity_kWh]]/electric_vehicles_dataset[[#This Row],[Range_km]]</f>
        <v>5.410958904109589E-2</v>
      </c>
      <c r="I855">
        <v>584</v>
      </c>
      <c r="J855" t="s">
        <v>34</v>
      </c>
      <c r="K855">
        <v>7</v>
      </c>
      <c r="L855" s="1">
        <v>143883.59</v>
      </c>
      <c r="M855" s="1" t="str" cm="1">
        <f t="array" ref="M85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55" t="s">
        <v>28</v>
      </c>
      <c r="O855" t="s">
        <v>169</v>
      </c>
      <c r="P855" s="2" t="s">
        <v>394</v>
      </c>
      <c r="Q855">
        <v>3</v>
      </c>
      <c r="R855" t="s">
        <v>397</v>
      </c>
      <c r="S855" s="1">
        <f>electric_vehicles_dataset[[#This Row],[Units_Sold_2024]]*electric_vehicles_dataset[[#This Row],[Price_USD]]</f>
        <v>1467180967.23</v>
      </c>
      <c r="T855">
        <v>3</v>
      </c>
      <c r="U855">
        <v>10197</v>
      </c>
      <c r="V855">
        <v>4</v>
      </c>
    </row>
    <row r="856" spans="1:22" x14ac:dyDescent="0.35">
      <c r="A856">
        <v>855</v>
      </c>
      <c r="B856" t="s">
        <v>120</v>
      </c>
      <c r="C856" t="s">
        <v>362</v>
      </c>
      <c r="D856">
        <v>2019</v>
      </c>
      <c r="E856" t="s">
        <v>130</v>
      </c>
      <c r="F856">
        <v>31.8</v>
      </c>
      <c r="G856" t="s">
        <v>357</v>
      </c>
      <c r="H856">
        <f>electric_vehicles_dataset[[#This Row],[Battery_Capacity_kWh]]/electric_vehicles_dataset[[#This Row],[Range_km]]</f>
        <v>0.13648068669527896</v>
      </c>
      <c r="I856">
        <v>233</v>
      </c>
      <c r="J856" t="s">
        <v>34</v>
      </c>
      <c r="K856">
        <v>3</v>
      </c>
      <c r="L856" s="1">
        <v>72144.08</v>
      </c>
      <c r="M856" s="1" t="str" cm="1">
        <f t="array" ref="M8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56" t="s">
        <v>39</v>
      </c>
      <c r="O856" t="s">
        <v>20</v>
      </c>
      <c r="P856" s="2" t="s">
        <v>389</v>
      </c>
      <c r="Q856">
        <v>0</v>
      </c>
      <c r="R856" t="s">
        <v>390</v>
      </c>
      <c r="S856" s="1">
        <f>electric_vehicles_dataset[[#This Row],[Units_Sold_2024]]*electric_vehicles_dataset[[#This Row],[Price_USD]]</f>
        <v>1432925716.96</v>
      </c>
      <c r="T856">
        <v>4</v>
      </c>
      <c r="U856">
        <v>19862</v>
      </c>
      <c r="V856">
        <v>3</v>
      </c>
    </row>
    <row r="857" spans="1:22" x14ac:dyDescent="0.35">
      <c r="A857">
        <v>856</v>
      </c>
      <c r="B857" t="s">
        <v>21</v>
      </c>
      <c r="C857" t="s">
        <v>349</v>
      </c>
      <c r="D857">
        <v>2025</v>
      </c>
      <c r="E857" t="s">
        <v>104</v>
      </c>
      <c r="F857">
        <v>32.4</v>
      </c>
      <c r="G857" t="s">
        <v>357</v>
      </c>
      <c r="H857">
        <f>electric_vehicles_dataset[[#This Row],[Battery_Capacity_kWh]]/electric_vehicles_dataset[[#This Row],[Range_km]]</f>
        <v>0.32400000000000001</v>
      </c>
      <c r="I857">
        <v>100</v>
      </c>
      <c r="J857" t="s">
        <v>76</v>
      </c>
      <c r="K857">
        <v>1</v>
      </c>
      <c r="L857" s="1">
        <v>76170.42</v>
      </c>
      <c r="M857" s="1" t="str" cm="1">
        <f t="array" ref="M85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57" t="s">
        <v>301</v>
      </c>
      <c r="O857" t="s">
        <v>182</v>
      </c>
      <c r="P857" s="2" t="s">
        <v>394</v>
      </c>
      <c r="Q857">
        <v>0</v>
      </c>
      <c r="R857" t="s">
        <v>390</v>
      </c>
      <c r="S857" s="1">
        <f>electric_vehicles_dataset[[#This Row],[Units_Sold_2024]]*electric_vehicles_dataset[[#This Row],[Price_USD]]</f>
        <v>1243482106.5</v>
      </c>
      <c r="T857">
        <v>5</v>
      </c>
      <c r="U857">
        <v>16325</v>
      </c>
      <c r="V857">
        <v>3</v>
      </c>
    </row>
    <row r="858" spans="1:22" x14ac:dyDescent="0.35">
      <c r="A858">
        <v>857</v>
      </c>
      <c r="B858" t="s">
        <v>82</v>
      </c>
      <c r="C858" t="s">
        <v>83</v>
      </c>
      <c r="D858">
        <v>2020</v>
      </c>
      <c r="E858" t="s">
        <v>58</v>
      </c>
      <c r="F858">
        <v>133.4</v>
      </c>
      <c r="G858" t="s">
        <v>352</v>
      </c>
      <c r="H858">
        <f>electric_vehicles_dataset[[#This Row],[Battery_Capacity_kWh]]/electric_vehicles_dataset[[#This Row],[Range_km]]</f>
        <v>0.23527336860670195</v>
      </c>
      <c r="I858">
        <v>567</v>
      </c>
      <c r="J858" t="s">
        <v>18</v>
      </c>
      <c r="K858">
        <v>7</v>
      </c>
      <c r="L858" s="1">
        <v>98878.2</v>
      </c>
      <c r="M858" s="1" t="str" cm="1">
        <f t="array" ref="M85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58" t="s">
        <v>172</v>
      </c>
      <c r="O858" t="s">
        <v>86</v>
      </c>
      <c r="P858" s="2" t="s">
        <v>389</v>
      </c>
      <c r="Q858">
        <v>3</v>
      </c>
      <c r="R858" t="s">
        <v>397</v>
      </c>
      <c r="S858" s="1">
        <f>electric_vehicles_dataset[[#This Row],[Units_Sold_2024]]*electric_vehicles_dataset[[#This Row],[Price_USD]]</f>
        <v>1741739493</v>
      </c>
      <c r="T858">
        <v>4</v>
      </c>
      <c r="U858">
        <v>17615</v>
      </c>
      <c r="V858">
        <v>3</v>
      </c>
    </row>
    <row r="859" spans="1:22" x14ac:dyDescent="0.35">
      <c r="A859">
        <v>858</v>
      </c>
      <c r="B859" t="s">
        <v>74</v>
      </c>
      <c r="C859" t="s">
        <v>75</v>
      </c>
      <c r="D859">
        <v>2019</v>
      </c>
      <c r="E859" t="s">
        <v>58</v>
      </c>
      <c r="F859">
        <v>65.400000000000006</v>
      </c>
      <c r="G859" t="s">
        <v>351</v>
      </c>
      <c r="H859">
        <f>electric_vehicles_dataset[[#This Row],[Battery_Capacity_kWh]]/electric_vehicles_dataset[[#This Row],[Range_km]]</f>
        <v>0.34062500000000001</v>
      </c>
      <c r="I859">
        <v>192</v>
      </c>
      <c r="J859" t="s">
        <v>85</v>
      </c>
      <c r="K859">
        <v>11</v>
      </c>
      <c r="L859" s="1">
        <v>89718.13</v>
      </c>
      <c r="M859" s="1" t="str" cm="1">
        <f t="array" ref="M85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59" t="s">
        <v>160</v>
      </c>
      <c r="O859" t="s">
        <v>44</v>
      </c>
      <c r="P859" s="2" t="s">
        <v>389</v>
      </c>
      <c r="Q859">
        <v>2</v>
      </c>
      <c r="R859" t="s">
        <v>391</v>
      </c>
      <c r="S859" s="1">
        <f>electric_vehicles_dataset[[#This Row],[Units_Sold_2024]]*electric_vehicles_dataset[[#This Row],[Price_USD]]</f>
        <v>1143098694.3300002</v>
      </c>
      <c r="T859">
        <v>5</v>
      </c>
      <c r="U859">
        <v>12741</v>
      </c>
      <c r="V859">
        <v>4</v>
      </c>
    </row>
    <row r="860" spans="1:22" x14ac:dyDescent="0.35">
      <c r="A860">
        <v>859</v>
      </c>
      <c r="B860" t="s">
        <v>64</v>
      </c>
      <c r="C860" t="s">
        <v>65</v>
      </c>
      <c r="D860">
        <v>2020</v>
      </c>
      <c r="E860" t="s">
        <v>31</v>
      </c>
      <c r="F860">
        <v>67.5</v>
      </c>
      <c r="G860" t="s">
        <v>351</v>
      </c>
      <c r="H860">
        <f>electric_vehicles_dataset[[#This Row],[Battery_Capacity_kWh]]/electric_vehicles_dataset[[#This Row],[Range_km]]</f>
        <v>0.30405405405405406</v>
      </c>
      <c r="I860">
        <v>222</v>
      </c>
      <c r="J860" t="s">
        <v>356</v>
      </c>
      <c r="K860">
        <v>3</v>
      </c>
      <c r="L860" s="1">
        <v>78514.16</v>
      </c>
      <c r="M860" s="1" t="str" cm="1">
        <f t="array" ref="M86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60" t="s">
        <v>91</v>
      </c>
      <c r="O860" t="s">
        <v>67</v>
      </c>
      <c r="P860" s="2" t="s">
        <v>394</v>
      </c>
      <c r="Q860">
        <v>3</v>
      </c>
      <c r="R860" t="s">
        <v>397</v>
      </c>
      <c r="S860" s="1">
        <f>electric_vehicles_dataset[[#This Row],[Units_Sold_2024]]*electric_vehicles_dataset[[#This Row],[Price_USD]]</f>
        <v>1520819279.2</v>
      </c>
      <c r="T860">
        <v>5</v>
      </c>
      <c r="U860">
        <v>19370</v>
      </c>
      <c r="V860">
        <v>3</v>
      </c>
    </row>
    <row r="861" spans="1:22" x14ac:dyDescent="0.35">
      <c r="A861">
        <v>860</v>
      </c>
      <c r="B861" t="s">
        <v>207</v>
      </c>
      <c r="C861" t="s">
        <v>304</v>
      </c>
      <c r="D861">
        <v>2025</v>
      </c>
      <c r="E861" t="s">
        <v>73</v>
      </c>
      <c r="F861">
        <v>61.7</v>
      </c>
      <c r="G861" t="s">
        <v>351</v>
      </c>
      <c r="H861">
        <f>electric_vehicles_dataset[[#This Row],[Battery_Capacity_kWh]]/electric_vehicles_dataset[[#This Row],[Range_km]]</f>
        <v>0.16720867208672088</v>
      </c>
      <c r="I861">
        <v>369</v>
      </c>
      <c r="J861" t="s">
        <v>34</v>
      </c>
      <c r="K861">
        <v>9</v>
      </c>
      <c r="L861" s="1">
        <v>107183.82</v>
      </c>
      <c r="M861" s="1" t="str" cm="1">
        <f t="array" ref="M86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61" t="s">
        <v>179</v>
      </c>
      <c r="O861" t="s">
        <v>89</v>
      </c>
      <c r="P861" s="2" t="s">
        <v>389</v>
      </c>
      <c r="Q861">
        <v>3</v>
      </c>
      <c r="R861" t="s">
        <v>397</v>
      </c>
      <c r="S861" s="1">
        <f>electric_vehicles_dataset[[#This Row],[Units_Sold_2024]]*electric_vehicles_dataset[[#This Row],[Price_USD]]</f>
        <v>1497250781.5800002</v>
      </c>
      <c r="T861">
        <v>5</v>
      </c>
      <c r="U861">
        <v>13969</v>
      </c>
      <c r="V861">
        <v>4</v>
      </c>
    </row>
    <row r="862" spans="1:22" x14ac:dyDescent="0.35">
      <c r="A862">
        <v>861</v>
      </c>
      <c r="B862" t="s">
        <v>222</v>
      </c>
      <c r="C862" t="s">
        <v>295</v>
      </c>
      <c r="D862">
        <v>2016</v>
      </c>
      <c r="E862" t="s">
        <v>130</v>
      </c>
      <c r="F862">
        <v>23.1</v>
      </c>
      <c r="G862" t="s">
        <v>357</v>
      </c>
      <c r="H862">
        <f>electric_vehicles_dataset[[#This Row],[Battery_Capacity_kWh]]/electric_vehicles_dataset[[#This Row],[Range_km]]</f>
        <v>0.15098039215686276</v>
      </c>
      <c r="I862">
        <v>153</v>
      </c>
      <c r="J862" t="s">
        <v>38</v>
      </c>
      <c r="K862">
        <v>7</v>
      </c>
      <c r="L862" s="1">
        <v>103159.59</v>
      </c>
      <c r="M862" s="1" t="str" cm="1">
        <f t="array" ref="M8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62" t="s">
        <v>127</v>
      </c>
      <c r="O862" t="s">
        <v>230</v>
      </c>
      <c r="P862" s="2" t="s">
        <v>389</v>
      </c>
      <c r="Q862">
        <v>2</v>
      </c>
      <c r="R862" t="s">
        <v>391</v>
      </c>
      <c r="S862" s="1">
        <f>electric_vehicles_dataset[[#This Row],[Units_Sold_2024]]*electric_vehicles_dataset[[#This Row],[Price_USD]]</f>
        <v>140709680.75999999</v>
      </c>
      <c r="T862">
        <v>5</v>
      </c>
      <c r="U862">
        <v>1364</v>
      </c>
      <c r="V862">
        <v>3</v>
      </c>
    </row>
    <row r="863" spans="1:22" x14ac:dyDescent="0.35">
      <c r="A863">
        <v>862</v>
      </c>
      <c r="B863" t="s">
        <v>200</v>
      </c>
      <c r="C863" t="s">
        <v>327</v>
      </c>
      <c r="D863">
        <v>2024</v>
      </c>
      <c r="E863" t="s">
        <v>17</v>
      </c>
      <c r="F863">
        <v>137</v>
      </c>
      <c r="G863" t="s">
        <v>352</v>
      </c>
      <c r="H863">
        <f>electric_vehicles_dataset[[#This Row],[Battery_Capacity_kWh]]/electric_vehicles_dataset[[#This Row],[Range_km]]</f>
        <v>0.36339522546419101</v>
      </c>
      <c r="I863">
        <v>377</v>
      </c>
      <c r="J863" t="s">
        <v>85</v>
      </c>
      <c r="K863">
        <v>8</v>
      </c>
      <c r="L863" s="1">
        <v>118710.85</v>
      </c>
      <c r="M863" s="1" t="str" cm="1">
        <f t="array" ref="M8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63" t="s">
        <v>19</v>
      </c>
      <c r="O863" t="s">
        <v>135</v>
      </c>
      <c r="P863" s="2" t="s">
        <v>389</v>
      </c>
      <c r="Q863">
        <v>2</v>
      </c>
      <c r="R863" t="s">
        <v>391</v>
      </c>
      <c r="S863" s="1">
        <f>electric_vehicles_dataset[[#This Row],[Units_Sold_2024]]*electric_vehicles_dataset[[#This Row],[Price_USD]]</f>
        <v>203945240.30000001</v>
      </c>
      <c r="T863">
        <v>5</v>
      </c>
      <c r="U863">
        <v>1718</v>
      </c>
      <c r="V863">
        <v>5</v>
      </c>
    </row>
    <row r="864" spans="1:22" x14ac:dyDescent="0.35">
      <c r="A864">
        <v>863</v>
      </c>
      <c r="B864" t="s">
        <v>222</v>
      </c>
      <c r="C864" t="s">
        <v>231</v>
      </c>
      <c r="D864">
        <v>2023</v>
      </c>
      <c r="E864" t="s">
        <v>104</v>
      </c>
      <c r="F864">
        <v>108.5</v>
      </c>
      <c r="G864" t="s">
        <v>361</v>
      </c>
      <c r="H864">
        <f>electric_vehicles_dataset[[#This Row],[Battery_Capacity_kWh]]/electric_vehicles_dataset[[#This Row],[Range_km]]</f>
        <v>0.88934426229508201</v>
      </c>
      <c r="I864">
        <v>122</v>
      </c>
      <c r="J864" t="s">
        <v>359</v>
      </c>
      <c r="K864">
        <v>2</v>
      </c>
      <c r="L864" s="1">
        <v>143995.72</v>
      </c>
      <c r="M864" s="1" t="str" cm="1">
        <f t="array" ref="M8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64" t="s">
        <v>102</v>
      </c>
      <c r="O864" t="s">
        <v>89</v>
      </c>
      <c r="P864" s="2" t="s">
        <v>389</v>
      </c>
      <c r="Q864">
        <v>2</v>
      </c>
      <c r="R864" t="s">
        <v>391</v>
      </c>
      <c r="S864" s="1">
        <f>electric_vehicles_dataset[[#This Row],[Units_Sold_2024]]*electric_vehicles_dataset[[#This Row],[Price_USD]]</f>
        <v>73437817.200000003</v>
      </c>
      <c r="T864">
        <v>5</v>
      </c>
      <c r="U864">
        <v>510</v>
      </c>
      <c r="V864">
        <v>3</v>
      </c>
    </row>
    <row r="865" spans="1:22" x14ac:dyDescent="0.35">
      <c r="A865">
        <v>864</v>
      </c>
      <c r="B865" t="s">
        <v>24</v>
      </c>
      <c r="C865" t="s">
        <v>341</v>
      </c>
      <c r="D865">
        <v>2016</v>
      </c>
      <c r="E865" t="s">
        <v>53</v>
      </c>
      <c r="F865">
        <v>57.8</v>
      </c>
      <c r="G865" t="s">
        <v>348</v>
      </c>
      <c r="H865">
        <f>electric_vehicles_dataset[[#This Row],[Battery_Capacity_kWh]]/electric_vehicles_dataset[[#This Row],[Range_km]]</f>
        <v>0.10266429840142095</v>
      </c>
      <c r="I865">
        <v>563</v>
      </c>
      <c r="J865" t="s">
        <v>353</v>
      </c>
      <c r="K865">
        <v>8</v>
      </c>
      <c r="L865" s="1">
        <v>139829.4</v>
      </c>
      <c r="M865" s="1" t="str" cm="1">
        <f t="array" ref="M86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65" t="s">
        <v>219</v>
      </c>
      <c r="O865" t="s">
        <v>86</v>
      </c>
      <c r="P865" s="2" t="s">
        <v>389</v>
      </c>
      <c r="Q865">
        <v>1</v>
      </c>
      <c r="R865" t="s">
        <v>391</v>
      </c>
      <c r="S865" s="1">
        <f>electric_vehicles_dataset[[#This Row],[Units_Sold_2024]]*electric_vehicles_dataset[[#This Row],[Price_USD]]</f>
        <v>714388404.60000002</v>
      </c>
      <c r="T865">
        <v>3</v>
      </c>
      <c r="U865">
        <v>5109</v>
      </c>
      <c r="V865">
        <v>3</v>
      </c>
    </row>
    <row r="866" spans="1:22" x14ac:dyDescent="0.35">
      <c r="A866">
        <v>865</v>
      </c>
      <c r="B866" t="s">
        <v>157</v>
      </c>
      <c r="C866" t="s">
        <v>296</v>
      </c>
      <c r="D866">
        <v>2024</v>
      </c>
      <c r="E866" t="s">
        <v>73</v>
      </c>
      <c r="F866">
        <v>53.6</v>
      </c>
      <c r="G866" t="s">
        <v>348</v>
      </c>
      <c r="H866">
        <f>electric_vehicles_dataset[[#This Row],[Battery_Capacity_kWh]]/electric_vehicles_dataset[[#This Row],[Range_km]]</f>
        <v>9.3706293706293714E-2</v>
      </c>
      <c r="I866">
        <v>572</v>
      </c>
      <c r="J866" t="s">
        <v>358</v>
      </c>
      <c r="K866">
        <v>8</v>
      </c>
      <c r="L866" s="1">
        <v>115220.69</v>
      </c>
      <c r="M866" s="1" t="str" cm="1">
        <f t="array" ref="M8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66" t="s">
        <v>238</v>
      </c>
      <c r="O866" t="s">
        <v>111</v>
      </c>
      <c r="P866" s="2" t="s">
        <v>389</v>
      </c>
      <c r="Q866">
        <v>5</v>
      </c>
      <c r="R866" t="s">
        <v>392</v>
      </c>
      <c r="S866" s="1">
        <f>electric_vehicles_dataset[[#This Row],[Units_Sold_2024]]*electric_vehicles_dataset[[#This Row],[Price_USD]]</f>
        <v>38598931.149999999</v>
      </c>
      <c r="T866">
        <v>5</v>
      </c>
      <c r="U866">
        <v>335</v>
      </c>
      <c r="V866">
        <v>4</v>
      </c>
    </row>
    <row r="867" spans="1:22" x14ac:dyDescent="0.35">
      <c r="A867">
        <v>866</v>
      </c>
      <c r="B867" t="s">
        <v>241</v>
      </c>
      <c r="C867" t="s">
        <v>242</v>
      </c>
      <c r="D867">
        <v>2021</v>
      </c>
      <c r="E867" t="s">
        <v>133</v>
      </c>
      <c r="F867">
        <v>129.5</v>
      </c>
      <c r="G867" t="s">
        <v>352</v>
      </c>
      <c r="H867">
        <f>electric_vehicles_dataset[[#This Row],[Battery_Capacity_kWh]]/electric_vehicles_dataset[[#This Row],[Range_km]]</f>
        <v>0.65736040609137059</v>
      </c>
      <c r="I867">
        <v>197</v>
      </c>
      <c r="J867" t="s">
        <v>356</v>
      </c>
      <c r="K867">
        <v>3</v>
      </c>
      <c r="L867" s="1">
        <v>31251.56</v>
      </c>
      <c r="M867" s="1" t="str" cm="1">
        <f t="array" ref="M86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67" t="s">
        <v>35</v>
      </c>
      <c r="O867" t="s">
        <v>164</v>
      </c>
      <c r="P867" s="2" t="s">
        <v>394</v>
      </c>
      <c r="Q867">
        <v>5</v>
      </c>
      <c r="R867" t="s">
        <v>392</v>
      </c>
      <c r="S867" s="1">
        <f>electric_vehicles_dataset[[#This Row],[Units_Sold_2024]]*electric_vehicles_dataset[[#This Row],[Price_USD]]</f>
        <v>228323897.36000001</v>
      </c>
      <c r="T867">
        <v>5</v>
      </c>
      <c r="U867">
        <v>7306</v>
      </c>
      <c r="V867">
        <v>3</v>
      </c>
    </row>
    <row r="868" spans="1:22" x14ac:dyDescent="0.35">
      <c r="A868">
        <v>867</v>
      </c>
      <c r="B868" t="s">
        <v>16</v>
      </c>
      <c r="C868" t="s">
        <v>347</v>
      </c>
      <c r="D868">
        <v>2016</v>
      </c>
      <c r="E868" t="s">
        <v>101</v>
      </c>
      <c r="F868">
        <v>137.30000000000001</v>
      </c>
      <c r="G868" t="s">
        <v>352</v>
      </c>
      <c r="H868">
        <f>electric_vehicles_dataset[[#This Row],[Battery_Capacity_kWh]]/electric_vehicles_dataset[[#This Row],[Range_km]]</f>
        <v>0.39228571428571429</v>
      </c>
      <c r="I868">
        <v>350</v>
      </c>
      <c r="J868" t="s">
        <v>364</v>
      </c>
      <c r="K868">
        <v>3</v>
      </c>
      <c r="L868" s="1">
        <v>69285.429999999993</v>
      </c>
      <c r="M868" s="1" t="str" cm="1">
        <f t="array" ref="M86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68" t="s">
        <v>277</v>
      </c>
      <c r="O868" t="s">
        <v>161</v>
      </c>
      <c r="P868" s="2" t="s">
        <v>389</v>
      </c>
      <c r="Q868">
        <v>5</v>
      </c>
      <c r="R868" t="s">
        <v>392</v>
      </c>
      <c r="S868" s="1">
        <f>electric_vehicles_dataset[[#This Row],[Units_Sold_2024]]*electric_vehicles_dataset[[#This Row],[Price_USD]]</f>
        <v>650313045.9799999</v>
      </c>
      <c r="T868">
        <v>5</v>
      </c>
      <c r="U868">
        <v>9386</v>
      </c>
      <c r="V868">
        <v>4</v>
      </c>
    </row>
    <row r="869" spans="1:22" x14ac:dyDescent="0.35">
      <c r="A869">
        <v>868</v>
      </c>
      <c r="B869" t="s">
        <v>261</v>
      </c>
      <c r="C869" t="s">
        <v>278</v>
      </c>
      <c r="D869">
        <v>2016</v>
      </c>
      <c r="E869" t="s">
        <v>183</v>
      </c>
      <c r="F869">
        <v>35.5</v>
      </c>
      <c r="G869" t="s">
        <v>357</v>
      </c>
      <c r="H869">
        <f>electric_vehicles_dataset[[#This Row],[Battery_Capacity_kWh]]/electric_vehicles_dataset[[#This Row],[Range_km]]</f>
        <v>6.8138195777351251E-2</v>
      </c>
      <c r="I869">
        <v>521</v>
      </c>
      <c r="J869" t="s">
        <v>359</v>
      </c>
      <c r="K869">
        <v>11</v>
      </c>
      <c r="L869" s="1">
        <v>96570</v>
      </c>
      <c r="M869" s="1" t="str" cm="1">
        <f t="array" ref="M8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69" t="s">
        <v>214</v>
      </c>
      <c r="O869" t="s">
        <v>63</v>
      </c>
      <c r="P869" s="2" t="s">
        <v>389</v>
      </c>
      <c r="Q869">
        <v>5</v>
      </c>
      <c r="R869" t="s">
        <v>392</v>
      </c>
      <c r="S869" s="1">
        <f>electric_vehicles_dataset[[#This Row],[Units_Sold_2024]]*electric_vehicles_dataset[[#This Row],[Price_USD]]</f>
        <v>352480500</v>
      </c>
      <c r="T869">
        <v>3</v>
      </c>
      <c r="U869">
        <v>3650</v>
      </c>
      <c r="V869">
        <v>3</v>
      </c>
    </row>
    <row r="870" spans="1:22" x14ac:dyDescent="0.35">
      <c r="A870">
        <v>869</v>
      </c>
      <c r="B870" t="s">
        <v>108</v>
      </c>
      <c r="C870" t="s">
        <v>325</v>
      </c>
      <c r="D870">
        <v>2017</v>
      </c>
      <c r="E870" t="s">
        <v>58</v>
      </c>
      <c r="F870">
        <v>119.1</v>
      </c>
      <c r="G870" t="s">
        <v>361</v>
      </c>
      <c r="H870">
        <f>electric_vehicles_dataset[[#This Row],[Battery_Capacity_kWh]]/electric_vehicles_dataset[[#This Row],[Range_km]]</f>
        <v>0.23261718749999999</v>
      </c>
      <c r="I870">
        <v>512</v>
      </c>
      <c r="J870" t="s">
        <v>364</v>
      </c>
      <c r="K870">
        <v>3</v>
      </c>
      <c r="L870" s="1">
        <v>103838.5</v>
      </c>
      <c r="M870" s="1" t="str" cm="1">
        <f t="array" ref="M8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70" t="s">
        <v>172</v>
      </c>
      <c r="O870" t="s">
        <v>44</v>
      </c>
      <c r="P870" s="2" t="s">
        <v>389</v>
      </c>
      <c r="Q870">
        <v>0</v>
      </c>
      <c r="R870" t="s">
        <v>390</v>
      </c>
      <c r="S870" s="1">
        <f>electric_vehicles_dataset[[#This Row],[Units_Sold_2024]]*electric_vehicles_dataset[[#This Row],[Price_USD]]</f>
        <v>715966457.5</v>
      </c>
      <c r="T870">
        <v>3</v>
      </c>
      <c r="U870">
        <v>6895</v>
      </c>
      <c r="V870">
        <v>5</v>
      </c>
    </row>
    <row r="871" spans="1:22" x14ac:dyDescent="0.35">
      <c r="A871">
        <v>870</v>
      </c>
      <c r="B871" t="s">
        <v>56</v>
      </c>
      <c r="C871" t="s">
        <v>57</v>
      </c>
      <c r="D871">
        <v>2024</v>
      </c>
      <c r="E871" t="s">
        <v>84</v>
      </c>
      <c r="F871">
        <v>143.30000000000001</v>
      </c>
      <c r="G871" t="s">
        <v>386</v>
      </c>
      <c r="H871">
        <f>electric_vehicles_dataset[[#This Row],[Battery_Capacity_kWh]]/electric_vehicles_dataset[[#This Row],[Range_km]]</f>
        <v>0.5229927007299271</v>
      </c>
      <c r="I871">
        <v>274</v>
      </c>
      <c r="J871" t="s">
        <v>105</v>
      </c>
      <c r="K871">
        <v>11</v>
      </c>
      <c r="L871" s="1">
        <v>72014.070000000007</v>
      </c>
      <c r="M871" s="1" t="str" cm="1">
        <f t="array" ref="M87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71" t="s">
        <v>55</v>
      </c>
      <c r="O871" t="s">
        <v>67</v>
      </c>
      <c r="P871" s="2" t="s">
        <v>394</v>
      </c>
      <c r="Q871">
        <v>1</v>
      </c>
      <c r="R871" t="s">
        <v>391</v>
      </c>
      <c r="S871" s="1">
        <f>electric_vehicles_dataset[[#This Row],[Units_Sold_2024]]*electric_vehicles_dataset[[#This Row],[Price_USD]]</f>
        <v>434100813.96000004</v>
      </c>
      <c r="T871">
        <v>3</v>
      </c>
      <c r="U871">
        <v>6028</v>
      </c>
      <c r="V871">
        <v>5</v>
      </c>
    </row>
    <row r="872" spans="1:22" x14ac:dyDescent="0.35">
      <c r="A872">
        <v>871</v>
      </c>
      <c r="B872" t="s">
        <v>112</v>
      </c>
      <c r="C872" t="s">
        <v>113</v>
      </c>
      <c r="D872">
        <v>2025</v>
      </c>
      <c r="E872" t="s">
        <v>17</v>
      </c>
      <c r="F872">
        <v>77.099999999999994</v>
      </c>
      <c r="G872" t="s">
        <v>351</v>
      </c>
      <c r="H872">
        <f>electric_vehicles_dataset[[#This Row],[Battery_Capacity_kWh]]/electric_vehicles_dataset[[#This Row],[Range_km]]</f>
        <v>0.14120879120879121</v>
      </c>
      <c r="I872">
        <v>546</v>
      </c>
      <c r="J872" t="s">
        <v>345</v>
      </c>
      <c r="K872">
        <v>1</v>
      </c>
      <c r="L872" s="1">
        <v>59493.13</v>
      </c>
      <c r="M872" s="1" t="str" cm="1">
        <f t="array" ref="M8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72" t="s">
        <v>212</v>
      </c>
      <c r="O872" t="s">
        <v>265</v>
      </c>
      <c r="P872" s="2" t="s">
        <v>389</v>
      </c>
      <c r="Q872">
        <v>1</v>
      </c>
      <c r="R872" t="s">
        <v>391</v>
      </c>
      <c r="S872" s="1">
        <f>electric_vehicles_dataset[[#This Row],[Units_Sold_2024]]*electric_vehicles_dataset[[#This Row],[Price_USD]]</f>
        <v>126958339.42</v>
      </c>
      <c r="T872">
        <v>3</v>
      </c>
      <c r="U872">
        <v>2134</v>
      </c>
      <c r="V872">
        <v>4</v>
      </c>
    </row>
    <row r="873" spans="1:22" x14ac:dyDescent="0.35">
      <c r="A873">
        <v>872</v>
      </c>
      <c r="B873" t="s">
        <v>207</v>
      </c>
      <c r="C873" t="s">
        <v>208</v>
      </c>
      <c r="D873">
        <v>2015</v>
      </c>
      <c r="E873" t="s">
        <v>90</v>
      </c>
      <c r="F873">
        <v>113.7</v>
      </c>
      <c r="G873" t="s">
        <v>361</v>
      </c>
      <c r="H873">
        <f>electric_vehicles_dataset[[#This Row],[Battery_Capacity_kWh]]/electric_vehicles_dataset[[#This Row],[Range_km]]</f>
        <v>0.24191489361702129</v>
      </c>
      <c r="I873">
        <v>470</v>
      </c>
      <c r="J873" t="s">
        <v>38</v>
      </c>
      <c r="K873">
        <v>5</v>
      </c>
      <c r="L873" s="1">
        <v>47218.38</v>
      </c>
      <c r="M873" s="1" t="str" cm="1">
        <f t="array" ref="M87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73" t="s">
        <v>175</v>
      </c>
      <c r="O873" t="s">
        <v>159</v>
      </c>
      <c r="P873" s="2" t="s">
        <v>389</v>
      </c>
      <c r="Q873">
        <v>1</v>
      </c>
      <c r="R873" t="s">
        <v>391</v>
      </c>
      <c r="S873" s="1">
        <f>electric_vehicles_dataset[[#This Row],[Units_Sold_2024]]*electric_vehicles_dataset[[#This Row],[Price_USD]]</f>
        <v>599578989.24000001</v>
      </c>
      <c r="T873">
        <v>4</v>
      </c>
      <c r="U873">
        <v>12698</v>
      </c>
      <c r="V873">
        <v>5</v>
      </c>
    </row>
    <row r="874" spans="1:22" x14ac:dyDescent="0.35">
      <c r="A874">
        <v>873</v>
      </c>
      <c r="B874" t="s">
        <v>64</v>
      </c>
      <c r="C874" t="s">
        <v>65</v>
      </c>
      <c r="D874">
        <v>2025</v>
      </c>
      <c r="E874" t="s">
        <v>84</v>
      </c>
      <c r="F874">
        <v>93.3</v>
      </c>
      <c r="G874" t="s">
        <v>350</v>
      </c>
      <c r="H874">
        <f>electric_vehicles_dataset[[#This Row],[Battery_Capacity_kWh]]/electric_vehicles_dataset[[#This Row],[Range_km]]</f>
        <v>0.68102189781021893</v>
      </c>
      <c r="I874">
        <v>137</v>
      </c>
      <c r="J874" t="s">
        <v>76</v>
      </c>
      <c r="K874">
        <v>8</v>
      </c>
      <c r="L874" s="1">
        <v>139297.37</v>
      </c>
      <c r="M874" s="1" t="str" cm="1">
        <f t="array" ref="M87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74" t="s">
        <v>59</v>
      </c>
      <c r="O874" t="s">
        <v>110</v>
      </c>
      <c r="P874" s="2" t="s">
        <v>394</v>
      </c>
      <c r="Q874">
        <v>4</v>
      </c>
      <c r="R874" t="s">
        <v>392</v>
      </c>
      <c r="S874" s="1">
        <f>electric_vehicles_dataset[[#This Row],[Units_Sold_2024]]*electric_vehicles_dataset[[#This Row],[Price_USD]]</f>
        <v>2239065925.3800001</v>
      </c>
      <c r="T874">
        <v>3</v>
      </c>
      <c r="U874">
        <v>16074</v>
      </c>
      <c r="V874">
        <v>5</v>
      </c>
    </row>
    <row r="875" spans="1:22" x14ac:dyDescent="0.35">
      <c r="A875">
        <v>874</v>
      </c>
      <c r="B875" t="s">
        <v>180</v>
      </c>
      <c r="C875" t="s">
        <v>181</v>
      </c>
      <c r="D875">
        <v>2025</v>
      </c>
      <c r="E875" t="s">
        <v>130</v>
      </c>
      <c r="F875">
        <v>82.3</v>
      </c>
      <c r="G875" t="s">
        <v>350</v>
      </c>
      <c r="H875">
        <f>electric_vehicles_dataset[[#This Row],[Battery_Capacity_kWh]]/electric_vehicles_dataset[[#This Row],[Range_km]]</f>
        <v>0.14696428571428571</v>
      </c>
      <c r="I875">
        <v>560</v>
      </c>
      <c r="J875" t="s">
        <v>18</v>
      </c>
      <c r="K875">
        <v>6</v>
      </c>
      <c r="L875" s="1">
        <v>135533.32</v>
      </c>
      <c r="M875" s="1" t="str" cm="1">
        <f t="array" ref="M8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75" t="s">
        <v>102</v>
      </c>
      <c r="O875" t="s">
        <v>44</v>
      </c>
      <c r="P875" s="2" t="s">
        <v>389</v>
      </c>
      <c r="Q875">
        <v>5</v>
      </c>
      <c r="R875" t="s">
        <v>392</v>
      </c>
      <c r="S875" s="1">
        <f>electric_vehicles_dataset[[#This Row],[Units_Sold_2024]]*electric_vehicles_dataset[[#This Row],[Price_USD]]</f>
        <v>711956529.96000004</v>
      </c>
      <c r="T875">
        <v>4</v>
      </c>
      <c r="U875">
        <v>5253</v>
      </c>
      <c r="V875">
        <v>4</v>
      </c>
    </row>
    <row r="876" spans="1:22" x14ac:dyDescent="0.35">
      <c r="A876">
        <v>875</v>
      </c>
      <c r="B876" t="s">
        <v>269</v>
      </c>
      <c r="C876" t="s">
        <v>307</v>
      </c>
      <c r="D876">
        <v>2021</v>
      </c>
      <c r="E876" t="s">
        <v>183</v>
      </c>
      <c r="F876">
        <v>59</v>
      </c>
      <c r="G876" t="s">
        <v>348</v>
      </c>
      <c r="H876">
        <f>electric_vehicles_dataset[[#This Row],[Battery_Capacity_kWh]]/electric_vehicles_dataset[[#This Row],[Range_km]]</f>
        <v>0.48760330578512395</v>
      </c>
      <c r="I876">
        <v>121</v>
      </c>
      <c r="J876" t="s">
        <v>345</v>
      </c>
      <c r="K876">
        <v>5</v>
      </c>
      <c r="L876" s="1">
        <v>135576.6</v>
      </c>
      <c r="M876" s="1" t="str" cm="1">
        <f t="array" ref="M87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76" t="s">
        <v>77</v>
      </c>
      <c r="O876" t="s">
        <v>159</v>
      </c>
      <c r="P876" s="2" t="s">
        <v>389</v>
      </c>
      <c r="Q876">
        <v>1</v>
      </c>
      <c r="R876" t="s">
        <v>391</v>
      </c>
      <c r="S876" s="1">
        <f>electric_vehicles_dataset[[#This Row],[Units_Sold_2024]]*electric_vehicles_dataset[[#This Row],[Price_USD]]</f>
        <v>1870821503.4000001</v>
      </c>
      <c r="T876">
        <v>4</v>
      </c>
      <c r="U876">
        <v>13799</v>
      </c>
      <c r="V876">
        <v>4</v>
      </c>
    </row>
    <row r="877" spans="1:22" x14ac:dyDescent="0.35">
      <c r="A877">
        <v>876</v>
      </c>
      <c r="B877" t="s">
        <v>45</v>
      </c>
      <c r="C877" t="s">
        <v>46</v>
      </c>
      <c r="D877">
        <v>2022</v>
      </c>
      <c r="E877" t="s">
        <v>130</v>
      </c>
      <c r="F877">
        <v>143.80000000000001</v>
      </c>
      <c r="G877" t="s">
        <v>386</v>
      </c>
      <c r="H877">
        <f>electric_vehicles_dataset[[#This Row],[Battery_Capacity_kWh]]/electric_vehicles_dataset[[#This Row],[Range_km]]</f>
        <v>0.42670623145400599</v>
      </c>
      <c r="I877">
        <v>337</v>
      </c>
      <c r="J877" t="s">
        <v>149</v>
      </c>
      <c r="K877">
        <v>4</v>
      </c>
      <c r="L877" s="1">
        <v>109844.81</v>
      </c>
      <c r="M877" s="1" t="str" cm="1">
        <f t="array" ref="M87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77" t="s">
        <v>131</v>
      </c>
      <c r="O877" t="s">
        <v>121</v>
      </c>
      <c r="P877" s="2" t="s">
        <v>398</v>
      </c>
      <c r="Q877">
        <v>1</v>
      </c>
      <c r="R877" t="s">
        <v>391</v>
      </c>
      <c r="S877" s="1">
        <f>electric_vehicles_dataset[[#This Row],[Units_Sold_2024]]*electric_vehicles_dataset[[#This Row],[Price_USD]]</f>
        <v>1308031997.48</v>
      </c>
      <c r="T877">
        <v>5</v>
      </c>
      <c r="U877">
        <v>11908</v>
      </c>
      <c r="V877">
        <v>4</v>
      </c>
    </row>
    <row r="878" spans="1:22" x14ac:dyDescent="0.35">
      <c r="A878">
        <v>877</v>
      </c>
      <c r="B878" t="s">
        <v>21</v>
      </c>
      <c r="C878" t="s">
        <v>363</v>
      </c>
      <c r="D878">
        <v>2020</v>
      </c>
      <c r="E878" t="s">
        <v>73</v>
      </c>
      <c r="F878">
        <v>59.9</v>
      </c>
      <c r="G878" t="s">
        <v>348</v>
      </c>
      <c r="H878">
        <f>electric_vehicles_dataset[[#This Row],[Battery_Capacity_kWh]]/electric_vehicles_dataset[[#This Row],[Range_km]]</f>
        <v>0.19900332225913619</v>
      </c>
      <c r="I878">
        <v>301</v>
      </c>
      <c r="J878" t="s">
        <v>18</v>
      </c>
      <c r="K878">
        <v>6</v>
      </c>
      <c r="L878" s="1">
        <v>95139.44</v>
      </c>
      <c r="M878" s="1" t="str" cm="1">
        <f t="array" ref="M87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78" t="s">
        <v>172</v>
      </c>
      <c r="O878" t="s">
        <v>111</v>
      </c>
      <c r="P878" s="2" t="s">
        <v>389</v>
      </c>
      <c r="Q878">
        <v>4</v>
      </c>
      <c r="R878" t="s">
        <v>392</v>
      </c>
      <c r="S878" s="1">
        <f>electric_vehicles_dataset[[#This Row],[Units_Sold_2024]]*electric_vehicles_dataset[[#This Row],[Price_USD]]</f>
        <v>1719835656.8800001</v>
      </c>
      <c r="T878">
        <v>4</v>
      </c>
      <c r="U878">
        <v>18077</v>
      </c>
      <c r="V878">
        <v>3</v>
      </c>
    </row>
    <row r="879" spans="1:22" x14ac:dyDescent="0.35">
      <c r="A879">
        <v>878</v>
      </c>
      <c r="B879" t="s">
        <v>68</v>
      </c>
      <c r="C879" t="s">
        <v>69</v>
      </c>
      <c r="D879">
        <v>2023</v>
      </c>
      <c r="E879" t="s">
        <v>42</v>
      </c>
      <c r="F879">
        <v>43.4</v>
      </c>
      <c r="G879" t="s">
        <v>348</v>
      </c>
      <c r="H879">
        <f>electric_vehicles_dataset[[#This Row],[Battery_Capacity_kWh]]/electric_vehicles_dataset[[#This Row],[Range_km]]</f>
        <v>0.13312883435582823</v>
      </c>
      <c r="I879">
        <v>326</v>
      </c>
      <c r="J879" t="s">
        <v>76</v>
      </c>
      <c r="K879">
        <v>9</v>
      </c>
      <c r="L879" s="1">
        <v>76316.479999999996</v>
      </c>
      <c r="M879" s="1" t="str" cm="1">
        <f t="array" ref="M87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79" t="s">
        <v>117</v>
      </c>
      <c r="O879" t="s">
        <v>86</v>
      </c>
      <c r="P879" s="2" t="s">
        <v>389</v>
      </c>
      <c r="Q879">
        <v>5</v>
      </c>
      <c r="R879" t="s">
        <v>392</v>
      </c>
      <c r="S879" s="1">
        <f>electric_vehicles_dataset[[#This Row],[Units_Sold_2024]]*electric_vehicles_dataset[[#This Row],[Price_USD]]</f>
        <v>1004935408.64</v>
      </c>
      <c r="T879">
        <v>5</v>
      </c>
      <c r="U879">
        <v>13168</v>
      </c>
      <c r="V879">
        <v>5</v>
      </c>
    </row>
    <row r="880" spans="1:22" x14ac:dyDescent="0.35">
      <c r="A880">
        <v>879</v>
      </c>
      <c r="B880" t="s">
        <v>170</v>
      </c>
      <c r="C880" t="s">
        <v>171</v>
      </c>
      <c r="D880">
        <v>2017</v>
      </c>
      <c r="E880" t="s">
        <v>42</v>
      </c>
      <c r="F880">
        <v>61.1</v>
      </c>
      <c r="G880" t="s">
        <v>351</v>
      </c>
      <c r="H880">
        <f>electric_vehicles_dataset[[#This Row],[Battery_Capacity_kWh]]/electric_vehicles_dataset[[#This Row],[Range_km]]</f>
        <v>0.27155555555555555</v>
      </c>
      <c r="I880">
        <v>225</v>
      </c>
      <c r="J880" t="s">
        <v>18</v>
      </c>
      <c r="K880">
        <v>9</v>
      </c>
      <c r="L880" s="1">
        <v>88402.2</v>
      </c>
      <c r="M880" s="1" t="str" cm="1">
        <f t="array" ref="M88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80" t="s">
        <v>217</v>
      </c>
      <c r="O880" t="s">
        <v>118</v>
      </c>
      <c r="P880" s="2" t="s">
        <v>389</v>
      </c>
      <c r="Q880">
        <v>5</v>
      </c>
      <c r="R880" t="s">
        <v>392</v>
      </c>
      <c r="S880" s="1">
        <f>electric_vehicles_dataset[[#This Row],[Units_Sold_2024]]*electric_vehicles_dataset[[#This Row],[Price_USD]]</f>
        <v>248321779.79999998</v>
      </c>
      <c r="T880">
        <v>3</v>
      </c>
      <c r="U880">
        <v>2809</v>
      </c>
      <c r="V880">
        <v>3</v>
      </c>
    </row>
    <row r="881" spans="1:22" x14ac:dyDescent="0.35">
      <c r="A881">
        <v>880</v>
      </c>
      <c r="B881" t="s">
        <v>79</v>
      </c>
      <c r="C881" t="s">
        <v>267</v>
      </c>
      <c r="D881">
        <v>2020</v>
      </c>
      <c r="E881" t="s">
        <v>26</v>
      </c>
      <c r="F881">
        <v>31.7</v>
      </c>
      <c r="G881" t="s">
        <v>357</v>
      </c>
      <c r="H881">
        <f>electric_vehicles_dataset[[#This Row],[Battery_Capacity_kWh]]/electric_vehicles_dataset[[#This Row],[Range_km]]</f>
        <v>5.5034722222222221E-2</v>
      </c>
      <c r="I881">
        <v>576</v>
      </c>
      <c r="J881" t="s">
        <v>149</v>
      </c>
      <c r="K881">
        <v>3</v>
      </c>
      <c r="L881" s="1">
        <v>48072.35</v>
      </c>
      <c r="M881" s="1" t="str" cm="1">
        <f t="array" ref="M88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81" t="s">
        <v>205</v>
      </c>
      <c r="O881" t="s">
        <v>111</v>
      </c>
      <c r="P881" s="2" t="s">
        <v>389</v>
      </c>
      <c r="Q881">
        <v>2</v>
      </c>
      <c r="R881" t="s">
        <v>391</v>
      </c>
      <c r="S881" s="1">
        <f>electric_vehicles_dataset[[#This Row],[Units_Sold_2024]]*electric_vehicles_dataset[[#This Row],[Price_USD]]</f>
        <v>748342272.44999993</v>
      </c>
      <c r="T881">
        <v>4</v>
      </c>
      <c r="U881">
        <v>15567</v>
      </c>
      <c r="V881">
        <v>4</v>
      </c>
    </row>
    <row r="882" spans="1:22" x14ac:dyDescent="0.35">
      <c r="A882">
        <v>881</v>
      </c>
      <c r="B882" t="s">
        <v>215</v>
      </c>
      <c r="C882" t="s">
        <v>216</v>
      </c>
      <c r="D882">
        <v>2019</v>
      </c>
      <c r="E882" t="s">
        <v>133</v>
      </c>
      <c r="F882">
        <v>33.200000000000003</v>
      </c>
      <c r="G882" t="s">
        <v>357</v>
      </c>
      <c r="H882">
        <f>electric_vehicles_dataset[[#This Row],[Battery_Capacity_kWh]]/electric_vehicles_dataset[[#This Row],[Range_km]]</f>
        <v>8.5788113695090443E-2</v>
      </c>
      <c r="I882">
        <v>387</v>
      </c>
      <c r="J882" t="s">
        <v>85</v>
      </c>
      <c r="K882">
        <v>11</v>
      </c>
      <c r="L882" s="1">
        <v>48242.03</v>
      </c>
      <c r="M882" s="1" t="str" cm="1">
        <f t="array" ref="M8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82" t="s">
        <v>70</v>
      </c>
      <c r="O882" t="s">
        <v>147</v>
      </c>
      <c r="P882" s="2" t="s">
        <v>396</v>
      </c>
      <c r="Q882">
        <v>4</v>
      </c>
      <c r="R882" t="s">
        <v>392</v>
      </c>
      <c r="S882" s="1">
        <f>electric_vehicles_dataset[[#This Row],[Units_Sold_2024]]*electric_vehicles_dataset[[#This Row],[Price_USD]]</f>
        <v>742251873.57999992</v>
      </c>
      <c r="T882">
        <v>5</v>
      </c>
      <c r="U882">
        <v>15386</v>
      </c>
      <c r="V882">
        <v>5</v>
      </c>
    </row>
    <row r="883" spans="1:22" x14ac:dyDescent="0.35">
      <c r="A883">
        <v>882</v>
      </c>
      <c r="B883" t="s">
        <v>122</v>
      </c>
      <c r="C883" t="s">
        <v>250</v>
      </c>
      <c r="D883">
        <v>2018</v>
      </c>
      <c r="E883" t="s">
        <v>58</v>
      </c>
      <c r="F883">
        <v>106.3</v>
      </c>
      <c r="G883" t="s">
        <v>361</v>
      </c>
      <c r="H883">
        <f>electric_vehicles_dataset[[#This Row],[Battery_Capacity_kWh]]/electric_vehicles_dataset[[#This Row],[Range_km]]</f>
        <v>0.60742857142857143</v>
      </c>
      <c r="I883">
        <v>175</v>
      </c>
      <c r="J883" t="s">
        <v>345</v>
      </c>
      <c r="K883">
        <v>2</v>
      </c>
      <c r="L883" s="1">
        <v>34725.4</v>
      </c>
      <c r="M883" s="1" t="str" cm="1">
        <f t="array" ref="M88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83" t="s">
        <v>28</v>
      </c>
      <c r="O883" t="s">
        <v>226</v>
      </c>
      <c r="P883" s="2" t="s">
        <v>395</v>
      </c>
      <c r="Q883">
        <v>1</v>
      </c>
      <c r="R883" t="s">
        <v>391</v>
      </c>
      <c r="S883" s="1">
        <f>electric_vehicles_dataset[[#This Row],[Units_Sold_2024]]*electric_vehicles_dataset[[#This Row],[Price_USD]]</f>
        <v>501712579.20000005</v>
      </c>
      <c r="T883">
        <v>4</v>
      </c>
      <c r="U883">
        <v>14448</v>
      </c>
      <c r="V883">
        <v>5</v>
      </c>
    </row>
    <row r="884" spans="1:22" x14ac:dyDescent="0.35">
      <c r="A884">
        <v>883</v>
      </c>
      <c r="B884" t="s">
        <v>261</v>
      </c>
      <c r="C884" t="s">
        <v>372</v>
      </c>
      <c r="D884">
        <v>2022</v>
      </c>
      <c r="E884" t="s">
        <v>53</v>
      </c>
      <c r="F884">
        <v>22.6</v>
      </c>
      <c r="G884" t="s">
        <v>357</v>
      </c>
      <c r="H884">
        <f>electric_vehicles_dataset[[#This Row],[Battery_Capacity_kWh]]/electric_vehicles_dataset[[#This Row],[Range_km]]</f>
        <v>6.4387464387464385E-2</v>
      </c>
      <c r="I884">
        <v>351</v>
      </c>
      <c r="J884" t="s">
        <v>149</v>
      </c>
      <c r="K884">
        <v>11</v>
      </c>
      <c r="L884" s="1">
        <v>148537.84</v>
      </c>
      <c r="M884" s="1" t="str" cm="1">
        <f t="array" ref="M88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84" t="s">
        <v>165</v>
      </c>
      <c r="O884" t="s">
        <v>92</v>
      </c>
      <c r="P884" s="2" t="s">
        <v>394</v>
      </c>
      <c r="Q884">
        <v>4</v>
      </c>
      <c r="R884" t="s">
        <v>392</v>
      </c>
      <c r="S884" s="1">
        <f>electric_vehicles_dataset[[#This Row],[Units_Sold_2024]]*electric_vehicles_dataset[[#This Row],[Price_USD]]</f>
        <v>540083586.24000001</v>
      </c>
      <c r="T884">
        <v>3</v>
      </c>
      <c r="U884">
        <v>3636</v>
      </c>
      <c r="V884">
        <v>5</v>
      </c>
    </row>
    <row r="885" spans="1:22" x14ac:dyDescent="0.35">
      <c r="A885">
        <v>884</v>
      </c>
      <c r="B885" t="s">
        <v>112</v>
      </c>
      <c r="C885" t="s">
        <v>237</v>
      </c>
      <c r="D885">
        <v>2020</v>
      </c>
      <c r="E885" t="s">
        <v>133</v>
      </c>
      <c r="F885">
        <v>112.5</v>
      </c>
      <c r="G885" t="s">
        <v>361</v>
      </c>
      <c r="H885">
        <f>electric_vehicles_dataset[[#This Row],[Battery_Capacity_kWh]]/electric_vehicles_dataset[[#This Row],[Range_km]]</f>
        <v>0.19230769230769232</v>
      </c>
      <c r="I885">
        <v>585</v>
      </c>
      <c r="J885" t="s">
        <v>364</v>
      </c>
      <c r="K885">
        <v>5</v>
      </c>
      <c r="L885" s="1">
        <v>148028.51</v>
      </c>
      <c r="M885" s="1" t="str" cm="1">
        <f t="array" ref="M88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85" t="s">
        <v>214</v>
      </c>
      <c r="O885" t="s">
        <v>135</v>
      </c>
      <c r="P885" s="2" t="s">
        <v>389</v>
      </c>
      <c r="Q885">
        <v>4</v>
      </c>
      <c r="R885" t="s">
        <v>392</v>
      </c>
      <c r="S885" s="1">
        <f>electric_vehicles_dataset[[#This Row],[Units_Sold_2024]]*electric_vehicles_dataset[[#This Row],[Price_USD]]</f>
        <v>931395384.92000008</v>
      </c>
      <c r="T885">
        <v>4</v>
      </c>
      <c r="U885">
        <v>6292</v>
      </c>
      <c r="V885">
        <v>5</v>
      </c>
    </row>
    <row r="886" spans="1:22" x14ac:dyDescent="0.35">
      <c r="A886">
        <v>885</v>
      </c>
      <c r="B886" t="s">
        <v>122</v>
      </c>
      <c r="C886" t="s">
        <v>250</v>
      </c>
      <c r="D886">
        <v>2015</v>
      </c>
      <c r="E886" t="s">
        <v>130</v>
      </c>
      <c r="F886">
        <v>61.4</v>
      </c>
      <c r="G886" t="s">
        <v>351</v>
      </c>
      <c r="H886">
        <f>electric_vehicles_dataset[[#This Row],[Battery_Capacity_kWh]]/electric_vehicles_dataset[[#This Row],[Range_km]]</f>
        <v>0.33189189189189189</v>
      </c>
      <c r="I886">
        <v>185</v>
      </c>
      <c r="J886" t="s">
        <v>27</v>
      </c>
      <c r="K886">
        <v>8</v>
      </c>
      <c r="L886" s="1">
        <v>114061.79</v>
      </c>
      <c r="M886" s="1" t="str" cm="1">
        <f t="array" ref="M88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86" t="s">
        <v>189</v>
      </c>
      <c r="O886" t="s">
        <v>236</v>
      </c>
      <c r="P886" s="2" t="s">
        <v>394</v>
      </c>
      <c r="Q886">
        <v>2</v>
      </c>
      <c r="R886" t="s">
        <v>391</v>
      </c>
      <c r="S886" s="1">
        <f>electric_vehicles_dataset[[#This Row],[Units_Sold_2024]]*electric_vehicles_dataset[[#This Row],[Price_USD]]</f>
        <v>1712067467.8999999</v>
      </c>
      <c r="T886">
        <v>5</v>
      </c>
      <c r="U886">
        <v>15010</v>
      </c>
      <c r="V886">
        <v>5</v>
      </c>
    </row>
    <row r="887" spans="1:22" x14ac:dyDescent="0.35">
      <c r="A887">
        <v>886</v>
      </c>
      <c r="B887" t="s">
        <v>200</v>
      </c>
      <c r="C887" t="s">
        <v>327</v>
      </c>
      <c r="D887">
        <v>2023</v>
      </c>
      <c r="E887" t="s">
        <v>84</v>
      </c>
      <c r="F887">
        <v>37</v>
      </c>
      <c r="G887" t="s">
        <v>357</v>
      </c>
      <c r="H887">
        <f>electric_vehicles_dataset[[#This Row],[Battery_Capacity_kWh]]/electric_vehicles_dataset[[#This Row],[Range_km]]</f>
        <v>6.1666666666666668E-2</v>
      </c>
      <c r="I887">
        <v>600</v>
      </c>
      <c r="J887" t="s">
        <v>76</v>
      </c>
      <c r="K887">
        <v>9</v>
      </c>
      <c r="L887" s="1">
        <v>32305.46</v>
      </c>
      <c r="M887" s="1" t="str" cm="1">
        <f t="array" ref="M88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87" t="s">
        <v>28</v>
      </c>
      <c r="O887" t="s">
        <v>63</v>
      </c>
      <c r="P887" s="2" t="s">
        <v>389</v>
      </c>
      <c r="Q887">
        <v>3</v>
      </c>
      <c r="R887" t="s">
        <v>397</v>
      </c>
      <c r="S887" s="1">
        <f>electric_vehicles_dataset[[#This Row],[Units_Sold_2024]]*electric_vehicles_dataset[[#This Row],[Price_USD]]</f>
        <v>397098714.31999999</v>
      </c>
      <c r="T887">
        <v>4</v>
      </c>
      <c r="U887">
        <v>12292</v>
      </c>
      <c r="V887">
        <v>4</v>
      </c>
    </row>
    <row r="888" spans="1:22" x14ac:dyDescent="0.35">
      <c r="A888">
        <v>887</v>
      </c>
      <c r="B888" t="s">
        <v>187</v>
      </c>
      <c r="C888" t="s">
        <v>318</v>
      </c>
      <c r="D888">
        <v>2021</v>
      </c>
      <c r="E888" t="s">
        <v>42</v>
      </c>
      <c r="F888">
        <v>111.9</v>
      </c>
      <c r="G888" t="s">
        <v>361</v>
      </c>
      <c r="H888">
        <f>electric_vehicles_dataset[[#This Row],[Battery_Capacity_kWh]]/electric_vehicles_dataset[[#This Row],[Range_km]]</f>
        <v>0.67005988023952101</v>
      </c>
      <c r="I888">
        <v>167</v>
      </c>
      <c r="J888" t="s">
        <v>149</v>
      </c>
      <c r="K888">
        <v>9</v>
      </c>
      <c r="L888" s="1">
        <v>96285.92</v>
      </c>
      <c r="M888" s="1" t="str" cm="1">
        <f t="array" ref="M88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88" t="s">
        <v>214</v>
      </c>
      <c r="O888" t="s">
        <v>265</v>
      </c>
      <c r="P888" s="2" t="s">
        <v>389</v>
      </c>
      <c r="Q888">
        <v>3</v>
      </c>
      <c r="R888" t="s">
        <v>397</v>
      </c>
      <c r="S888" s="1">
        <f>electric_vehicles_dataset[[#This Row],[Units_Sold_2024]]*electric_vehicles_dataset[[#This Row],[Price_USD]]</f>
        <v>1005225004.8</v>
      </c>
      <c r="T888">
        <v>4</v>
      </c>
      <c r="U888">
        <v>10440</v>
      </c>
      <c r="V888">
        <v>5</v>
      </c>
    </row>
    <row r="889" spans="1:22" x14ac:dyDescent="0.35">
      <c r="A889">
        <v>888</v>
      </c>
      <c r="B889" t="s">
        <v>64</v>
      </c>
      <c r="C889" t="s">
        <v>65</v>
      </c>
      <c r="D889">
        <v>2017</v>
      </c>
      <c r="E889" t="s">
        <v>183</v>
      </c>
      <c r="F889">
        <v>119.1</v>
      </c>
      <c r="G889" t="s">
        <v>361</v>
      </c>
      <c r="H889">
        <f>electric_vehicles_dataset[[#This Row],[Battery_Capacity_kWh]]/electric_vehicles_dataset[[#This Row],[Range_km]]</f>
        <v>0.53169642857142851</v>
      </c>
      <c r="I889">
        <v>224</v>
      </c>
      <c r="J889" t="s">
        <v>364</v>
      </c>
      <c r="K889">
        <v>3</v>
      </c>
      <c r="L889" s="1">
        <v>37795.1</v>
      </c>
      <c r="M889" s="1" t="str" cm="1">
        <f t="array" ref="M88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89" t="s">
        <v>59</v>
      </c>
      <c r="O889" t="s">
        <v>78</v>
      </c>
      <c r="P889" s="2" t="s">
        <v>389</v>
      </c>
      <c r="Q889">
        <v>0</v>
      </c>
      <c r="R889" t="s">
        <v>390</v>
      </c>
      <c r="S889" s="1">
        <f>electric_vehicles_dataset[[#This Row],[Units_Sold_2024]]*electric_vehicles_dataset[[#This Row],[Price_USD]]</f>
        <v>422473627.80000001</v>
      </c>
      <c r="T889">
        <v>4</v>
      </c>
      <c r="U889">
        <v>11178</v>
      </c>
      <c r="V889">
        <v>5</v>
      </c>
    </row>
    <row r="890" spans="1:22" x14ac:dyDescent="0.35">
      <c r="A890">
        <v>889</v>
      </c>
      <c r="B890" t="s">
        <v>29</v>
      </c>
      <c r="C890" t="s">
        <v>197</v>
      </c>
      <c r="D890">
        <v>2024</v>
      </c>
      <c r="E890" t="s">
        <v>73</v>
      </c>
      <c r="F890">
        <v>145.5</v>
      </c>
      <c r="G890" t="s">
        <v>386</v>
      </c>
      <c r="H890">
        <f>electric_vehicles_dataset[[#This Row],[Battery_Capacity_kWh]]/electric_vehicles_dataset[[#This Row],[Range_km]]</f>
        <v>0.24412751677852348</v>
      </c>
      <c r="I890">
        <v>596</v>
      </c>
      <c r="J890" t="s">
        <v>345</v>
      </c>
      <c r="K890">
        <v>8</v>
      </c>
      <c r="L890" s="1">
        <v>69708.08</v>
      </c>
      <c r="M890" s="1" t="str" cm="1">
        <f t="array" ref="M89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90" t="s">
        <v>117</v>
      </c>
      <c r="O890" t="s">
        <v>93</v>
      </c>
      <c r="P890" s="2" t="s">
        <v>389</v>
      </c>
      <c r="Q890">
        <v>0</v>
      </c>
      <c r="R890" t="s">
        <v>390</v>
      </c>
      <c r="S890" s="1">
        <f>electric_vehicles_dataset[[#This Row],[Units_Sold_2024]]*electric_vehicles_dataset[[#This Row],[Price_USD]]</f>
        <v>185353784.72</v>
      </c>
      <c r="T890">
        <v>5</v>
      </c>
      <c r="U890">
        <v>2659</v>
      </c>
      <c r="V890">
        <v>3</v>
      </c>
    </row>
    <row r="891" spans="1:22" x14ac:dyDescent="0.35">
      <c r="A891">
        <v>890</v>
      </c>
      <c r="B891" t="s">
        <v>200</v>
      </c>
      <c r="C891" t="s">
        <v>201</v>
      </c>
      <c r="D891">
        <v>2015</v>
      </c>
      <c r="E891" t="s">
        <v>42</v>
      </c>
      <c r="F891">
        <v>122.9</v>
      </c>
      <c r="G891" t="s">
        <v>352</v>
      </c>
      <c r="H891">
        <f>electric_vehicles_dataset[[#This Row],[Battery_Capacity_kWh]]/electric_vehicles_dataset[[#This Row],[Range_km]]</f>
        <v>0.56118721461187215</v>
      </c>
      <c r="I891">
        <v>219</v>
      </c>
      <c r="J891" t="s">
        <v>359</v>
      </c>
      <c r="K891">
        <v>1</v>
      </c>
      <c r="L891" s="1">
        <v>39529.43</v>
      </c>
      <c r="M891" s="1" t="str" cm="1">
        <f t="array" ref="M89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91" t="s">
        <v>146</v>
      </c>
      <c r="O891" t="s">
        <v>121</v>
      </c>
      <c r="P891" s="2" t="s">
        <v>398</v>
      </c>
      <c r="Q891">
        <v>1</v>
      </c>
      <c r="R891" t="s">
        <v>391</v>
      </c>
      <c r="S891" s="1">
        <f>electric_vehicles_dataset[[#This Row],[Units_Sold_2024]]*electric_vehicles_dataset[[#This Row],[Price_USD]]</f>
        <v>240971405.28</v>
      </c>
      <c r="T891">
        <v>5</v>
      </c>
      <c r="U891">
        <v>6096</v>
      </c>
      <c r="V891">
        <v>4</v>
      </c>
    </row>
    <row r="892" spans="1:22" x14ac:dyDescent="0.35">
      <c r="A892">
        <v>891</v>
      </c>
      <c r="B892" t="s">
        <v>176</v>
      </c>
      <c r="C892" t="s">
        <v>326</v>
      </c>
      <c r="D892">
        <v>2022</v>
      </c>
      <c r="E892" t="s">
        <v>101</v>
      </c>
      <c r="F892">
        <v>86</v>
      </c>
      <c r="G892" t="s">
        <v>350</v>
      </c>
      <c r="H892">
        <f>electric_vehicles_dataset[[#This Row],[Battery_Capacity_kWh]]/electric_vehicles_dataset[[#This Row],[Range_km]]</f>
        <v>0.61428571428571432</v>
      </c>
      <c r="I892">
        <v>140</v>
      </c>
      <c r="J892" t="s">
        <v>85</v>
      </c>
      <c r="K892">
        <v>12</v>
      </c>
      <c r="L892" s="1">
        <v>61591.39</v>
      </c>
      <c r="M892" s="1" t="str" cm="1">
        <f t="array" ref="M89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92" t="s">
        <v>19</v>
      </c>
      <c r="O892" t="s">
        <v>182</v>
      </c>
      <c r="P892" s="2" t="s">
        <v>394</v>
      </c>
      <c r="Q892">
        <v>5</v>
      </c>
      <c r="R892" t="s">
        <v>392</v>
      </c>
      <c r="S892" s="1">
        <f>electric_vehicles_dataset[[#This Row],[Units_Sold_2024]]*electric_vehicles_dataset[[#This Row],[Price_USD]]</f>
        <v>377493629.31</v>
      </c>
      <c r="T892">
        <v>3</v>
      </c>
      <c r="U892">
        <v>6129</v>
      </c>
      <c r="V892">
        <v>4</v>
      </c>
    </row>
    <row r="893" spans="1:22" x14ac:dyDescent="0.35">
      <c r="A893">
        <v>892</v>
      </c>
      <c r="B893" t="s">
        <v>51</v>
      </c>
      <c r="C893" t="s">
        <v>52</v>
      </c>
      <c r="D893">
        <v>2017</v>
      </c>
      <c r="E893" t="s">
        <v>42</v>
      </c>
      <c r="F893">
        <v>102.6</v>
      </c>
      <c r="G893" t="s">
        <v>361</v>
      </c>
      <c r="H893">
        <f>electric_vehicles_dataset[[#This Row],[Battery_Capacity_kWh]]/electric_vehicles_dataset[[#This Row],[Range_km]]</f>
        <v>0.25459057071960295</v>
      </c>
      <c r="I893">
        <v>403</v>
      </c>
      <c r="J893" t="s">
        <v>54</v>
      </c>
      <c r="K893">
        <v>7</v>
      </c>
      <c r="L893" s="1">
        <v>90798.53</v>
      </c>
      <c r="M893" s="1" t="str" cm="1">
        <f t="array" ref="M89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893" t="s">
        <v>179</v>
      </c>
      <c r="O893" t="s">
        <v>124</v>
      </c>
      <c r="P893" s="2" t="s">
        <v>389</v>
      </c>
      <c r="Q893">
        <v>2</v>
      </c>
      <c r="R893" t="s">
        <v>391</v>
      </c>
      <c r="S893" s="1">
        <f>electric_vehicles_dataset[[#This Row],[Units_Sold_2024]]*electric_vehicles_dataset[[#This Row],[Price_USD]]</f>
        <v>748724678.38</v>
      </c>
      <c r="T893">
        <v>5</v>
      </c>
      <c r="U893">
        <v>8246</v>
      </c>
      <c r="V893">
        <v>4</v>
      </c>
    </row>
    <row r="894" spans="1:22" x14ac:dyDescent="0.35">
      <c r="A894">
        <v>893</v>
      </c>
      <c r="B894" t="s">
        <v>51</v>
      </c>
      <c r="C894" t="s">
        <v>52</v>
      </c>
      <c r="D894">
        <v>2016</v>
      </c>
      <c r="E894" t="s">
        <v>84</v>
      </c>
      <c r="F894">
        <v>28.2</v>
      </c>
      <c r="G894" t="s">
        <v>357</v>
      </c>
      <c r="H894">
        <f>electric_vehicles_dataset[[#This Row],[Battery_Capacity_kWh]]/electric_vehicles_dataset[[#This Row],[Range_km]]</f>
        <v>0.10217391304347825</v>
      </c>
      <c r="I894">
        <v>276</v>
      </c>
      <c r="J894" t="s">
        <v>27</v>
      </c>
      <c r="K894">
        <v>8</v>
      </c>
      <c r="L894" s="1">
        <v>128124.42</v>
      </c>
      <c r="M894" s="1" t="str" cm="1">
        <f t="array" ref="M8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94" t="s">
        <v>143</v>
      </c>
      <c r="O894" t="s">
        <v>236</v>
      </c>
      <c r="P894" s="2" t="s">
        <v>394</v>
      </c>
      <c r="Q894">
        <v>2</v>
      </c>
      <c r="R894" t="s">
        <v>391</v>
      </c>
      <c r="S894" s="1">
        <f>electric_vehicles_dataset[[#This Row],[Units_Sold_2024]]*electric_vehicles_dataset[[#This Row],[Price_USD]]</f>
        <v>2469213822.2399998</v>
      </c>
      <c r="T894">
        <v>4</v>
      </c>
      <c r="U894">
        <v>19272</v>
      </c>
      <c r="V894">
        <v>4</v>
      </c>
    </row>
    <row r="895" spans="1:22" x14ac:dyDescent="0.35">
      <c r="A895">
        <v>894</v>
      </c>
      <c r="B895" t="s">
        <v>136</v>
      </c>
      <c r="C895" t="s">
        <v>137</v>
      </c>
      <c r="D895">
        <v>2024</v>
      </c>
      <c r="E895" t="s">
        <v>133</v>
      </c>
      <c r="F895">
        <v>114.5</v>
      </c>
      <c r="G895" t="s">
        <v>361</v>
      </c>
      <c r="H895">
        <f>electric_vehicles_dataset[[#This Row],[Battery_Capacity_kWh]]/electric_vehicles_dataset[[#This Row],[Range_km]]</f>
        <v>0.43536121673003803</v>
      </c>
      <c r="I895">
        <v>263</v>
      </c>
      <c r="J895" t="s">
        <v>345</v>
      </c>
      <c r="K895">
        <v>5</v>
      </c>
      <c r="L895" s="1">
        <v>127315.84</v>
      </c>
      <c r="M895" s="1" t="str" cm="1">
        <f t="array" ref="M89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95" t="s">
        <v>165</v>
      </c>
      <c r="O895" t="s">
        <v>230</v>
      </c>
      <c r="P895" s="2" t="s">
        <v>389</v>
      </c>
      <c r="Q895">
        <v>3</v>
      </c>
      <c r="R895" t="s">
        <v>397</v>
      </c>
      <c r="S895" s="1">
        <f>electric_vehicles_dataset[[#This Row],[Units_Sold_2024]]*electric_vehicles_dataset[[#This Row],[Price_USD]]</f>
        <v>951558588.15999997</v>
      </c>
      <c r="T895">
        <v>3</v>
      </c>
      <c r="U895">
        <v>7474</v>
      </c>
      <c r="V895">
        <v>5</v>
      </c>
    </row>
    <row r="896" spans="1:22" x14ac:dyDescent="0.35">
      <c r="A896">
        <v>895</v>
      </c>
      <c r="B896" t="s">
        <v>220</v>
      </c>
      <c r="C896" t="s">
        <v>335</v>
      </c>
      <c r="D896">
        <v>2020</v>
      </c>
      <c r="E896" t="s">
        <v>42</v>
      </c>
      <c r="F896">
        <v>80.400000000000006</v>
      </c>
      <c r="G896" t="s">
        <v>350</v>
      </c>
      <c r="H896">
        <f>electric_vehicles_dataset[[#This Row],[Battery_Capacity_kWh]]/electric_vehicles_dataset[[#This Row],[Range_km]]</f>
        <v>0.2392857142857143</v>
      </c>
      <c r="I896">
        <v>336</v>
      </c>
      <c r="J896" t="s">
        <v>38</v>
      </c>
      <c r="K896">
        <v>11</v>
      </c>
      <c r="L896" s="1">
        <v>131577.79</v>
      </c>
      <c r="M896" s="1" t="str" cm="1">
        <f t="array" ref="M89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96" t="s">
        <v>253</v>
      </c>
      <c r="O896" t="s">
        <v>40</v>
      </c>
      <c r="P896" s="2" t="s">
        <v>395</v>
      </c>
      <c r="Q896">
        <v>3</v>
      </c>
      <c r="R896" t="s">
        <v>397</v>
      </c>
      <c r="S896" s="1">
        <f>electric_vehicles_dataset[[#This Row],[Units_Sold_2024]]*electric_vehicles_dataset[[#This Row],[Price_USD]]</f>
        <v>1809063034.71</v>
      </c>
      <c r="T896">
        <v>4</v>
      </c>
      <c r="U896">
        <v>13749</v>
      </c>
      <c r="V896">
        <v>3</v>
      </c>
    </row>
    <row r="897" spans="1:22" x14ac:dyDescent="0.35">
      <c r="A897">
        <v>896</v>
      </c>
      <c r="B897" t="s">
        <v>60</v>
      </c>
      <c r="C897" t="s">
        <v>233</v>
      </c>
      <c r="D897">
        <v>2020</v>
      </c>
      <c r="E897" t="s">
        <v>42</v>
      </c>
      <c r="F897">
        <v>148.69999999999999</v>
      </c>
      <c r="G897" t="s">
        <v>386</v>
      </c>
      <c r="H897">
        <f>electric_vehicles_dataset[[#This Row],[Battery_Capacity_kWh]]/electric_vehicles_dataset[[#This Row],[Range_km]]</f>
        <v>0.35153664302600468</v>
      </c>
      <c r="I897">
        <v>423</v>
      </c>
      <c r="J897" t="s">
        <v>18</v>
      </c>
      <c r="K897">
        <v>5</v>
      </c>
      <c r="L897" s="1">
        <v>31674.02</v>
      </c>
      <c r="M897" s="1" t="str" cm="1">
        <f t="array" ref="M8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97" t="s">
        <v>81</v>
      </c>
      <c r="O897" t="s">
        <v>86</v>
      </c>
      <c r="P897" s="2" t="s">
        <v>389</v>
      </c>
      <c r="Q897">
        <v>1</v>
      </c>
      <c r="R897" t="s">
        <v>391</v>
      </c>
      <c r="S897" s="1">
        <f>electric_vehicles_dataset[[#This Row],[Units_Sold_2024]]*electric_vehicles_dataset[[#This Row],[Price_USD]]</f>
        <v>490155459.5</v>
      </c>
      <c r="T897">
        <v>4</v>
      </c>
      <c r="U897">
        <v>15475</v>
      </c>
      <c r="V897">
        <v>3</v>
      </c>
    </row>
    <row r="898" spans="1:22" x14ac:dyDescent="0.35">
      <c r="A898">
        <v>897</v>
      </c>
      <c r="B898" t="s">
        <v>122</v>
      </c>
      <c r="C898" t="s">
        <v>123</v>
      </c>
      <c r="D898">
        <v>2018</v>
      </c>
      <c r="E898" t="s">
        <v>84</v>
      </c>
      <c r="F898">
        <v>84.7</v>
      </c>
      <c r="G898" t="s">
        <v>350</v>
      </c>
      <c r="H898">
        <f>electric_vehicles_dataset[[#This Row],[Battery_Capacity_kWh]]/electric_vehicles_dataset[[#This Row],[Range_km]]</f>
        <v>0.46795580110497237</v>
      </c>
      <c r="I898">
        <v>181</v>
      </c>
      <c r="J898" t="s">
        <v>54</v>
      </c>
      <c r="K898">
        <v>10</v>
      </c>
      <c r="L898" s="1">
        <v>132457.76</v>
      </c>
      <c r="M898" s="1" t="str" cm="1">
        <f t="array" ref="M89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898" t="s">
        <v>49</v>
      </c>
      <c r="O898" t="s">
        <v>159</v>
      </c>
      <c r="P898" s="2" t="s">
        <v>389</v>
      </c>
      <c r="Q898">
        <v>4</v>
      </c>
      <c r="R898" t="s">
        <v>392</v>
      </c>
      <c r="S898" s="1">
        <f>electric_vehicles_dataset[[#This Row],[Units_Sold_2024]]*electric_vehicles_dataset[[#This Row],[Price_USD]]</f>
        <v>2115217969.4400001</v>
      </c>
      <c r="T898">
        <v>3</v>
      </c>
      <c r="U898">
        <v>15969</v>
      </c>
      <c r="V898">
        <v>5</v>
      </c>
    </row>
    <row r="899" spans="1:22" x14ac:dyDescent="0.35">
      <c r="A899">
        <v>898</v>
      </c>
      <c r="B899" t="s">
        <v>71</v>
      </c>
      <c r="C899" t="s">
        <v>330</v>
      </c>
      <c r="D899">
        <v>2016</v>
      </c>
      <c r="E899" t="s">
        <v>58</v>
      </c>
      <c r="F899">
        <v>143.9</v>
      </c>
      <c r="G899" t="s">
        <v>386</v>
      </c>
      <c r="H899">
        <f>electric_vehicles_dataset[[#This Row],[Battery_Capacity_kWh]]/electric_vehicles_dataset[[#This Row],[Range_km]]</f>
        <v>0.31214750542299352</v>
      </c>
      <c r="I899">
        <v>461</v>
      </c>
      <c r="J899" t="s">
        <v>356</v>
      </c>
      <c r="K899">
        <v>8</v>
      </c>
      <c r="L899" s="1">
        <v>46977.34</v>
      </c>
      <c r="M899" s="1" t="str" cm="1">
        <f t="array" ref="M8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899" t="s">
        <v>212</v>
      </c>
      <c r="O899" t="s">
        <v>230</v>
      </c>
      <c r="P899" s="2" t="s">
        <v>389</v>
      </c>
      <c r="Q899">
        <v>3</v>
      </c>
      <c r="R899" t="s">
        <v>397</v>
      </c>
      <c r="S899" s="1">
        <f>electric_vehicles_dataset[[#This Row],[Units_Sold_2024]]*electric_vehicles_dataset[[#This Row],[Price_USD]]</f>
        <v>244141235.97999999</v>
      </c>
      <c r="T899">
        <v>5</v>
      </c>
      <c r="U899">
        <v>5197</v>
      </c>
      <c r="V899">
        <v>4</v>
      </c>
    </row>
    <row r="900" spans="1:22" x14ac:dyDescent="0.35">
      <c r="A900">
        <v>899</v>
      </c>
      <c r="B900" t="s">
        <v>16</v>
      </c>
      <c r="C900" t="s">
        <v>347</v>
      </c>
      <c r="D900">
        <v>2025</v>
      </c>
      <c r="E900" t="s">
        <v>90</v>
      </c>
      <c r="F900">
        <v>75.8</v>
      </c>
      <c r="G900" t="s">
        <v>351</v>
      </c>
      <c r="H900">
        <f>electric_vehicles_dataset[[#This Row],[Battery_Capacity_kWh]]/electric_vehicles_dataset[[#This Row],[Range_km]]</f>
        <v>0.46790123456790123</v>
      </c>
      <c r="I900">
        <v>162</v>
      </c>
      <c r="J900" t="s">
        <v>18</v>
      </c>
      <c r="K900">
        <v>7</v>
      </c>
      <c r="L900" s="1">
        <v>70931.67</v>
      </c>
      <c r="M900" s="1" t="str" cm="1">
        <f t="array" ref="M90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00" t="s">
        <v>165</v>
      </c>
      <c r="O900" t="s">
        <v>150</v>
      </c>
      <c r="P900" s="2" t="s">
        <v>389</v>
      </c>
      <c r="Q900">
        <v>3</v>
      </c>
      <c r="R900" t="s">
        <v>397</v>
      </c>
      <c r="S900" s="1">
        <f>electric_vehicles_dataset[[#This Row],[Units_Sold_2024]]*electric_vehicles_dataset[[#This Row],[Price_USD]]</f>
        <v>571992986.88</v>
      </c>
      <c r="T900">
        <v>4</v>
      </c>
      <c r="U900">
        <v>8064</v>
      </c>
      <c r="V900">
        <v>3</v>
      </c>
    </row>
    <row r="901" spans="1:22" x14ac:dyDescent="0.35">
      <c r="A901">
        <v>900</v>
      </c>
      <c r="B901" t="s">
        <v>56</v>
      </c>
      <c r="C901" t="s">
        <v>57</v>
      </c>
      <c r="D901">
        <v>2020</v>
      </c>
      <c r="E901" t="s">
        <v>73</v>
      </c>
      <c r="F901">
        <v>139</v>
      </c>
      <c r="G901" t="s">
        <v>352</v>
      </c>
      <c r="H901">
        <f>electric_vehicles_dataset[[#This Row],[Battery_Capacity_kWh]]/electric_vehicles_dataset[[#This Row],[Range_km]]</f>
        <v>0.23283082077051925</v>
      </c>
      <c r="I901">
        <v>597</v>
      </c>
      <c r="J901" t="s">
        <v>356</v>
      </c>
      <c r="K901">
        <v>10</v>
      </c>
      <c r="L901" s="1">
        <v>96599.49</v>
      </c>
      <c r="M901" s="1" t="str" cm="1">
        <f t="array" ref="M90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01" t="s">
        <v>59</v>
      </c>
      <c r="O901" t="s">
        <v>50</v>
      </c>
      <c r="P901" s="2" t="s">
        <v>396</v>
      </c>
      <c r="Q901">
        <v>1</v>
      </c>
      <c r="R901" t="s">
        <v>391</v>
      </c>
      <c r="S901" s="1">
        <f>electric_vehicles_dataset[[#This Row],[Units_Sold_2024]]*electric_vehicles_dataset[[#This Row],[Price_USD]]</f>
        <v>724592774.49000001</v>
      </c>
      <c r="T901">
        <v>5</v>
      </c>
      <c r="U901">
        <v>7501</v>
      </c>
      <c r="V901">
        <v>5</v>
      </c>
    </row>
    <row r="902" spans="1:22" x14ac:dyDescent="0.35">
      <c r="A902">
        <v>901</v>
      </c>
      <c r="B902" t="s">
        <v>41</v>
      </c>
      <c r="C902" t="s">
        <v>374</v>
      </c>
      <c r="D902">
        <v>2018</v>
      </c>
      <c r="E902" t="s">
        <v>130</v>
      </c>
      <c r="F902">
        <v>93.2</v>
      </c>
      <c r="G902" t="s">
        <v>350</v>
      </c>
      <c r="H902">
        <f>electric_vehicles_dataset[[#This Row],[Battery_Capacity_kWh]]/electric_vehicles_dataset[[#This Row],[Range_km]]</f>
        <v>0.16792792792792793</v>
      </c>
      <c r="I902">
        <v>555</v>
      </c>
      <c r="J902" t="s">
        <v>76</v>
      </c>
      <c r="K902">
        <v>4</v>
      </c>
      <c r="L902" s="1">
        <v>135687.38</v>
      </c>
      <c r="M902" s="1" t="str" cm="1">
        <f t="array" ref="M90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02" t="s">
        <v>28</v>
      </c>
      <c r="O902" t="s">
        <v>44</v>
      </c>
      <c r="P902" s="2" t="s">
        <v>389</v>
      </c>
      <c r="Q902">
        <v>0</v>
      </c>
      <c r="R902" t="s">
        <v>390</v>
      </c>
      <c r="S902" s="1">
        <f>electric_vehicles_dataset[[#This Row],[Units_Sold_2024]]*electric_vehicles_dataset[[#This Row],[Price_USD]]</f>
        <v>1182651204.0799999</v>
      </c>
      <c r="T902">
        <v>5</v>
      </c>
      <c r="U902">
        <v>8716</v>
      </c>
      <c r="V902">
        <v>3</v>
      </c>
    </row>
    <row r="903" spans="1:22" x14ac:dyDescent="0.35">
      <c r="A903">
        <v>902</v>
      </c>
      <c r="B903" t="s">
        <v>96</v>
      </c>
      <c r="C903" t="s">
        <v>116</v>
      </c>
      <c r="D903">
        <v>2018</v>
      </c>
      <c r="E903" t="s">
        <v>183</v>
      </c>
      <c r="F903">
        <v>120.1</v>
      </c>
      <c r="G903" t="s">
        <v>352</v>
      </c>
      <c r="H903">
        <f>electric_vehicles_dataset[[#This Row],[Battery_Capacity_kWh]]/electric_vehicles_dataset[[#This Row],[Range_km]]</f>
        <v>0.25883620689655173</v>
      </c>
      <c r="I903">
        <v>464</v>
      </c>
      <c r="J903" t="s">
        <v>18</v>
      </c>
      <c r="K903">
        <v>5</v>
      </c>
      <c r="L903" s="1">
        <v>123331.11</v>
      </c>
      <c r="M903" s="1" t="str" cm="1">
        <f t="array" ref="M90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03" t="s">
        <v>152</v>
      </c>
      <c r="O903" t="s">
        <v>78</v>
      </c>
      <c r="P903" s="2" t="s">
        <v>389</v>
      </c>
      <c r="Q903">
        <v>0</v>
      </c>
      <c r="R903" t="s">
        <v>390</v>
      </c>
      <c r="S903" s="1">
        <f>electric_vehicles_dataset[[#This Row],[Units_Sold_2024]]*electric_vehicles_dataset[[#This Row],[Price_USD]]</f>
        <v>2270649066.21</v>
      </c>
      <c r="T903">
        <v>4</v>
      </c>
      <c r="U903">
        <v>18411</v>
      </c>
      <c r="V903">
        <v>3</v>
      </c>
    </row>
    <row r="904" spans="1:22" x14ac:dyDescent="0.35">
      <c r="A904">
        <v>903</v>
      </c>
      <c r="B904" t="s">
        <v>170</v>
      </c>
      <c r="C904" t="s">
        <v>218</v>
      </c>
      <c r="D904">
        <v>2020</v>
      </c>
      <c r="E904" t="s">
        <v>130</v>
      </c>
      <c r="F904">
        <v>148.1</v>
      </c>
      <c r="G904" t="s">
        <v>386</v>
      </c>
      <c r="H904">
        <f>electric_vehicles_dataset[[#This Row],[Battery_Capacity_kWh]]/electric_vehicles_dataset[[#This Row],[Range_km]]</f>
        <v>0.36210268948655255</v>
      </c>
      <c r="I904">
        <v>409</v>
      </c>
      <c r="J904" t="s">
        <v>359</v>
      </c>
      <c r="K904">
        <v>10</v>
      </c>
      <c r="L904" s="1">
        <v>107500.99</v>
      </c>
      <c r="M904" s="1" t="str" cm="1">
        <f t="array" ref="M90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04" t="s">
        <v>160</v>
      </c>
      <c r="O904" t="s">
        <v>139</v>
      </c>
      <c r="P904" s="2" t="s">
        <v>389</v>
      </c>
      <c r="Q904">
        <v>0</v>
      </c>
      <c r="R904" t="s">
        <v>390</v>
      </c>
      <c r="S904" s="1">
        <f>electric_vehicles_dataset[[#This Row],[Units_Sold_2024]]*electric_vehicles_dataset[[#This Row],[Price_USD]]</f>
        <v>1844071982.46</v>
      </c>
      <c r="T904">
        <v>3</v>
      </c>
      <c r="U904">
        <v>17154</v>
      </c>
      <c r="V904">
        <v>5</v>
      </c>
    </row>
    <row r="905" spans="1:22" x14ac:dyDescent="0.35">
      <c r="A905">
        <v>904</v>
      </c>
      <c r="B905" t="s">
        <v>176</v>
      </c>
      <c r="C905" t="s">
        <v>326</v>
      </c>
      <c r="D905">
        <v>2021</v>
      </c>
      <c r="E905" t="s">
        <v>42</v>
      </c>
      <c r="F905">
        <v>111.1</v>
      </c>
      <c r="G905" t="s">
        <v>361</v>
      </c>
      <c r="H905">
        <f>electric_vehicles_dataset[[#This Row],[Battery_Capacity_kWh]]/electric_vehicles_dataset[[#This Row],[Range_km]]</f>
        <v>0.20727611940298507</v>
      </c>
      <c r="I905">
        <v>536</v>
      </c>
      <c r="J905" t="s">
        <v>76</v>
      </c>
      <c r="K905">
        <v>4</v>
      </c>
      <c r="L905" s="1">
        <v>54508.800000000003</v>
      </c>
      <c r="M905" s="1" t="str" cm="1">
        <f t="array" ref="M9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05" t="s">
        <v>179</v>
      </c>
      <c r="O905" t="s">
        <v>135</v>
      </c>
      <c r="P905" s="2" t="s">
        <v>389</v>
      </c>
      <c r="Q905">
        <v>0</v>
      </c>
      <c r="R905" t="s">
        <v>390</v>
      </c>
      <c r="S905" s="1">
        <f>electric_vehicles_dataset[[#This Row],[Units_Sold_2024]]*electric_vehicles_dataset[[#This Row],[Price_USD]]</f>
        <v>830441568</v>
      </c>
      <c r="T905">
        <v>4</v>
      </c>
      <c r="U905">
        <v>15235</v>
      </c>
      <c r="V905">
        <v>3</v>
      </c>
    </row>
    <row r="906" spans="1:22" x14ac:dyDescent="0.35">
      <c r="A906">
        <v>905</v>
      </c>
      <c r="B906" t="s">
        <v>96</v>
      </c>
      <c r="C906" t="s">
        <v>97</v>
      </c>
      <c r="D906">
        <v>2021</v>
      </c>
      <c r="E906" t="s">
        <v>47</v>
      </c>
      <c r="F906">
        <v>40.4</v>
      </c>
      <c r="G906" t="s">
        <v>348</v>
      </c>
      <c r="H906">
        <f>electric_vehicles_dataset[[#This Row],[Battery_Capacity_kWh]]/electric_vehicles_dataset[[#This Row],[Range_km]]</f>
        <v>0.1235474006116208</v>
      </c>
      <c r="I906">
        <v>327</v>
      </c>
      <c r="J906" t="s">
        <v>38</v>
      </c>
      <c r="K906">
        <v>2</v>
      </c>
      <c r="L906" s="1">
        <v>62826.25</v>
      </c>
      <c r="M906" s="1" t="str" cm="1">
        <f t="array" ref="M90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06" t="s">
        <v>49</v>
      </c>
      <c r="O906" t="s">
        <v>63</v>
      </c>
      <c r="P906" s="2" t="s">
        <v>389</v>
      </c>
      <c r="Q906">
        <v>3</v>
      </c>
      <c r="R906" t="s">
        <v>397</v>
      </c>
      <c r="S906" s="1">
        <f>electric_vehicles_dataset[[#This Row],[Units_Sold_2024]]*electric_vehicles_dataset[[#This Row],[Price_USD]]</f>
        <v>34868568.75</v>
      </c>
      <c r="T906">
        <v>4</v>
      </c>
      <c r="U906">
        <v>555</v>
      </c>
      <c r="V906">
        <v>3</v>
      </c>
    </row>
    <row r="907" spans="1:22" x14ac:dyDescent="0.35">
      <c r="A907">
        <v>906</v>
      </c>
      <c r="B907" t="s">
        <v>71</v>
      </c>
      <c r="C907" t="s">
        <v>330</v>
      </c>
      <c r="D907">
        <v>2023</v>
      </c>
      <c r="E907" t="s">
        <v>130</v>
      </c>
      <c r="F907">
        <v>67.900000000000006</v>
      </c>
      <c r="G907" t="s">
        <v>351</v>
      </c>
      <c r="H907">
        <f>electric_vehicles_dataset[[#This Row],[Battery_Capacity_kWh]]/electric_vehicles_dataset[[#This Row],[Range_km]]</f>
        <v>0.26015325670498085</v>
      </c>
      <c r="I907">
        <v>261</v>
      </c>
      <c r="J907" t="s">
        <v>34</v>
      </c>
      <c r="K907">
        <v>7</v>
      </c>
      <c r="L907" s="1">
        <v>105466.84</v>
      </c>
      <c r="M907" s="1" t="str" cm="1">
        <f t="array" ref="M9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07" t="s">
        <v>39</v>
      </c>
      <c r="O907" t="s">
        <v>89</v>
      </c>
      <c r="P907" s="2" t="s">
        <v>389</v>
      </c>
      <c r="Q907">
        <v>2</v>
      </c>
      <c r="R907" t="s">
        <v>391</v>
      </c>
      <c r="S907" s="1">
        <f>electric_vehicles_dataset[[#This Row],[Units_Sold_2024]]*electric_vehicles_dataset[[#This Row],[Price_USD]]</f>
        <v>977677606.79999995</v>
      </c>
      <c r="T907">
        <v>5</v>
      </c>
      <c r="U907">
        <v>9270</v>
      </c>
      <c r="V907">
        <v>4</v>
      </c>
    </row>
    <row r="908" spans="1:22" x14ac:dyDescent="0.35">
      <c r="A908">
        <v>907</v>
      </c>
      <c r="B908" t="s">
        <v>261</v>
      </c>
      <c r="C908" t="s">
        <v>370</v>
      </c>
      <c r="D908">
        <v>2015</v>
      </c>
      <c r="E908" t="s">
        <v>53</v>
      </c>
      <c r="F908">
        <v>86.5</v>
      </c>
      <c r="G908" t="s">
        <v>350</v>
      </c>
      <c r="H908">
        <f>electric_vehicles_dataset[[#This Row],[Battery_Capacity_kWh]]/electric_vehicles_dataset[[#This Row],[Range_km]]</f>
        <v>0.18404255319148935</v>
      </c>
      <c r="I908">
        <v>470</v>
      </c>
      <c r="J908" t="s">
        <v>18</v>
      </c>
      <c r="K908">
        <v>6</v>
      </c>
      <c r="L908" s="1">
        <v>141233.85</v>
      </c>
      <c r="M908" s="1" t="str" cm="1">
        <f t="array" ref="M9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08" t="s">
        <v>131</v>
      </c>
      <c r="O908" t="s">
        <v>44</v>
      </c>
      <c r="P908" s="2" t="s">
        <v>389</v>
      </c>
      <c r="Q908">
        <v>2</v>
      </c>
      <c r="R908" t="s">
        <v>391</v>
      </c>
      <c r="S908" s="1">
        <f>electric_vehicles_dataset[[#This Row],[Units_Sold_2024]]*electric_vehicles_dataset[[#This Row],[Price_USD]]</f>
        <v>1667406833.1000001</v>
      </c>
      <c r="T908">
        <v>3</v>
      </c>
      <c r="U908">
        <v>11806</v>
      </c>
      <c r="V908">
        <v>4</v>
      </c>
    </row>
    <row r="909" spans="1:22" x14ac:dyDescent="0.35">
      <c r="A909">
        <v>908</v>
      </c>
      <c r="B909" t="s">
        <v>313</v>
      </c>
      <c r="C909" t="s">
        <v>314</v>
      </c>
      <c r="D909">
        <v>2021</v>
      </c>
      <c r="E909" t="s">
        <v>104</v>
      </c>
      <c r="F909">
        <v>117.6</v>
      </c>
      <c r="G909" t="s">
        <v>361</v>
      </c>
      <c r="H909">
        <f>electric_vehicles_dataset[[#This Row],[Battery_Capacity_kWh]]/electric_vehicles_dataset[[#This Row],[Range_km]]</f>
        <v>0.33409090909090905</v>
      </c>
      <c r="I909">
        <v>352</v>
      </c>
      <c r="J909" t="s">
        <v>34</v>
      </c>
      <c r="K909">
        <v>7</v>
      </c>
      <c r="L909" s="1">
        <v>92961.52</v>
      </c>
      <c r="M909" s="1" t="str" cm="1">
        <f t="array" ref="M90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09" t="s">
        <v>39</v>
      </c>
      <c r="O909" t="s">
        <v>164</v>
      </c>
      <c r="P909" s="2" t="s">
        <v>394</v>
      </c>
      <c r="Q909">
        <v>4</v>
      </c>
      <c r="R909" t="s">
        <v>392</v>
      </c>
      <c r="S909" s="1">
        <f>electric_vehicles_dataset[[#This Row],[Units_Sold_2024]]*electric_vehicles_dataset[[#This Row],[Price_USD]]</f>
        <v>484515442.24000001</v>
      </c>
      <c r="T909">
        <v>4</v>
      </c>
      <c r="U909">
        <v>5212</v>
      </c>
      <c r="V909">
        <v>3</v>
      </c>
    </row>
    <row r="910" spans="1:22" x14ac:dyDescent="0.35">
      <c r="A910">
        <v>909</v>
      </c>
      <c r="B910" t="s">
        <v>51</v>
      </c>
      <c r="C910" t="s">
        <v>239</v>
      </c>
      <c r="D910">
        <v>2018</v>
      </c>
      <c r="E910" t="s">
        <v>31</v>
      </c>
      <c r="F910">
        <v>27.3</v>
      </c>
      <c r="G910" t="s">
        <v>357</v>
      </c>
      <c r="H910">
        <f>electric_vehicles_dataset[[#This Row],[Battery_Capacity_kWh]]/electric_vehicles_dataset[[#This Row],[Range_km]]</f>
        <v>6.0801781737193764E-2</v>
      </c>
      <c r="I910">
        <v>449</v>
      </c>
      <c r="J910" t="s">
        <v>76</v>
      </c>
      <c r="K910">
        <v>1</v>
      </c>
      <c r="L910" s="1">
        <v>131147.18</v>
      </c>
      <c r="M910" s="1" t="str" cm="1">
        <f t="array" ref="M91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10" t="s">
        <v>102</v>
      </c>
      <c r="O910" t="s">
        <v>226</v>
      </c>
      <c r="P910" s="2" t="s">
        <v>395</v>
      </c>
      <c r="Q910">
        <v>4</v>
      </c>
      <c r="R910" t="s">
        <v>392</v>
      </c>
      <c r="S910" s="1">
        <f>electric_vehicles_dataset[[#This Row],[Units_Sold_2024]]*electric_vehicles_dataset[[#This Row],[Price_USD]]</f>
        <v>591604928.98000002</v>
      </c>
      <c r="T910">
        <v>3</v>
      </c>
      <c r="U910">
        <v>4511</v>
      </c>
      <c r="V910">
        <v>5</v>
      </c>
    </row>
    <row r="911" spans="1:22" x14ac:dyDescent="0.35">
      <c r="A911">
        <v>910</v>
      </c>
      <c r="B911" t="s">
        <v>56</v>
      </c>
      <c r="C911" t="s">
        <v>57</v>
      </c>
      <c r="D911">
        <v>2021</v>
      </c>
      <c r="E911" t="s">
        <v>183</v>
      </c>
      <c r="F911">
        <v>102.5</v>
      </c>
      <c r="G911" t="s">
        <v>361</v>
      </c>
      <c r="H911">
        <f>electric_vehicles_dataset[[#This Row],[Battery_Capacity_kWh]]/electric_vehicles_dataset[[#This Row],[Range_km]]</f>
        <v>0.33940397350993379</v>
      </c>
      <c r="I911">
        <v>302</v>
      </c>
      <c r="J911" t="s">
        <v>76</v>
      </c>
      <c r="K911">
        <v>6</v>
      </c>
      <c r="L911" s="1">
        <v>64756.73</v>
      </c>
      <c r="M911" s="1" t="str" cm="1">
        <f t="array" ref="M9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11" t="s">
        <v>301</v>
      </c>
      <c r="O911" t="s">
        <v>169</v>
      </c>
      <c r="P911" s="2" t="s">
        <v>394</v>
      </c>
      <c r="Q911">
        <v>0</v>
      </c>
      <c r="R911" t="s">
        <v>390</v>
      </c>
      <c r="S911" s="1">
        <f>electric_vehicles_dataset[[#This Row],[Units_Sold_2024]]*electric_vehicles_dataset[[#This Row],[Price_USD]]</f>
        <v>486970609.60000002</v>
      </c>
      <c r="T911">
        <v>4</v>
      </c>
      <c r="U911">
        <v>7520</v>
      </c>
      <c r="V911">
        <v>5</v>
      </c>
    </row>
    <row r="912" spans="1:22" x14ac:dyDescent="0.35">
      <c r="A912">
        <v>911</v>
      </c>
      <c r="B912" t="s">
        <v>262</v>
      </c>
      <c r="C912" t="s">
        <v>263</v>
      </c>
      <c r="D912">
        <v>2020</v>
      </c>
      <c r="E912" t="s">
        <v>17</v>
      </c>
      <c r="F912">
        <v>30.5</v>
      </c>
      <c r="G912" t="s">
        <v>357</v>
      </c>
      <c r="H912">
        <f>electric_vehicles_dataset[[#This Row],[Battery_Capacity_kWh]]/electric_vehicles_dataset[[#This Row],[Range_km]]</f>
        <v>5.5353901996370233E-2</v>
      </c>
      <c r="I912">
        <v>551</v>
      </c>
      <c r="J912" t="s">
        <v>149</v>
      </c>
      <c r="K912">
        <v>6</v>
      </c>
      <c r="L912" s="1">
        <v>129484.4</v>
      </c>
      <c r="M912" s="1" t="str" cm="1">
        <f t="array" ref="M91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12" t="s">
        <v>253</v>
      </c>
      <c r="O912" t="s">
        <v>124</v>
      </c>
      <c r="P912" s="2" t="s">
        <v>389</v>
      </c>
      <c r="Q912">
        <v>0</v>
      </c>
      <c r="R912" t="s">
        <v>390</v>
      </c>
      <c r="S912" s="1">
        <f>electric_vehicles_dataset[[#This Row],[Units_Sold_2024]]*electric_vehicles_dataset[[#This Row],[Price_USD]]</f>
        <v>1127032217.5999999</v>
      </c>
      <c r="T912">
        <v>4</v>
      </c>
      <c r="U912">
        <v>8704</v>
      </c>
      <c r="V912">
        <v>5</v>
      </c>
    </row>
    <row r="913" spans="1:22" x14ac:dyDescent="0.35">
      <c r="A913">
        <v>912</v>
      </c>
      <c r="B913" t="s">
        <v>187</v>
      </c>
      <c r="C913" t="s">
        <v>318</v>
      </c>
      <c r="D913">
        <v>2021</v>
      </c>
      <c r="E913" t="s">
        <v>101</v>
      </c>
      <c r="F913">
        <v>128.5</v>
      </c>
      <c r="G913" t="s">
        <v>352</v>
      </c>
      <c r="H913">
        <f>electric_vehicles_dataset[[#This Row],[Battery_Capacity_kWh]]/electric_vehicles_dataset[[#This Row],[Range_km]]</f>
        <v>0.26440329218106995</v>
      </c>
      <c r="I913">
        <v>486</v>
      </c>
      <c r="J913" t="s">
        <v>105</v>
      </c>
      <c r="K913">
        <v>4</v>
      </c>
      <c r="L913" s="1">
        <v>69246.97</v>
      </c>
      <c r="M913" s="1" t="str" cm="1">
        <f t="array" ref="M9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13" t="s">
        <v>189</v>
      </c>
      <c r="O913" t="s">
        <v>164</v>
      </c>
      <c r="P913" s="2" t="s">
        <v>394</v>
      </c>
      <c r="Q913">
        <v>0</v>
      </c>
      <c r="R913" t="s">
        <v>390</v>
      </c>
      <c r="S913" s="1">
        <f>electric_vehicles_dataset[[#This Row],[Units_Sold_2024]]*electric_vehicles_dataset[[#This Row],[Price_USD]]</f>
        <v>1369081843.8700001</v>
      </c>
      <c r="T913">
        <v>4</v>
      </c>
      <c r="U913">
        <v>19771</v>
      </c>
      <c r="V913">
        <v>5</v>
      </c>
    </row>
    <row r="914" spans="1:22" x14ac:dyDescent="0.35">
      <c r="A914">
        <v>913</v>
      </c>
      <c r="B914" t="s">
        <v>68</v>
      </c>
      <c r="C914" t="s">
        <v>289</v>
      </c>
      <c r="D914">
        <v>2021</v>
      </c>
      <c r="E914" t="s">
        <v>31</v>
      </c>
      <c r="F914">
        <v>44</v>
      </c>
      <c r="G914" t="s">
        <v>348</v>
      </c>
      <c r="H914">
        <f>electric_vehicles_dataset[[#This Row],[Battery_Capacity_kWh]]/electric_vehicles_dataset[[#This Row],[Range_km]]</f>
        <v>0.36363636363636365</v>
      </c>
      <c r="I914">
        <v>121</v>
      </c>
      <c r="J914" t="s">
        <v>34</v>
      </c>
      <c r="K914">
        <v>10</v>
      </c>
      <c r="L914" s="1">
        <v>119137.61</v>
      </c>
      <c r="M914" s="1" t="str" cm="1">
        <f t="array" ref="M91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14" t="s">
        <v>205</v>
      </c>
      <c r="O914" t="s">
        <v>63</v>
      </c>
      <c r="P914" s="2" t="s">
        <v>389</v>
      </c>
      <c r="Q914">
        <v>5</v>
      </c>
      <c r="R914" t="s">
        <v>392</v>
      </c>
      <c r="S914" s="1">
        <f>electric_vehicles_dataset[[#This Row],[Units_Sold_2024]]*electric_vehicles_dataset[[#This Row],[Price_USD]]</f>
        <v>836703435.02999997</v>
      </c>
      <c r="T914">
        <v>5</v>
      </c>
      <c r="U914">
        <v>7023</v>
      </c>
      <c r="V914">
        <v>5</v>
      </c>
    </row>
    <row r="915" spans="1:22" x14ac:dyDescent="0.35">
      <c r="A915">
        <v>914</v>
      </c>
      <c r="B915" t="s">
        <v>241</v>
      </c>
      <c r="C915" t="s">
        <v>242</v>
      </c>
      <c r="D915">
        <v>2020</v>
      </c>
      <c r="E915" t="s">
        <v>130</v>
      </c>
      <c r="F915">
        <v>27.1</v>
      </c>
      <c r="G915" t="s">
        <v>357</v>
      </c>
      <c r="H915">
        <f>electric_vehicles_dataset[[#This Row],[Battery_Capacity_kWh]]/electric_vehicles_dataset[[#This Row],[Range_km]]</f>
        <v>6.4523809523809525E-2</v>
      </c>
      <c r="I915">
        <v>420</v>
      </c>
      <c r="J915" t="s">
        <v>353</v>
      </c>
      <c r="K915">
        <v>7</v>
      </c>
      <c r="L915" s="1">
        <v>136125.65</v>
      </c>
      <c r="M915" s="1" t="str" cm="1">
        <f t="array" ref="M91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15" t="s">
        <v>189</v>
      </c>
      <c r="O915" t="s">
        <v>124</v>
      </c>
      <c r="P915" s="2" t="s">
        <v>389</v>
      </c>
      <c r="Q915">
        <v>2</v>
      </c>
      <c r="R915" t="s">
        <v>391</v>
      </c>
      <c r="S915" s="1">
        <f>electric_vehicles_dataset[[#This Row],[Units_Sold_2024]]*electric_vehicles_dataset[[#This Row],[Price_USD]]</f>
        <v>920345519.64999998</v>
      </c>
      <c r="T915">
        <v>4</v>
      </c>
      <c r="U915">
        <v>6761</v>
      </c>
      <c r="V915">
        <v>4</v>
      </c>
    </row>
    <row r="916" spans="1:22" x14ac:dyDescent="0.35">
      <c r="A916">
        <v>915</v>
      </c>
      <c r="B916" t="s">
        <v>259</v>
      </c>
      <c r="C916" t="s">
        <v>260</v>
      </c>
      <c r="D916">
        <v>2020</v>
      </c>
      <c r="E916" t="s">
        <v>130</v>
      </c>
      <c r="F916">
        <v>147.9</v>
      </c>
      <c r="G916" t="s">
        <v>386</v>
      </c>
      <c r="H916">
        <f>electric_vehicles_dataset[[#This Row],[Battery_Capacity_kWh]]/electric_vehicles_dataset[[#This Row],[Range_km]]</f>
        <v>0.36249999999999999</v>
      </c>
      <c r="I916">
        <v>408</v>
      </c>
      <c r="J916" t="s">
        <v>85</v>
      </c>
      <c r="K916">
        <v>11</v>
      </c>
      <c r="L916" s="1">
        <v>87621.07</v>
      </c>
      <c r="M916" s="1" t="str" cm="1">
        <f t="array" ref="M91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16" t="s">
        <v>160</v>
      </c>
      <c r="O916" t="s">
        <v>265</v>
      </c>
      <c r="P916" s="2" t="s">
        <v>389</v>
      </c>
      <c r="Q916">
        <v>5</v>
      </c>
      <c r="R916" t="s">
        <v>392</v>
      </c>
      <c r="S916" s="1">
        <f>electric_vehicles_dataset[[#This Row],[Units_Sold_2024]]*electric_vehicles_dataset[[#This Row],[Price_USD]]</f>
        <v>307900439.98000002</v>
      </c>
      <c r="T916">
        <v>5</v>
      </c>
      <c r="U916">
        <v>3514</v>
      </c>
      <c r="V916">
        <v>3</v>
      </c>
    </row>
    <row r="917" spans="1:22" x14ac:dyDescent="0.35">
      <c r="A917">
        <v>916</v>
      </c>
      <c r="B917" t="s">
        <v>144</v>
      </c>
      <c r="C917" t="s">
        <v>273</v>
      </c>
      <c r="D917">
        <v>2015</v>
      </c>
      <c r="E917" t="s">
        <v>133</v>
      </c>
      <c r="F917">
        <v>140.9</v>
      </c>
      <c r="G917" t="s">
        <v>386</v>
      </c>
      <c r="H917">
        <f>electric_vehicles_dataset[[#This Row],[Battery_Capacity_kWh]]/electric_vehicles_dataset[[#This Row],[Range_km]]</f>
        <v>0.55254901960784319</v>
      </c>
      <c r="I917">
        <v>255</v>
      </c>
      <c r="J917" t="s">
        <v>345</v>
      </c>
      <c r="K917">
        <v>5</v>
      </c>
      <c r="L917" s="1">
        <v>98173.31</v>
      </c>
      <c r="M917" s="1" t="str" cm="1">
        <f t="array" ref="M9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17" t="s">
        <v>177</v>
      </c>
      <c r="O917" t="s">
        <v>93</v>
      </c>
      <c r="P917" s="2" t="s">
        <v>389</v>
      </c>
      <c r="Q917">
        <v>5</v>
      </c>
      <c r="R917" t="s">
        <v>392</v>
      </c>
      <c r="S917" s="1">
        <f>electric_vehicles_dataset[[#This Row],[Units_Sold_2024]]*electric_vehicles_dataset[[#This Row],[Price_USD]]</f>
        <v>1199285154.96</v>
      </c>
      <c r="T917">
        <v>4</v>
      </c>
      <c r="U917">
        <v>12216</v>
      </c>
      <c r="V917">
        <v>3</v>
      </c>
    </row>
    <row r="918" spans="1:22" x14ac:dyDescent="0.35">
      <c r="A918">
        <v>917</v>
      </c>
      <c r="B918" t="s">
        <v>122</v>
      </c>
      <c r="C918" t="s">
        <v>123</v>
      </c>
      <c r="D918">
        <v>2025</v>
      </c>
      <c r="E918" t="s">
        <v>84</v>
      </c>
      <c r="F918">
        <v>58.7</v>
      </c>
      <c r="G918" t="s">
        <v>348</v>
      </c>
      <c r="H918">
        <f>electric_vehicles_dataset[[#This Row],[Battery_Capacity_kWh]]/electric_vehicles_dataset[[#This Row],[Range_km]]</f>
        <v>0.5017094017094017</v>
      </c>
      <c r="I918">
        <v>117</v>
      </c>
      <c r="J918" t="s">
        <v>48</v>
      </c>
      <c r="K918">
        <v>4</v>
      </c>
      <c r="L918" s="1">
        <v>61527.08</v>
      </c>
      <c r="M918" s="1" t="str" cm="1">
        <f t="array" ref="M91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18" t="s">
        <v>271</v>
      </c>
      <c r="O918" t="s">
        <v>124</v>
      </c>
      <c r="P918" s="2" t="s">
        <v>389</v>
      </c>
      <c r="Q918">
        <v>5</v>
      </c>
      <c r="R918" t="s">
        <v>392</v>
      </c>
      <c r="S918" s="1">
        <f>electric_vehicles_dataset[[#This Row],[Units_Sold_2024]]*electric_vehicles_dataset[[#This Row],[Price_USD]]</f>
        <v>960683827.12</v>
      </c>
      <c r="T918">
        <v>3</v>
      </c>
      <c r="U918">
        <v>15614</v>
      </c>
      <c r="V918">
        <v>3</v>
      </c>
    </row>
    <row r="919" spans="1:22" x14ac:dyDescent="0.35">
      <c r="A919">
        <v>918</v>
      </c>
      <c r="B919" t="s">
        <v>79</v>
      </c>
      <c r="C919" t="s">
        <v>267</v>
      </c>
      <c r="D919">
        <v>2016</v>
      </c>
      <c r="E919" t="s">
        <v>17</v>
      </c>
      <c r="F919">
        <v>50.5</v>
      </c>
      <c r="G919" t="s">
        <v>348</v>
      </c>
      <c r="H919">
        <f>electric_vehicles_dataset[[#This Row],[Battery_Capacity_kWh]]/electric_vehicles_dataset[[#This Row],[Range_km]]</f>
        <v>9.2660550458715601E-2</v>
      </c>
      <c r="I919">
        <v>545</v>
      </c>
      <c r="J919" t="s">
        <v>105</v>
      </c>
      <c r="K919">
        <v>4</v>
      </c>
      <c r="L919" s="1">
        <v>114345.21</v>
      </c>
      <c r="M919" s="1" t="str" cm="1">
        <f t="array" ref="M91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19" t="s">
        <v>152</v>
      </c>
      <c r="O919" t="s">
        <v>92</v>
      </c>
      <c r="P919" s="2" t="s">
        <v>394</v>
      </c>
      <c r="Q919">
        <v>1</v>
      </c>
      <c r="R919" t="s">
        <v>391</v>
      </c>
      <c r="S919" s="1">
        <f>electric_vehicles_dataset[[#This Row],[Units_Sold_2024]]*electric_vehicles_dataset[[#This Row],[Price_USD]]</f>
        <v>111943960.59</v>
      </c>
      <c r="T919">
        <v>4</v>
      </c>
      <c r="U919">
        <v>979</v>
      </c>
      <c r="V919">
        <v>3</v>
      </c>
    </row>
    <row r="920" spans="1:22" x14ac:dyDescent="0.35">
      <c r="A920">
        <v>919</v>
      </c>
      <c r="B920" t="s">
        <v>262</v>
      </c>
      <c r="C920" t="s">
        <v>373</v>
      </c>
      <c r="D920">
        <v>2022</v>
      </c>
      <c r="E920" t="s">
        <v>42</v>
      </c>
      <c r="F920">
        <v>42.8</v>
      </c>
      <c r="G920" t="s">
        <v>348</v>
      </c>
      <c r="H920">
        <f>electric_vehicles_dataset[[#This Row],[Battery_Capacity_kWh]]/electric_vehicles_dataset[[#This Row],[Range_km]]</f>
        <v>0.40377358490566034</v>
      </c>
      <c r="I920">
        <v>106</v>
      </c>
      <c r="J920" t="s">
        <v>27</v>
      </c>
      <c r="K920">
        <v>8</v>
      </c>
      <c r="L920" s="1">
        <v>145131.47</v>
      </c>
      <c r="M920" s="1" t="str" cm="1">
        <f t="array" ref="M92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20" t="s">
        <v>49</v>
      </c>
      <c r="O920" t="s">
        <v>265</v>
      </c>
      <c r="P920" s="2" t="s">
        <v>389</v>
      </c>
      <c r="Q920">
        <v>1</v>
      </c>
      <c r="R920" t="s">
        <v>391</v>
      </c>
      <c r="S920" s="1">
        <f>electric_vehicles_dataset[[#This Row],[Units_Sold_2024]]*electric_vehicles_dataset[[#This Row],[Price_USD]]</f>
        <v>1293266529.1700001</v>
      </c>
      <c r="T920">
        <v>4</v>
      </c>
      <c r="U920">
        <v>8911</v>
      </c>
      <c r="V920">
        <v>3</v>
      </c>
    </row>
    <row r="921" spans="1:22" x14ac:dyDescent="0.35">
      <c r="A921">
        <v>920</v>
      </c>
      <c r="B921" t="s">
        <v>87</v>
      </c>
      <c r="C921" t="s">
        <v>381</v>
      </c>
      <c r="D921">
        <v>2015</v>
      </c>
      <c r="E921" t="s">
        <v>73</v>
      </c>
      <c r="F921">
        <v>25.7</v>
      </c>
      <c r="G921" t="s">
        <v>357</v>
      </c>
      <c r="H921">
        <f>electric_vehicles_dataset[[#This Row],[Battery_Capacity_kWh]]/electric_vehicles_dataset[[#This Row],[Range_km]]</f>
        <v>6.6237113402061856E-2</v>
      </c>
      <c r="I921">
        <v>388</v>
      </c>
      <c r="J921" t="s">
        <v>358</v>
      </c>
      <c r="K921">
        <v>7</v>
      </c>
      <c r="L921" s="1">
        <v>114353.63</v>
      </c>
      <c r="M921" s="1" t="str" cm="1">
        <f t="array" ref="M92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21" t="s">
        <v>81</v>
      </c>
      <c r="O921" t="s">
        <v>159</v>
      </c>
      <c r="P921" s="2" t="s">
        <v>389</v>
      </c>
      <c r="Q921">
        <v>5</v>
      </c>
      <c r="R921" t="s">
        <v>392</v>
      </c>
      <c r="S921" s="1">
        <f>electric_vehicles_dataset[[#This Row],[Units_Sold_2024]]*electric_vehicles_dataset[[#This Row],[Price_USD]]</f>
        <v>1376245937.05</v>
      </c>
      <c r="T921">
        <v>5</v>
      </c>
      <c r="U921">
        <v>12035</v>
      </c>
      <c r="V921">
        <v>4</v>
      </c>
    </row>
    <row r="922" spans="1:22" x14ac:dyDescent="0.35">
      <c r="A922">
        <v>921</v>
      </c>
      <c r="B922" t="s">
        <v>241</v>
      </c>
      <c r="C922" t="s">
        <v>242</v>
      </c>
      <c r="D922">
        <v>2023</v>
      </c>
      <c r="E922" t="s">
        <v>101</v>
      </c>
      <c r="F922">
        <v>68.5</v>
      </c>
      <c r="G922" t="s">
        <v>351</v>
      </c>
      <c r="H922">
        <f>electric_vehicles_dataset[[#This Row],[Battery_Capacity_kWh]]/electric_vehicles_dataset[[#This Row],[Range_km]]</f>
        <v>0.12210338680926916</v>
      </c>
      <c r="I922">
        <v>561</v>
      </c>
      <c r="J922" t="s">
        <v>149</v>
      </c>
      <c r="K922">
        <v>9</v>
      </c>
      <c r="L922" s="1">
        <v>94892.04</v>
      </c>
      <c r="M922" s="1" t="str" cm="1">
        <f t="array" ref="M92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22" t="s">
        <v>146</v>
      </c>
      <c r="O922" t="s">
        <v>202</v>
      </c>
      <c r="P922" s="2" t="s">
        <v>393</v>
      </c>
      <c r="Q922">
        <v>4</v>
      </c>
      <c r="R922" t="s">
        <v>392</v>
      </c>
      <c r="S922" s="1">
        <f>electric_vehicles_dataset[[#This Row],[Units_Sold_2024]]*electric_vehicles_dataset[[#This Row],[Price_USD]]</f>
        <v>909255527.27999997</v>
      </c>
      <c r="T922">
        <v>4</v>
      </c>
      <c r="U922">
        <v>9582</v>
      </c>
      <c r="V922">
        <v>3</v>
      </c>
    </row>
    <row r="923" spans="1:22" x14ac:dyDescent="0.35">
      <c r="A923">
        <v>922</v>
      </c>
      <c r="B923" t="s">
        <v>241</v>
      </c>
      <c r="C923" t="s">
        <v>247</v>
      </c>
      <c r="D923">
        <v>2022</v>
      </c>
      <c r="E923" t="s">
        <v>73</v>
      </c>
      <c r="F923">
        <v>90.5</v>
      </c>
      <c r="G923" t="s">
        <v>350</v>
      </c>
      <c r="H923">
        <f>electric_vehicles_dataset[[#This Row],[Battery_Capacity_kWh]]/electric_vehicles_dataset[[#This Row],[Range_km]]</f>
        <v>0.31866197183098594</v>
      </c>
      <c r="I923">
        <v>284</v>
      </c>
      <c r="J923" t="s">
        <v>358</v>
      </c>
      <c r="K923">
        <v>2</v>
      </c>
      <c r="L923" s="1">
        <v>60384.04</v>
      </c>
      <c r="M923" s="1" t="str" cm="1">
        <f t="array" ref="M92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23" t="s">
        <v>131</v>
      </c>
      <c r="O923" t="s">
        <v>50</v>
      </c>
      <c r="P923" s="2" t="s">
        <v>396</v>
      </c>
      <c r="Q923">
        <v>5</v>
      </c>
      <c r="R923" t="s">
        <v>392</v>
      </c>
      <c r="S923" s="1">
        <f>electric_vehicles_dataset[[#This Row],[Units_Sold_2024]]*electric_vehicles_dataset[[#This Row],[Price_USD]]</f>
        <v>325047287.31999999</v>
      </c>
      <c r="T923">
        <v>5</v>
      </c>
      <c r="U923">
        <v>5383</v>
      </c>
      <c r="V923">
        <v>3</v>
      </c>
    </row>
    <row r="924" spans="1:22" x14ac:dyDescent="0.35">
      <c r="A924">
        <v>923</v>
      </c>
      <c r="B924" t="s">
        <v>313</v>
      </c>
      <c r="C924" t="s">
        <v>314</v>
      </c>
      <c r="D924">
        <v>2024</v>
      </c>
      <c r="E924" t="s">
        <v>104</v>
      </c>
      <c r="F924">
        <v>90.2</v>
      </c>
      <c r="G924" t="s">
        <v>350</v>
      </c>
      <c r="H924">
        <f>electric_vehicles_dataset[[#This Row],[Battery_Capacity_kWh]]/electric_vehicles_dataset[[#This Row],[Range_km]]</f>
        <v>0.17180952380952383</v>
      </c>
      <c r="I924">
        <v>525</v>
      </c>
      <c r="J924" t="s">
        <v>85</v>
      </c>
      <c r="K924">
        <v>10</v>
      </c>
      <c r="L924" s="1">
        <v>98843.11</v>
      </c>
      <c r="M924" s="1" t="str" cm="1">
        <f t="array" ref="M92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24" t="s">
        <v>257</v>
      </c>
      <c r="O924" t="s">
        <v>124</v>
      </c>
      <c r="P924" s="2" t="s">
        <v>389</v>
      </c>
      <c r="Q924">
        <v>3</v>
      </c>
      <c r="R924" t="s">
        <v>397</v>
      </c>
      <c r="S924" s="1">
        <f>electric_vehicles_dataset[[#This Row],[Units_Sold_2024]]*electric_vehicles_dataset[[#This Row],[Price_USD]]</f>
        <v>1623893454.1900001</v>
      </c>
      <c r="T924">
        <v>3</v>
      </c>
      <c r="U924">
        <v>16429</v>
      </c>
      <c r="V924">
        <v>5</v>
      </c>
    </row>
    <row r="925" spans="1:22" x14ac:dyDescent="0.35">
      <c r="A925">
        <v>924</v>
      </c>
      <c r="B925" t="s">
        <v>108</v>
      </c>
      <c r="C925" t="s">
        <v>308</v>
      </c>
      <c r="D925">
        <v>2016</v>
      </c>
      <c r="E925" t="s">
        <v>90</v>
      </c>
      <c r="F925">
        <v>20.5</v>
      </c>
      <c r="G925" t="s">
        <v>357</v>
      </c>
      <c r="H925">
        <f>electric_vehicles_dataset[[#This Row],[Battery_Capacity_kWh]]/electric_vehicles_dataset[[#This Row],[Range_km]]</f>
        <v>3.5467128027681663E-2</v>
      </c>
      <c r="I925">
        <v>578</v>
      </c>
      <c r="J925" t="s">
        <v>85</v>
      </c>
      <c r="K925">
        <v>9</v>
      </c>
      <c r="L925" s="1">
        <v>112081.28</v>
      </c>
      <c r="M925" s="1" t="str" cm="1">
        <f t="array" ref="M92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25" t="s">
        <v>81</v>
      </c>
      <c r="O925" t="s">
        <v>50</v>
      </c>
      <c r="P925" s="2" t="s">
        <v>396</v>
      </c>
      <c r="Q925">
        <v>2</v>
      </c>
      <c r="R925" t="s">
        <v>391</v>
      </c>
      <c r="S925" s="1">
        <f>electric_vehicles_dataset[[#This Row],[Units_Sold_2024]]*electric_vehicles_dataset[[#This Row],[Price_USD]]</f>
        <v>1450555925.76</v>
      </c>
      <c r="T925">
        <v>5</v>
      </c>
      <c r="U925">
        <v>12942</v>
      </c>
      <c r="V925">
        <v>5</v>
      </c>
    </row>
    <row r="926" spans="1:22" x14ac:dyDescent="0.35">
      <c r="A926">
        <v>925</v>
      </c>
      <c r="B926" t="s">
        <v>68</v>
      </c>
      <c r="C926" t="s">
        <v>69</v>
      </c>
      <c r="D926">
        <v>2018</v>
      </c>
      <c r="E926" t="s">
        <v>90</v>
      </c>
      <c r="F926">
        <v>65.599999999999994</v>
      </c>
      <c r="G926" t="s">
        <v>351</v>
      </c>
      <c r="H926">
        <f>electric_vehicles_dataset[[#This Row],[Battery_Capacity_kWh]]/electric_vehicles_dataset[[#This Row],[Range_km]]</f>
        <v>0.21298701298701297</v>
      </c>
      <c r="I926">
        <v>308</v>
      </c>
      <c r="J926" t="s">
        <v>48</v>
      </c>
      <c r="K926">
        <v>3</v>
      </c>
      <c r="L926" s="1">
        <v>107268.27</v>
      </c>
      <c r="M926" s="1" t="str" cm="1">
        <f t="array" ref="M92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26" t="s">
        <v>240</v>
      </c>
      <c r="O926" t="s">
        <v>63</v>
      </c>
      <c r="P926" s="2" t="s">
        <v>389</v>
      </c>
      <c r="Q926">
        <v>4</v>
      </c>
      <c r="R926" t="s">
        <v>392</v>
      </c>
      <c r="S926" s="1">
        <f>electric_vehicles_dataset[[#This Row],[Units_Sold_2024]]*electric_vehicles_dataset[[#This Row],[Price_USD]]</f>
        <v>1077509772.1500001</v>
      </c>
      <c r="T926">
        <v>3</v>
      </c>
      <c r="U926">
        <v>10045</v>
      </c>
      <c r="V926">
        <v>3</v>
      </c>
    </row>
    <row r="927" spans="1:22" x14ac:dyDescent="0.35">
      <c r="A927">
        <v>926</v>
      </c>
      <c r="B927" t="s">
        <v>51</v>
      </c>
      <c r="C927" t="s">
        <v>239</v>
      </c>
      <c r="D927">
        <v>2019</v>
      </c>
      <c r="E927" t="s">
        <v>26</v>
      </c>
      <c r="F927">
        <v>47.2</v>
      </c>
      <c r="G927" t="s">
        <v>348</v>
      </c>
      <c r="H927">
        <f>electric_vehicles_dataset[[#This Row],[Battery_Capacity_kWh]]/electric_vehicles_dataset[[#This Row],[Range_km]]</f>
        <v>0.1107981220657277</v>
      </c>
      <c r="I927">
        <v>426</v>
      </c>
      <c r="J927" t="s">
        <v>48</v>
      </c>
      <c r="K927">
        <v>11</v>
      </c>
      <c r="L927" s="1">
        <v>52920.79</v>
      </c>
      <c r="M927" s="1" t="str" cm="1">
        <f t="array" ref="M92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27" t="s">
        <v>301</v>
      </c>
      <c r="O927" t="s">
        <v>135</v>
      </c>
      <c r="P927" s="2" t="s">
        <v>389</v>
      </c>
      <c r="Q927">
        <v>1</v>
      </c>
      <c r="R927" t="s">
        <v>391</v>
      </c>
      <c r="S927" s="1">
        <f>electric_vehicles_dataset[[#This Row],[Units_Sold_2024]]*electric_vehicles_dataset[[#This Row],[Price_USD]]</f>
        <v>116214054.84</v>
      </c>
      <c r="T927">
        <v>3</v>
      </c>
      <c r="U927">
        <v>2196</v>
      </c>
      <c r="V927">
        <v>4</v>
      </c>
    </row>
    <row r="928" spans="1:22" x14ac:dyDescent="0.35">
      <c r="A928">
        <v>927</v>
      </c>
      <c r="B928" t="s">
        <v>96</v>
      </c>
      <c r="C928" t="s">
        <v>292</v>
      </c>
      <c r="D928">
        <v>2021</v>
      </c>
      <c r="E928" t="s">
        <v>104</v>
      </c>
      <c r="F928">
        <v>106</v>
      </c>
      <c r="G928" t="s">
        <v>361</v>
      </c>
      <c r="H928">
        <f>electric_vehicles_dataset[[#This Row],[Battery_Capacity_kWh]]/electric_vehicles_dataset[[#This Row],[Range_km]]</f>
        <v>1.0095238095238095</v>
      </c>
      <c r="I928">
        <v>105</v>
      </c>
      <c r="J928" t="s">
        <v>54</v>
      </c>
      <c r="K928">
        <v>4</v>
      </c>
      <c r="L928" s="1">
        <v>74989.91</v>
      </c>
      <c r="M928" s="1" t="str" cm="1">
        <f t="array" ref="M92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28" t="s">
        <v>127</v>
      </c>
      <c r="O928" t="s">
        <v>199</v>
      </c>
      <c r="P928" s="2" t="s">
        <v>394</v>
      </c>
      <c r="Q928">
        <v>3</v>
      </c>
      <c r="R928" t="s">
        <v>397</v>
      </c>
      <c r="S928" s="1">
        <f>electric_vehicles_dataset[[#This Row],[Units_Sold_2024]]*electric_vehicles_dataset[[#This Row],[Price_USD]]</f>
        <v>1207337551</v>
      </c>
      <c r="T928">
        <v>5</v>
      </c>
      <c r="U928">
        <v>16100</v>
      </c>
      <c r="V928">
        <v>3</v>
      </c>
    </row>
    <row r="929" spans="1:22" x14ac:dyDescent="0.35">
      <c r="A929">
        <v>928</v>
      </c>
      <c r="B929" t="s">
        <v>262</v>
      </c>
      <c r="C929" t="s">
        <v>373</v>
      </c>
      <c r="D929">
        <v>2020</v>
      </c>
      <c r="E929" t="s">
        <v>84</v>
      </c>
      <c r="F929">
        <v>53.3</v>
      </c>
      <c r="G929" t="s">
        <v>348</v>
      </c>
      <c r="H929">
        <f>electric_vehicles_dataset[[#This Row],[Battery_Capacity_kWh]]/electric_vehicles_dataset[[#This Row],[Range_km]]</f>
        <v>0.15584795321637426</v>
      </c>
      <c r="I929">
        <v>342</v>
      </c>
      <c r="J929" t="s">
        <v>34</v>
      </c>
      <c r="K929">
        <v>9</v>
      </c>
      <c r="L929" s="1">
        <v>122374.49</v>
      </c>
      <c r="M929" s="1" t="str" cm="1">
        <f t="array" ref="M92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29" t="s">
        <v>196</v>
      </c>
      <c r="O929" t="s">
        <v>167</v>
      </c>
      <c r="P929" s="2" t="s">
        <v>394</v>
      </c>
      <c r="Q929">
        <v>2</v>
      </c>
      <c r="R929" t="s">
        <v>391</v>
      </c>
      <c r="S929" s="1">
        <f>electric_vehicles_dataset[[#This Row],[Units_Sold_2024]]*electric_vehicles_dataset[[#This Row],[Price_USD]]</f>
        <v>1523562400.5</v>
      </c>
      <c r="T929">
        <v>3</v>
      </c>
      <c r="U929">
        <v>12450</v>
      </c>
      <c r="V929">
        <v>3</v>
      </c>
    </row>
    <row r="930" spans="1:22" x14ac:dyDescent="0.35">
      <c r="A930">
        <v>929</v>
      </c>
      <c r="B930" t="s">
        <v>262</v>
      </c>
      <c r="C930" t="s">
        <v>263</v>
      </c>
      <c r="D930">
        <v>2022</v>
      </c>
      <c r="E930" t="s">
        <v>133</v>
      </c>
      <c r="F930">
        <v>90.7</v>
      </c>
      <c r="G930" t="s">
        <v>350</v>
      </c>
      <c r="H930">
        <f>electric_vehicles_dataset[[#This Row],[Battery_Capacity_kWh]]/electric_vehicles_dataset[[#This Row],[Range_km]]</f>
        <v>0.63873239436619722</v>
      </c>
      <c r="I930">
        <v>142</v>
      </c>
      <c r="J930" t="s">
        <v>353</v>
      </c>
      <c r="K930">
        <v>9</v>
      </c>
      <c r="L930" s="1">
        <v>115873.02</v>
      </c>
      <c r="M930" s="1" t="str" cm="1">
        <f t="array" ref="M9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30" t="s">
        <v>175</v>
      </c>
      <c r="O930" t="s">
        <v>40</v>
      </c>
      <c r="P930" s="2" t="s">
        <v>395</v>
      </c>
      <c r="Q930">
        <v>2</v>
      </c>
      <c r="R930" t="s">
        <v>391</v>
      </c>
      <c r="S930" s="1">
        <f>electric_vehicles_dataset[[#This Row],[Units_Sold_2024]]*electric_vehicles_dataset[[#This Row],[Price_USD]]</f>
        <v>1225820678.5800002</v>
      </c>
      <c r="T930">
        <v>3</v>
      </c>
      <c r="U930">
        <v>10579</v>
      </c>
      <c r="V930">
        <v>4</v>
      </c>
    </row>
    <row r="931" spans="1:22" x14ac:dyDescent="0.35">
      <c r="A931">
        <v>930</v>
      </c>
      <c r="B931" t="s">
        <v>21</v>
      </c>
      <c r="C931" t="s">
        <v>363</v>
      </c>
      <c r="D931">
        <v>2018</v>
      </c>
      <c r="E931" t="s">
        <v>90</v>
      </c>
      <c r="F931">
        <v>73.400000000000006</v>
      </c>
      <c r="G931" t="s">
        <v>351</v>
      </c>
      <c r="H931">
        <f>electric_vehicles_dataset[[#This Row],[Battery_Capacity_kWh]]/electric_vehicles_dataset[[#This Row],[Range_km]]</f>
        <v>0.69904761904761914</v>
      </c>
      <c r="I931">
        <v>105</v>
      </c>
      <c r="J931" t="s">
        <v>18</v>
      </c>
      <c r="K931">
        <v>7</v>
      </c>
      <c r="L931" s="1">
        <v>111029.12</v>
      </c>
      <c r="M931" s="1" t="str" cm="1">
        <f t="array" ref="M93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31" t="s">
        <v>301</v>
      </c>
      <c r="O931" t="s">
        <v>206</v>
      </c>
      <c r="P931" s="2" t="s">
        <v>394</v>
      </c>
      <c r="Q931">
        <v>4</v>
      </c>
      <c r="R931" t="s">
        <v>392</v>
      </c>
      <c r="S931" s="1">
        <f>electric_vehicles_dataset[[#This Row],[Units_Sold_2024]]*electric_vehicles_dataset[[#This Row],[Price_USD]]</f>
        <v>1412179377.28</v>
      </c>
      <c r="T931">
        <v>5</v>
      </c>
      <c r="U931">
        <v>12719</v>
      </c>
      <c r="V931">
        <v>5</v>
      </c>
    </row>
    <row r="932" spans="1:22" x14ac:dyDescent="0.35">
      <c r="A932">
        <v>931</v>
      </c>
      <c r="B932" t="s">
        <v>224</v>
      </c>
      <c r="C932" t="s">
        <v>280</v>
      </c>
      <c r="D932">
        <v>2019</v>
      </c>
      <c r="E932" t="s">
        <v>90</v>
      </c>
      <c r="F932">
        <v>35.299999999999997</v>
      </c>
      <c r="G932" t="s">
        <v>357</v>
      </c>
      <c r="H932">
        <f>electric_vehicles_dataset[[#This Row],[Battery_Capacity_kWh]]/electric_vehicles_dataset[[#This Row],[Range_km]]</f>
        <v>9.6978021978021967E-2</v>
      </c>
      <c r="I932">
        <v>364</v>
      </c>
      <c r="J932" t="s">
        <v>356</v>
      </c>
      <c r="K932">
        <v>3</v>
      </c>
      <c r="L932" s="1">
        <v>84207.11</v>
      </c>
      <c r="M932" s="1" t="str" cm="1">
        <f t="array" ref="M9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32" t="s">
        <v>77</v>
      </c>
      <c r="O932" t="s">
        <v>23</v>
      </c>
      <c r="P932" s="2" t="s">
        <v>389</v>
      </c>
      <c r="Q932">
        <v>4</v>
      </c>
      <c r="R932" t="s">
        <v>392</v>
      </c>
      <c r="S932" s="1">
        <f>electric_vehicles_dataset[[#This Row],[Units_Sold_2024]]*electric_vehicles_dataset[[#This Row],[Price_USD]]</f>
        <v>427098461.92000002</v>
      </c>
      <c r="T932">
        <v>5</v>
      </c>
      <c r="U932">
        <v>5072</v>
      </c>
      <c r="V932">
        <v>3</v>
      </c>
    </row>
    <row r="933" spans="1:22" x14ac:dyDescent="0.35">
      <c r="A933">
        <v>932</v>
      </c>
      <c r="B933" t="s">
        <v>112</v>
      </c>
      <c r="C933" t="s">
        <v>113</v>
      </c>
      <c r="D933">
        <v>2022</v>
      </c>
      <c r="E933" t="s">
        <v>31</v>
      </c>
      <c r="F933">
        <v>20.7</v>
      </c>
      <c r="G933" t="s">
        <v>357</v>
      </c>
      <c r="H933">
        <f>electric_vehicles_dataset[[#This Row],[Battery_Capacity_kWh]]/electric_vehicles_dataset[[#This Row],[Range_km]]</f>
        <v>4.1649899396378268E-2</v>
      </c>
      <c r="I933">
        <v>497</v>
      </c>
      <c r="J933" t="s">
        <v>85</v>
      </c>
      <c r="K933">
        <v>9</v>
      </c>
      <c r="L933" s="1">
        <v>35264.959999999999</v>
      </c>
      <c r="M933" s="1" t="str" cm="1">
        <f t="array" ref="M93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33" t="s">
        <v>229</v>
      </c>
      <c r="O933" t="s">
        <v>159</v>
      </c>
      <c r="P933" s="2" t="s">
        <v>389</v>
      </c>
      <c r="Q933">
        <v>5</v>
      </c>
      <c r="R933" t="s">
        <v>392</v>
      </c>
      <c r="S933" s="1">
        <f>electric_vehicles_dataset[[#This Row],[Units_Sold_2024]]*electric_vehicles_dataset[[#This Row],[Price_USD]]</f>
        <v>513810467.19999999</v>
      </c>
      <c r="T933">
        <v>5</v>
      </c>
      <c r="U933">
        <v>14570</v>
      </c>
      <c r="V933">
        <v>5</v>
      </c>
    </row>
    <row r="934" spans="1:22" x14ac:dyDescent="0.35">
      <c r="A934">
        <v>933</v>
      </c>
      <c r="B934" t="s">
        <v>64</v>
      </c>
      <c r="C934" t="s">
        <v>65</v>
      </c>
      <c r="D934">
        <v>2017</v>
      </c>
      <c r="E934" t="s">
        <v>101</v>
      </c>
      <c r="F934">
        <v>37.200000000000003</v>
      </c>
      <c r="G934" t="s">
        <v>357</v>
      </c>
      <c r="H934">
        <f>electric_vehicles_dataset[[#This Row],[Battery_Capacity_kWh]]/electric_vehicles_dataset[[#This Row],[Range_km]]</f>
        <v>6.3698630136986303E-2</v>
      </c>
      <c r="I934">
        <v>584</v>
      </c>
      <c r="J934" t="s">
        <v>76</v>
      </c>
      <c r="K934">
        <v>6</v>
      </c>
      <c r="L934" s="1">
        <v>74001.08</v>
      </c>
      <c r="M934" s="1" t="str" cm="1">
        <f t="array" ref="M9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34" t="s">
        <v>35</v>
      </c>
      <c r="O934" t="s">
        <v>199</v>
      </c>
      <c r="P934" s="2" t="s">
        <v>394</v>
      </c>
      <c r="Q934">
        <v>5</v>
      </c>
      <c r="R934" t="s">
        <v>392</v>
      </c>
      <c r="S934" s="1">
        <f>electric_vehicles_dataset[[#This Row],[Units_Sold_2024]]*electric_vehicles_dataset[[#This Row],[Price_USD]]</f>
        <v>1317811232.6400001</v>
      </c>
      <c r="T934">
        <v>5</v>
      </c>
      <c r="U934">
        <v>17808</v>
      </c>
      <c r="V934">
        <v>3</v>
      </c>
    </row>
    <row r="935" spans="1:22" x14ac:dyDescent="0.35">
      <c r="A935">
        <v>934</v>
      </c>
      <c r="B935" t="s">
        <v>125</v>
      </c>
      <c r="C935" t="s">
        <v>126</v>
      </c>
      <c r="D935">
        <v>2015</v>
      </c>
      <c r="E935" t="s">
        <v>133</v>
      </c>
      <c r="F935">
        <v>76.7</v>
      </c>
      <c r="G935" t="s">
        <v>351</v>
      </c>
      <c r="H935">
        <f>electric_vehicles_dataset[[#This Row],[Battery_Capacity_kWh]]/electric_vehicles_dataset[[#This Row],[Range_km]]</f>
        <v>0.16710239651416123</v>
      </c>
      <c r="I935">
        <v>459</v>
      </c>
      <c r="J935" t="s">
        <v>358</v>
      </c>
      <c r="K935">
        <v>1</v>
      </c>
      <c r="L935" s="1">
        <v>40469.15</v>
      </c>
      <c r="M935" s="1" t="str" cm="1">
        <f t="array" ref="M9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35" t="s">
        <v>117</v>
      </c>
      <c r="O935" t="s">
        <v>202</v>
      </c>
      <c r="P935" s="2" t="s">
        <v>393</v>
      </c>
      <c r="Q935">
        <v>4</v>
      </c>
      <c r="R935" t="s">
        <v>392</v>
      </c>
      <c r="S935" s="1">
        <f>electric_vehicles_dataset[[#This Row],[Units_Sold_2024]]*electric_vehicles_dataset[[#This Row],[Price_USD]]</f>
        <v>160460179.75</v>
      </c>
      <c r="T935">
        <v>3</v>
      </c>
      <c r="U935">
        <v>3965</v>
      </c>
      <c r="V935">
        <v>3</v>
      </c>
    </row>
    <row r="936" spans="1:22" x14ac:dyDescent="0.35">
      <c r="A936">
        <v>935</v>
      </c>
      <c r="B936" t="s">
        <v>220</v>
      </c>
      <c r="C936" t="s">
        <v>290</v>
      </c>
      <c r="D936">
        <v>2024</v>
      </c>
      <c r="E936" t="s">
        <v>101</v>
      </c>
      <c r="F936">
        <v>106.4</v>
      </c>
      <c r="G936" t="s">
        <v>361</v>
      </c>
      <c r="H936">
        <f>electric_vehicles_dataset[[#This Row],[Battery_Capacity_kWh]]/electric_vehicles_dataset[[#This Row],[Range_km]]</f>
        <v>0.32439024390243903</v>
      </c>
      <c r="I936">
        <v>328</v>
      </c>
      <c r="J936" t="s">
        <v>149</v>
      </c>
      <c r="K936">
        <v>7</v>
      </c>
      <c r="L936" s="1">
        <v>87345.57</v>
      </c>
      <c r="M936" s="1" t="str" cm="1">
        <f t="array" ref="M93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36" t="s">
        <v>81</v>
      </c>
      <c r="O936" t="s">
        <v>86</v>
      </c>
      <c r="P936" s="2" t="s">
        <v>389</v>
      </c>
      <c r="Q936">
        <v>0</v>
      </c>
      <c r="R936" t="s">
        <v>390</v>
      </c>
      <c r="S936" s="1">
        <f>electric_vehicles_dataset[[#This Row],[Units_Sold_2024]]*electric_vehicles_dataset[[#This Row],[Price_USD]]</f>
        <v>859567754.37000012</v>
      </c>
      <c r="T936">
        <v>3</v>
      </c>
      <c r="U936">
        <v>9841</v>
      </c>
      <c r="V936">
        <v>3</v>
      </c>
    </row>
    <row r="937" spans="1:22" x14ac:dyDescent="0.35">
      <c r="A937">
        <v>936</v>
      </c>
      <c r="B937" t="s">
        <v>269</v>
      </c>
      <c r="C937" t="s">
        <v>340</v>
      </c>
      <c r="D937">
        <v>2015</v>
      </c>
      <c r="E937" t="s">
        <v>104</v>
      </c>
      <c r="F937">
        <v>27.8</v>
      </c>
      <c r="G937" t="s">
        <v>357</v>
      </c>
      <c r="H937">
        <f>electric_vehicles_dataset[[#This Row],[Battery_Capacity_kWh]]/electric_vehicles_dataset[[#This Row],[Range_km]]</f>
        <v>5.5268389662027836E-2</v>
      </c>
      <c r="I937">
        <v>503</v>
      </c>
      <c r="J937" t="s">
        <v>76</v>
      </c>
      <c r="K937">
        <v>2</v>
      </c>
      <c r="L937" s="1">
        <v>109909.34</v>
      </c>
      <c r="M937" s="1" t="str" cm="1">
        <f t="array" ref="M93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37" t="s">
        <v>98</v>
      </c>
      <c r="O937" t="s">
        <v>121</v>
      </c>
      <c r="P937" s="2" t="s">
        <v>398</v>
      </c>
      <c r="Q937">
        <v>0</v>
      </c>
      <c r="R937" t="s">
        <v>390</v>
      </c>
      <c r="S937" s="1">
        <f>electric_vehicles_dataset[[#This Row],[Units_Sold_2024]]*electric_vehicles_dataset[[#This Row],[Price_USD]]</f>
        <v>1730082920.9400001</v>
      </c>
      <c r="T937">
        <v>3</v>
      </c>
      <c r="U937">
        <v>15741</v>
      </c>
      <c r="V937">
        <v>3</v>
      </c>
    </row>
    <row r="938" spans="1:22" x14ac:dyDescent="0.35">
      <c r="A938">
        <v>937</v>
      </c>
      <c r="B938" t="s">
        <v>112</v>
      </c>
      <c r="C938" t="s">
        <v>237</v>
      </c>
      <c r="D938">
        <v>2022</v>
      </c>
      <c r="E938" t="s">
        <v>130</v>
      </c>
      <c r="F938">
        <v>82.2</v>
      </c>
      <c r="G938" t="s">
        <v>350</v>
      </c>
      <c r="H938">
        <f>electric_vehicles_dataset[[#This Row],[Battery_Capacity_kWh]]/electric_vehicles_dataset[[#This Row],[Range_km]]</f>
        <v>0.54800000000000004</v>
      </c>
      <c r="I938">
        <v>150</v>
      </c>
      <c r="J938" t="s">
        <v>85</v>
      </c>
      <c r="K938">
        <v>5</v>
      </c>
      <c r="L938" s="1">
        <v>106007.59</v>
      </c>
      <c r="M938" s="1" t="str" cm="1">
        <f t="array" ref="M93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38" t="s">
        <v>19</v>
      </c>
      <c r="O938" t="s">
        <v>92</v>
      </c>
      <c r="P938" s="2" t="s">
        <v>394</v>
      </c>
      <c r="Q938">
        <v>0</v>
      </c>
      <c r="R938" t="s">
        <v>390</v>
      </c>
      <c r="S938" s="1">
        <f>electric_vehicles_dataset[[#This Row],[Units_Sold_2024]]*electric_vehicles_dataset[[#This Row],[Price_USD]]</f>
        <v>1659230798.6799998</v>
      </c>
      <c r="T938">
        <v>3</v>
      </c>
      <c r="U938">
        <v>15652</v>
      </c>
      <c r="V938">
        <v>5</v>
      </c>
    </row>
    <row r="939" spans="1:22" x14ac:dyDescent="0.35">
      <c r="A939">
        <v>938</v>
      </c>
      <c r="B939" t="s">
        <v>29</v>
      </c>
      <c r="C939" t="s">
        <v>378</v>
      </c>
      <c r="D939">
        <v>2017</v>
      </c>
      <c r="E939" t="s">
        <v>31</v>
      </c>
      <c r="F939">
        <v>101.5</v>
      </c>
      <c r="G939" t="s">
        <v>361</v>
      </c>
      <c r="H939">
        <f>electric_vehicles_dataset[[#This Row],[Battery_Capacity_kWh]]/electric_vehicles_dataset[[#This Row],[Range_km]]</f>
        <v>0.32636655948553056</v>
      </c>
      <c r="I939">
        <v>311</v>
      </c>
      <c r="J939" t="s">
        <v>149</v>
      </c>
      <c r="K939">
        <v>11</v>
      </c>
      <c r="L939" s="1">
        <v>129357.08</v>
      </c>
      <c r="M939" s="1" t="str" cm="1">
        <f t="array" ref="M93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39" t="s">
        <v>70</v>
      </c>
      <c r="O939" t="s">
        <v>67</v>
      </c>
      <c r="P939" s="2" t="s">
        <v>394</v>
      </c>
      <c r="Q939">
        <v>0</v>
      </c>
      <c r="R939" t="s">
        <v>390</v>
      </c>
      <c r="S939" s="1">
        <f>electric_vehicles_dataset[[#This Row],[Units_Sold_2024]]*electric_vehicles_dataset[[#This Row],[Price_USD]]</f>
        <v>816372531.88</v>
      </c>
      <c r="T939">
        <v>3</v>
      </c>
      <c r="U939">
        <v>6311</v>
      </c>
      <c r="V939">
        <v>5</v>
      </c>
    </row>
    <row r="940" spans="1:22" x14ac:dyDescent="0.35">
      <c r="A940">
        <v>939</v>
      </c>
      <c r="B940" t="s">
        <v>259</v>
      </c>
      <c r="C940" t="s">
        <v>266</v>
      </c>
      <c r="D940">
        <v>2021</v>
      </c>
      <c r="E940" t="s">
        <v>130</v>
      </c>
      <c r="F940">
        <v>98.8</v>
      </c>
      <c r="G940" t="s">
        <v>350</v>
      </c>
      <c r="H940">
        <f>electric_vehicles_dataset[[#This Row],[Battery_Capacity_kWh]]/electric_vehicles_dataset[[#This Row],[Range_km]]</f>
        <v>0.18195211786372006</v>
      </c>
      <c r="I940">
        <v>543</v>
      </c>
      <c r="J940" t="s">
        <v>353</v>
      </c>
      <c r="K940">
        <v>9</v>
      </c>
      <c r="L940" s="1">
        <v>45279.16</v>
      </c>
      <c r="M940" s="1" t="str" cm="1">
        <f t="array" ref="M94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40" t="s">
        <v>217</v>
      </c>
      <c r="O940" t="s">
        <v>206</v>
      </c>
      <c r="P940" s="2" t="s">
        <v>394</v>
      </c>
      <c r="Q940">
        <v>5</v>
      </c>
      <c r="R940" t="s">
        <v>392</v>
      </c>
      <c r="S940" s="1">
        <f>electric_vehicles_dataset[[#This Row],[Units_Sold_2024]]*electric_vehicles_dataset[[#This Row],[Price_USD]]</f>
        <v>888694073.32000005</v>
      </c>
      <c r="T940">
        <v>3</v>
      </c>
      <c r="U940">
        <v>19627</v>
      </c>
      <c r="V940">
        <v>5</v>
      </c>
    </row>
    <row r="941" spans="1:22" x14ac:dyDescent="0.35">
      <c r="A941">
        <v>940</v>
      </c>
      <c r="B941" t="s">
        <v>176</v>
      </c>
      <c r="C941" t="s">
        <v>365</v>
      </c>
      <c r="D941">
        <v>2016</v>
      </c>
      <c r="E941" t="s">
        <v>42</v>
      </c>
      <c r="F941">
        <v>98</v>
      </c>
      <c r="G941" t="s">
        <v>350</v>
      </c>
      <c r="H941">
        <f>electric_vehicles_dataset[[#This Row],[Battery_Capacity_kWh]]/electric_vehicles_dataset[[#This Row],[Range_km]]</f>
        <v>0.31309904153354634</v>
      </c>
      <c r="I941">
        <v>313</v>
      </c>
      <c r="J941" t="s">
        <v>364</v>
      </c>
      <c r="K941">
        <v>7</v>
      </c>
      <c r="L941" s="1">
        <v>114536.92</v>
      </c>
      <c r="M941" s="1" t="str" cm="1">
        <f t="array" ref="M94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41" t="s">
        <v>168</v>
      </c>
      <c r="O941" t="s">
        <v>44</v>
      </c>
      <c r="P941" s="2" t="s">
        <v>389</v>
      </c>
      <c r="Q941">
        <v>0</v>
      </c>
      <c r="R941" t="s">
        <v>390</v>
      </c>
      <c r="S941" s="1">
        <f>electric_vehicles_dataset[[#This Row],[Units_Sold_2024]]*electric_vehicles_dataset[[#This Row],[Price_USD]]</f>
        <v>1281553597.8799999</v>
      </c>
      <c r="T941">
        <v>4</v>
      </c>
      <c r="U941">
        <v>11189</v>
      </c>
      <c r="V941">
        <v>4</v>
      </c>
    </row>
    <row r="942" spans="1:22" x14ac:dyDescent="0.35">
      <c r="A942">
        <v>941</v>
      </c>
      <c r="B942" t="s">
        <v>82</v>
      </c>
      <c r="C942" t="s">
        <v>281</v>
      </c>
      <c r="D942">
        <v>2019</v>
      </c>
      <c r="E942" t="s">
        <v>26</v>
      </c>
      <c r="F942">
        <v>143.30000000000001</v>
      </c>
      <c r="G942" t="s">
        <v>386</v>
      </c>
      <c r="H942">
        <f>electric_vehicles_dataset[[#This Row],[Battery_Capacity_kWh]]/electric_vehicles_dataset[[#This Row],[Range_km]]</f>
        <v>0.39695290858725762</v>
      </c>
      <c r="I942">
        <v>361</v>
      </c>
      <c r="J942" t="s">
        <v>356</v>
      </c>
      <c r="K942">
        <v>5</v>
      </c>
      <c r="L942" s="1">
        <v>134539.09</v>
      </c>
      <c r="M942" s="1" t="str" cm="1">
        <f t="array" ref="M9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42" t="s">
        <v>35</v>
      </c>
      <c r="O942" t="s">
        <v>167</v>
      </c>
      <c r="P942" s="2" t="s">
        <v>394</v>
      </c>
      <c r="Q942">
        <v>5</v>
      </c>
      <c r="R942" t="s">
        <v>392</v>
      </c>
      <c r="S942" s="1">
        <f>electric_vehicles_dataset[[#This Row],[Units_Sold_2024]]*electric_vehicles_dataset[[#This Row],[Price_USD]]</f>
        <v>605022287.73000002</v>
      </c>
      <c r="T942">
        <v>5</v>
      </c>
      <c r="U942">
        <v>4497</v>
      </c>
      <c r="V942">
        <v>4</v>
      </c>
    </row>
    <row r="943" spans="1:22" x14ac:dyDescent="0.35">
      <c r="A943">
        <v>942</v>
      </c>
      <c r="B943" t="s">
        <v>313</v>
      </c>
      <c r="C943" t="s">
        <v>314</v>
      </c>
      <c r="D943">
        <v>2022</v>
      </c>
      <c r="E943" t="s">
        <v>104</v>
      </c>
      <c r="F943">
        <v>89.3</v>
      </c>
      <c r="G943" t="s">
        <v>350</v>
      </c>
      <c r="H943">
        <f>electric_vehicles_dataset[[#This Row],[Battery_Capacity_kWh]]/electric_vehicles_dataset[[#This Row],[Range_km]]</f>
        <v>0.21518072289156626</v>
      </c>
      <c r="I943">
        <v>415</v>
      </c>
      <c r="J943" t="s">
        <v>364</v>
      </c>
      <c r="K943">
        <v>3</v>
      </c>
      <c r="L943" s="1">
        <v>62185.4</v>
      </c>
      <c r="M943" s="1" t="str" cm="1">
        <f t="array" ref="M94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43" t="s">
        <v>49</v>
      </c>
      <c r="O943" t="s">
        <v>265</v>
      </c>
      <c r="P943" s="2" t="s">
        <v>389</v>
      </c>
      <c r="Q943">
        <v>1</v>
      </c>
      <c r="R943" t="s">
        <v>391</v>
      </c>
      <c r="S943" s="1">
        <f>electric_vehicles_dataset[[#This Row],[Units_Sold_2024]]*electric_vehicles_dataset[[#This Row],[Price_USD]]</f>
        <v>1153352613.8</v>
      </c>
      <c r="T943">
        <v>3</v>
      </c>
      <c r="U943">
        <v>18547</v>
      </c>
      <c r="V943">
        <v>3</v>
      </c>
    </row>
    <row r="944" spans="1:22" x14ac:dyDescent="0.35">
      <c r="A944">
        <v>943</v>
      </c>
      <c r="B944" t="s">
        <v>243</v>
      </c>
      <c r="C944" t="s">
        <v>371</v>
      </c>
      <c r="D944">
        <v>2018</v>
      </c>
      <c r="E944" t="s">
        <v>26</v>
      </c>
      <c r="F944">
        <v>63.5</v>
      </c>
      <c r="G944" t="s">
        <v>351</v>
      </c>
      <c r="H944">
        <f>electric_vehicles_dataset[[#This Row],[Battery_Capacity_kWh]]/electric_vehicles_dataset[[#This Row],[Range_km]]</f>
        <v>0.14237668161434977</v>
      </c>
      <c r="I944">
        <v>446</v>
      </c>
      <c r="J944" t="s">
        <v>358</v>
      </c>
      <c r="K944">
        <v>4</v>
      </c>
      <c r="L944" s="1">
        <v>101731.26</v>
      </c>
      <c r="M944" s="1" t="str" cm="1">
        <f t="array" ref="M94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44" t="s">
        <v>117</v>
      </c>
      <c r="O944" t="s">
        <v>63</v>
      </c>
      <c r="P944" s="2" t="s">
        <v>389</v>
      </c>
      <c r="Q944">
        <v>1</v>
      </c>
      <c r="R944" t="s">
        <v>391</v>
      </c>
      <c r="S944" s="1">
        <f>electric_vehicles_dataset[[#This Row],[Units_Sold_2024]]*electric_vehicles_dataset[[#This Row],[Price_USD]]</f>
        <v>1205006774.7</v>
      </c>
      <c r="T944">
        <v>3</v>
      </c>
      <c r="U944">
        <v>11845</v>
      </c>
      <c r="V944">
        <v>5</v>
      </c>
    </row>
    <row r="945" spans="1:22" x14ac:dyDescent="0.35">
      <c r="A945">
        <v>944</v>
      </c>
      <c r="B945" t="s">
        <v>82</v>
      </c>
      <c r="C945" t="s">
        <v>281</v>
      </c>
      <c r="D945">
        <v>2018</v>
      </c>
      <c r="E945" t="s">
        <v>183</v>
      </c>
      <c r="F945">
        <v>80.099999999999994</v>
      </c>
      <c r="G945" t="s">
        <v>350</v>
      </c>
      <c r="H945">
        <f>electric_vehicles_dataset[[#This Row],[Battery_Capacity_kWh]]/electric_vehicles_dataset[[#This Row],[Range_km]]</f>
        <v>0.21885245901639341</v>
      </c>
      <c r="I945">
        <v>366</v>
      </c>
      <c r="J945" t="s">
        <v>85</v>
      </c>
      <c r="K945">
        <v>2</v>
      </c>
      <c r="L945" s="1">
        <v>116729.11</v>
      </c>
      <c r="M945" s="1" t="str" cm="1">
        <f t="array" ref="M9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45" t="s">
        <v>179</v>
      </c>
      <c r="O945" t="s">
        <v>78</v>
      </c>
      <c r="P945" s="2" t="s">
        <v>389</v>
      </c>
      <c r="Q945">
        <v>5</v>
      </c>
      <c r="R945" t="s">
        <v>392</v>
      </c>
      <c r="S945" s="1">
        <f>electric_vehicles_dataset[[#This Row],[Units_Sold_2024]]*electric_vehicles_dataset[[#This Row],[Price_USD]]</f>
        <v>1900816827.24</v>
      </c>
      <c r="T945">
        <v>5</v>
      </c>
      <c r="U945">
        <v>16284</v>
      </c>
      <c r="V945">
        <v>4</v>
      </c>
    </row>
    <row r="946" spans="1:22" x14ac:dyDescent="0.35">
      <c r="A946">
        <v>945</v>
      </c>
      <c r="B946" t="s">
        <v>87</v>
      </c>
      <c r="C946" t="s">
        <v>381</v>
      </c>
      <c r="D946">
        <v>2022</v>
      </c>
      <c r="E946" t="s">
        <v>17</v>
      </c>
      <c r="F946">
        <v>55.2</v>
      </c>
      <c r="G946" t="s">
        <v>348</v>
      </c>
      <c r="H946">
        <f>electric_vehicles_dataset[[#This Row],[Battery_Capacity_kWh]]/electric_vehicles_dataset[[#This Row],[Range_km]]</f>
        <v>0.14153846153846156</v>
      </c>
      <c r="I946">
        <v>390</v>
      </c>
      <c r="J946" t="s">
        <v>345</v>
      </c>
      <c r="K946">
        <v>7</v>
      </c>
      <c r="L946" s="1">
        <v>47560.79</v>
      </c>
      <c r="M946" s="1" t="str" cm="1">
        <f t="array" ref="M9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46" t="s">
        <v>160</v>
      </c>
      <c r="O946" t="s">
        <v>92</v>
      </c>
      <c r="P946" s="2" t="s">
        <v>394</v>
      </c>
      <c r="Q946">
        <v>3</v>
      </c>
      <c r="R946" t="s">
        <v>397</v>
      </c>
      <c r="S946" s="1">
        <f>electric_vehicles_dataset[[#This Row],[Units_Sold_2024]]*electric_vehicles_dataset[[#This Row],[Price_USD]]</f>
        <v>103682522.2</v>
      </c>
      <c r="T946">
        <v>3</v>
      </c>
      <c r="U946">
        <v>2180</v>
      </c>
      <c r="V946">
        <v>3</v>
      </c>
    </row>
    <row r="947" spans="1:22" x14ac:dyDescent="0.35">
      <c r="A947">
        <v>946</v>
      </c>
      <c r="B947" t="s">
        <v>74</v>
      </c>
      <c r="C947" t="s">
        <v>75</v>
      </c>
      <c r="D947">
        <v>2022</v>
      </c>
      <c r="E947" t="s">
        <v>130</v>
      </c>
      <c r="F947">
        <v>141.5</v>
      </c>
      <c r="G947" t="s">
        <v>386</v>
      </c>
      <c r="H947">
        <f>electric_vehicles_dataset[[#This Row],[Battery_Capacity_kWh]]/electric_vehicles_dataset[[#This Row],[Range_km]]</f>
        <v>0.37139107611548555</v>
      </c>
      <c r="I947">
        <v>381</v>
      </c>
      <c r="J947" t="s">
        <v>105</v>
      </c>
      <c r="K947">
        <v>6</v>
      </c>
      <c r="L947" s="1">
        <v>80459.179999999993</v>
      </c>
      <c r="M947" s="1" t="str" cm="1">
        <f t="array" ref="M9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47" t="s">
        <v>49</v>
      </c>
      <c r="O947" t="s">
        <v>67</v>
      </c>
      <c r="P947" s="2" t="s">
        <v>394</v>
      </c>
      <c r="Q947">
        <v>5</v>
      </c>
      <c r="R947" t="s">
        <v>392</v>
      </c>
      <c r="S947" s="1">
        <f>electric_vehicles_dataset[[#This Row],[Units_Sold_2024]]*electric_vehicles_dataset[[#This Row],[Price_USD]]</f>
        <v>1152577753.5</v>
      </c>
      <c r="T947">
        <v>4</v>
      </c>
      <c r="U947">
        <v>14325</v>
      </c>
      <c r="V947">
        <v>4</v>
      </c>
    </row>
    <row r="948" spans="1:22" x14ac:dyDescent="0.35">
      <c r="A948">
        <v>947</v>
      </c>
      <c r="B948" t="s">
        <v>56</v>
      </c>
      <c r="C948" t="s">
        <v>57</v>
      </c>
      <c r="D948">
        <v>2017</v>
      </c>
      <c r="E948" t="s">
        <v>101</v>
      </c>
      <c r="F948">
        <v>36</v>
      </c>
      <c r="G948" t="s">
        <v>357</v>
      </c>
      <c r="H948">
        <f>electric_vehicles_dataset[[#This Row],[Battery_Capacity_kWh]]/electric_vehicles_dataset[[#This Row],[Range_km]]</f>
        <v>7.3619631901840496E-2</v>
      </c>
      <c r="I948">
        <v>489</v>
      </c>
      <c r="J948" t="s">
        <v>27</v>
      </c>
      <c r="K948">
        <v>1</v>
      </c>
      <c r="L948" s="1">
        <v>38433.599999999999</v>
      </c>
      <c r="M948" s="1" t="str" cm="1">
        <f t="array" ref="M9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48" t="s">
        <v>175</v>
      </c>
      <c r="O948" t="s">
        <v>354</v>
      </c>
      <c r="P948" s="2" t="s">
        <v>394</v>
      </c>
      <c r="Q948">
        <v>1</v>
      </c>
      <c r="R948" t="s">
        <v>391</v>
      </c>
      <c r="S948" s="1">
        <f>electric_vehicles_dataset[[#This Row],[Units_Sold_2024]]*electric_vehicles_dataset[[#This Row],[Price_USD]]</f>
        <v>533035598.39999998</v>
      </c>
      <c r="T948">
        <v>5</v>
      </c>
      <c r="U948">
        <v>13869</v>
      </c>
      <c r="V948">
        <v>3</v>
      </c>
    </row>
    <row r="949" spans="1:22" x14ac:dyDescent="0.35">
      <c r="A949">
        <v>948</v>
      </c>
      <c r="B949" t="s">
        <v>108</v>
      </c>
      <c r="C949" t="s">
        <v>308</v>
      </c>
      <c r="D949">
        <v>2015</v>
      </c>
      <c r="E949" t="s">
        <v>84</v>
      </c>
      <c r="F949">
        <v>34.5</v>
      </c>
      <c r="G949" t="s">
        <v>357</v>
      </c>
      <c r="H949">
        <f>electric_vehicles_dataset[[#This Row],[Battery_Capacity_kWh]]/electric_vehicles_dataset[[#This Row],[Range_km]]</f>
        <v>5.7500000000000002E-2</v>
      </c>
      <c r="I949">
        <v>600</v>
      </c>
      <c r="J949" t="s">
        <v>105</v>
      </c>
      <c r="K949">
        <v>4</v>
      </c>
      <c r="L949" s="1">
        <v>58881.63</v>
      </c>
      <c r="M949" s="1" t="str" cm="1">
        <f t="array" ref="M94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49" t="s">
        <v>102</v>
      </c>
      <c r="O949" t="s">
        <v>118</v>
      </c>
      <c r="P949" s="2" t="s">
        <v>389</v>
      </c>
      <c r="Q949">
        <v>2</v>
      </c>
      <c r="R949" t="s">
        <v>391</v>
      </c>
      <c r="S949" s="1">
        <f>electric_vehicles_dataset[[#This Row],[Units_Sold_2024]]*electric_vehicles_dataset[[#This Row],[Price_USD]]</f>
        <v>292700582.72999996</v>
      </c>
      <c r="T949">
        <v>3</v>
      </c>
      <c r="U949">
        <v>4971</v>
      </c>
      <c r="V949">
        <v>3</v>
      </c>
    </row>
    <row r="950" spans="1:22" x14ac:dyDescent="0.35">
      <c r="A950">
        <v>949</v>
      </c>
      <c r="B950" t="s">
        <v>21</v>
      </c>
      <c r="C950" t="s">
        <v>363</v>
      </c>
      <c r="D950">
        <v>2018</v>
      </c>
      <c r="E950" t="s">
        <v>101</v>
      </c>
      <c r="F950">
        <v>124.7</v>
      </c>
      <c r="G950" t="s">
        <v>352</v>
      </c>
      <c r="H950">
        <f>electric_vehicles_dataset[[#This Row],[Battery_Capacity_kWh]]/electric_vehicles_dataset[[#This Row],[Range_km]]</f>
        <v>0.2388888888888889</v>
      </c>
      <c r="I950">
        <v>522</v>
      </c>
      <c r="J950" t="s">
        <v>34</v>
      </c>
      <c r="K950">
        <v>3</v>
      </c>
      <c r="L950" s="1">
        <v>103955.6</v>
      </c>
      <c r="M950" s="1" t="str" cm="1">
        <f t="array" ref="M9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50" t="s">
        <v>177</v>
      </c>
      <c r="O950" t="s">
        <v>20</v>
      </c>
      <c r="P950" s="2" t="s">
        <v>389</v>
      </c>
      <c r="Q950">
        <v>4</v>
      </c>
      <c r="R950" t="s">
        <v>392</v>
      </c>
      <c r="S950" s="1">
        <f>electric_vehicles_dataset[[#This Row],[Units_Sold_2024]]*electric_vehicles_dataset[[#This Row],[Price_USD]]</f>
        <v>424242803.60000002</v>
      </c>
      <c r="T950">
        <v>4</v>
      </c>
      <c r="U950">
        <v>4081</v>
      </c>
      <c r="V950">
        <v>3</v>
      </c>
    </row>
    <row r="951" spans="1:22" x14ac:dyDescent="0.35">
      <c r="A951">
        <v>950</v>
      </c>
      <c r="B951" t="s">
        <v>87</v>
      </c>
      <c r="C951" t="s">
        <v>381</v>
      </c>
      <c r="D951">
        <v>2018</v>
      </c>
      <c r="E951" t="s">
        <v>31</v>
      </c>
      <c r="F951">
        <v>79.7</v>
      </c>
      <c r="G951" t="s">
        <v>351</v>
      </c>
      <c r="H951">
        <f>electric_vehicles_dataset[[#This Row],[Battery_Capacity_kWh]]/electric_vehicles_dataset[[#This Row],[Range_km]]</f>
        <v>0.4331521739130435</v>
      </c>
      <c r="I951">
        <v>184</v>
      </c>
      <c r="J951" t="s">
        <v>85</v>
      </c>
      <c r="K951">
        <v>11</v>
      </c>
      <c r="L951" s="1">
        <v>63536.480000000003</v>
      </c>
      <c r="M951" s="1" t="str" cm="1">
        <f t="array" ref="M95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51" t="s">
        <v>22</v>
      </c>
      <c r="O951" t="s">
        <v>78</v>
      </c>
      <c r="P951" s="2" t="s">
        <v>389</v>
      </c>
      <c r="Q951">
        <v>3</v>
      </c>
      <c r="R951" t="s">
        <v>397</v>
      </c>
      <c r="S951" s="1">
        <f>electric_vehicles_dataset[[#This Row],[Units_Sold_2024]]*electric_vehicles_dataset[[#This Row],[Price_USD]]</f>
        <v>928839801.12</v>
      </c>
      <c r="T951">
        <v>4</v>
      </c>
      <c r="U951">
        <v>14619</v>
      </c>
      <c r="V951">
        <v>3</v>
      </c>
    </row>
    <row r="952" spans="1:22" x14ac:dyDescent="0.35">
      <c r="A952">
        <v>951</v>
      </c>
      <c r="B952" t="s">
        <v>128</v>
      </c>
      <c r="C952" t="s">
        <v>284</v>
      </c>
      <c r="D952">
        <v>2016</v>
      </c>
      <c r="E952" t="s">
        <v>42</v>
      </c>
      <c r="F952">
        <v>112.6</v>
      </c>
      <c r="G952" t="s">
        <v>361</v>
      </c>
      <c r="H952">
        <f>electric_vehicles_dataset[[#This Row],[Battery_Capacity_kWh]]/electric_vehicles_dataset[[#This Row],[Range_km]]</f>
        <v>0.34539877300613497</v>
      </c>
      <c r="I952">
        <v>326</v>
      </c>
      <c r="J952" t="s">
        <v>18</v>
      </c>
      <c r="K952">
        <v>9</v>
      </c>
      <c r="L952" s="1">
        <v>76137.06</v>
      </c>
      <c r="M952" s="1" t="str" cm="1">
        <f t="array" ref="M95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52" t="s">
        <v>217</v>
      </c>
      <c r="O952" t="s">
        <v>110</v>
      </c>
      <c r="P952" s="2" t="s">
        <v>394</v>
      </c>
      <c r="Q952">
        <v>3</v>
      </c>
      <c r="R952" t="s">
        <v>397</v>
      </c>
      <c r="S952" s="1">
        <f>electric_vehicles_dataset[[#This Row],[Units_Sold_2024]]*electric_vehicles_dataset[[#This Row],[Price_USD]]</f>
        <v>1226263488.3599999</v>
      </c>
      <c r="T952">
        <v>5</v>
      </c>
      <c r="U952">
        <v>16106</v>
      </c>
      <c r="V952">
        <v>4</v>
      </c>
    </row>
    <row r="953" spans="1:22" x14ac:dyDescent="0.35">
      <c r="A953">
        <v>952</v>
      </c>
      <c r="B953" t="s">
        <v>170</v>
      </c>
      <c r="C953" t="s">
        <v>367</v>
      </c>
      <c r="D953">
        <v>2020</v>
      </c>
      <c r="E953" t="s">
        <v>104</v>
      </c>
      <c r="F953">
        <v>22.7</v>
      </c>
      <c r="G953" t="s">
        <v>357</v>
      </c>
      <c r="H953">
        <f>electric_vehicles_dataset[[#This Row],[Battery_Capacity_kWh]]/electric_vehicles_dataset[[#This Row],[Range_km]]</f>
        <v>6.3231197771587741E-2</v>
      </c>
      <c r="I953">
        <v>359</v>
      </c>
      <c r="J953" t="s">
        <v>34</v>
      </c>
      <c r="K953">
        <v>10</v>
      </c>
      <c r="L953" s="1">
        <v>102786.47</v>
      </c>
      <c r="M953" s="1" t="str" cm="1">
        <f t="array" ref="M95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53" t="s">
        <v>165</v>
      </c>
      <c r="O953" t="s">
        <v>44</v>
      </c>
      <c r="P953" s="2" t="s">
        <v>389</v>
      </c>
      <c r="Q953">
        <v>4</v>
      </c>
      <c r="R953" t="s">
        <v>392</v>
      </c>
      <c r="S953" s="1">
        <f>electric_vehicles_dataset[[#This Row],[Units_Sold_2024]]*electric_vehicles_dataset[[#This Row],[Price_USD]]</f>
        <v>1360687289.8600001</v>
      </c>
      <c r="T953">
        <v>3</v>
      </c>
      <c r="U953">
        <v>13238</v>
      </c>
      <c r="V953">
        <v>3</v>
      </c>
    </row>
    <row r="954" spans="1:22" x14ac:dyDescent="0.35">
      <c r="A954">
        <v>953</v>
      </c>
      <c r="B954" t="s">
        <v>192</v>
      </c>
      <c r="C954" t="s">
        <v>198</v>
      </c>
      <c r="D954">
        <v>2020</v>
      </c>
      <c r="E954" t="s">
        <v>42</v>
      </c>
      <c r="F954">
        <v>55.6</v>
      </c>
      <c r="G954" t="s">
        <v>348</v>
      </c>
      <c r="H954">
        <f>electric_vehicles_dataset[[#This Row],[Battery_Capacity_kWh]]/electric_vehicles_dataset[[#This Row],[Range_km]]</f>
        <v>0.11931330472103005</v>
      </c>
      <c r="I954">
        <v>466</v>
      </c>
      <c r="J954" t="s">
        <v>54</v>
      </c>
      <c r="K954">
        <v>11</v>
      </c>
      <c r="L954" s="1">
        <v>75533.289999999994</v>
      </c>
      <c r="M954" s="1" t="str" cm="1">
        <f t="array" ref="M95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54" t="s">
        <v>152</v>
      </c>
      <c r="O954" t="s">
        <v>135</v>
      </c>
      <c r="P954" s="2" t="s">
        <v>389</v>
      </c>
      <c r="Q954">
        <v>4</v>
      </c>
      <c r="R954" t="s">
        <v>392</v>
      </c>
      <c r="S954" s="1">
        <f>electric_vehicles_dataset[[#This Row],[Units_Sold_2024]]*electric_vehicles_dataset[[#This Row],[Price_USD]]</f>
        <v>54081835.639999993</v>
      </c>
      <c r="T954">
        <v>4</v>
      </c>
      <c r="U954">
        <v>716</v>
      </c>
      <c r="V954">
        <v>4</v>
      </c>
    </row>
    <row r="955" spans="1:22" x14ac:dyDescent="0.35">
      <c r="A955">
        <v>954</v>
      </c>
      <c r="B955" t="s">
        <v>261</v>
      </c>
      <c r="C955" t="s">
        <v>278</v>
      </c>
      <c r="D955">
        <v>2020</v>
      </c>
      <c r="E955" t="s">
        <v>42</v>
      </c>
      <c r="F955">
        <v>22.7</v>
      </c>
      <c r="G955" t="s">
        <v>357</v>
      </c>
      <c r="H955">
        <f>electric_vehicles_dataset[[#This Row],[Battery_Capacity_kWh]]/electric_vehicles_dataset[[#This Row],[Range_km]]</f>
        <v>7.0278637770897837E-2</v>
      </c>
      <c r="I955">
        <v>323</v>
      </c>
      <c r="J955" t="s">
        <v>345</v>
      </c>
      <c r="K955">
        <v>11</v>
      </c>
      <c r="L955" s="1">
        <v>40735.31</v>
      </c>
      <c r="M955" s="1" t="str" cm="1">
        <f t="array" ref="M95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55" t="s">
        <v>189</v>
      </c>
      <c r="O955" t="s">
        <v>202</v>
      </c>
      <c r="P955" s="2" t="s">
        <v>393</v>
      </c>
      <c r="Q955">
        <v>2</v>
      </c>
      <c r="R955" t="s">
        <v>391</v>
      </c>
      <c r="S955" s="1">
        <f>electric_vehicles_dataset[[#This Row],[Units_Sold_2024]]*electric_vehicles_dataset[[#This Row],[Price_USD]]</f>
        <v>224940381.81999999</v>
      </c>
      <c r="T955">
        <v>3</v>
      </c>
      <c r="U955">
        <v>5522</v>
      </c>
      <c r="V955">
        <v>3</v>
      </c>
    </row>
    <row r="956" spans="1:22" x14ac:dyDescent="0.35">
      <c r="A956">
        <v>955</v>
      </c>
      <c r="B956" t="s">
        <v>41</v>
      </c>
      <c r="C956" t="s">
        <v>374</v>
      </c>
      <c r="D956">
        <v>2015</v>
      </c>
      <c r="E956" t="s">
        <v>42</v>
      </c>
      <c r="F956">
        <v>67.400000000000006</v>
      </c>
      <c r="G956" t="s">
        <v>351</v>
      </c>
      <c r="H956">
        <f>electric_vehicles_dataset[[#This Row],[Battery_Capacity_kWh]]/electric_vehicles_dataset[[#This Row],[Range_km]]</f>
        <v>0.13783231083844583</v>
      </c>
      <c r="I956">
        <v>489</v>
      </c>
      <c r="J956" t="s">
        <v>353</v>
      </c>
      <c r="K956">
        <v>2</v>
      </c>
      <c r="L956" s="1">
        <v>139901.99</v>
      </c>
      <c r="M956" s="1" t="str" cm="1">
        <f t="array" ref="M95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56" t="s">
        <v>143</v>
      </c>
      <c r="O956" t="s">
        <v>118</v>
      </c>
      <c r="P956" s="2" t="s">
        <v>389</v>
      </c>
      <c r="Q956">
        <v>0</v>
      </c>
      <c r="R956" t="s">
        <v>390</v>
      </c>
      <c r="S956" s="1">
        <f>electric_vehicles_dataset[[#This Row],[Units_Sold_2024]]*electric_vehicles_dataset[[#This Row],[Price_USD]]</f>
        <v>2077124845.53</v>
      </c>
      <c r="T956">
        <v>4</v>
      </c>
      <c r="U956">
        <v>14847</v>
      </c>
      <c r="V956">
        <v>3</v>
      </c>
    </row>
    <row r="957" spans="1:22" x14ac:dyDescent="0.35">
      <c r="A957">
        <v>956</v>
      </c>
      <c r="B957" t="s">
        <v>176</v>
      </c>
      <c r="C957" t="s">
        <v>326</v>
      </c>
      <c r="D957">
        <v>2021</v>
      </c>
      <c r="E957" t="s">
        <v>133</v>
      </c>
      <c r="F957">
        <v>133.19999999999999</v>
      </c>
      <c r="G957" t="s">
        <v>352</v>
      </c>
      <c r="H957">
        <f>electric_vehicles_dataset[[#This Row],[Battery_Capacity_kWh]]/electric_vehicles_dataset[[#This Row],[Range_km]]</f>
        <v>0.68307692307692303</v>
      </c>
      <c r="I957">
        <v>195</v>
      </c>
      <c r="J957" t="s">
        <v>353</v>
      </c>
      <c r="K957">
        <v>5</v>
      </c>
      <c r="L957" s="1">
        <v>49995.46</v>
      </c>
      <c r="M957" s="1" t="str" cm="1">
        <f t="array" ref="M95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57" t="s">
        <v>228</v>
      </c>
      <c r="O957" t="s">
        <v>159</v>
      </c>
      <c r="P957" s="2" t="s">
        <v>389</v>
      </c>
      <c r="Q957">
        <v>4</v>
      </c>
      <c r="R957" t="s">
        <v>392</v>
      </c>
      <c r="S957" s="1">
        <f>electric_vehicles_dataset[[#This Row],[Units_Sold_2024]]*electric_vehicles_dataset[[#This Row],[Price_USD]]</f>
        <v>288223826.89999998</v>
      </c>
      <c r="T957">
        <v>5</v>
      </c>
      <c r="U957">
        <v>5765</v>
      </c>
      <c r="V957">
        <v>4</v>
      </c>
    </row>
    <row r="958" spans="1:22" x14ac:dyDescent="0.35">
      <c r="A958">
        <v>957</v>
      </c>
      <c r="B958" t="s">
        <v>21</v>
      </c>
      <c r="C958" t="s">
        <v>363</v>
      </c>
      <c r="D958">
        <v>2021</v>
      </c>
      <c r="E958" t="s">
        <v>53</v>
      </c>
      <c r="F958">
        <v>41.8</v>
      </c>
      <c r="G958" t="s">
        <v>348</v>
      </c>
      <c r="H958">
        <f>electric_vehicles_dataset[[#This Row],[Battery_Capacity_kWh]]/electric_vehicles_dataset[[#This Row],[Range_km]]</f>
        <v>0.38703703703703701</v>
      </c>
      <c r="I958">
        <v>108</v>
      </c>
      <c r="J958" t="s">
        <v>359</v>
      </c>
      <c r="K958">
        <v>7</v>
      </c>
      <c r="L958" s="1">
        <v>39245.699999999997</v>
      </c>
      <c r="M958" s="1" t="str" cm="1">
        <f t="array" ref="M95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58" t="s">
        <v>168</v>
      </c>
      <c r="O958" t="s">
        <v>93</v>
      </c>
      <c r="P958" s="2" t="s">
        <v>389</v>
      </c>
      <c r="Q958">
        <v>1</v>
      </c>
      <c r="R958" t="s">
        <v>391</v>
      </c>
      <c r="S958" s="1">
        <f>electric_vehicles_dataset[[#This Row],[Units_Sold_2024]]*electric_vehicles_dataset[[#This Row],[Price_USD]]</f>
        <v>474441267.29999995</v>
      </c>
      <c r="T958">
        <v>5</v>
      </c>
      <c r="U958">
        <v>12089</v>
      </c>
      <c r="V958">
        <v>5</v>
      </c>
    </row>
    <row r="959" spans="1:22" x14ac:dyDescent="0.35">
      <c r="A959">
        <v>958</v>
      </c>
      <c r="B959" t="s">
        <v>120</v>
      </c>
      <c r="C959" t="s">
        <v>288</v>
      </c>
      <c r="D959">
        <v>2023</v>
      </c>
      <c r="E959" t="s">
        <v>53</v>
      </c>
      <c r="F959">
        <v>44.3</v>
      </c>
      <c r="G959" t="s">
        <v>348</v>
      </c>
      <c r="H959">
        <f>electric_vehicles_dataset[[#This Row],[Battery_Capacity_kWh]]/electric_vehicles_dataset[[#This Row],[Range_km]]</f>
        <v>8.8247011952191229E-2</v>
      </c>
      <c r="I959">
        <v>502</v>
      </c>
      <c r="J959" t="s">
        <v>76</v>
      </c>
      <c r="K959">
        <v>4</v>
      </c>
      <c r="L959" s="1">
        <v>50615.35</v>
      </c>
      <c r="M959" s="1" t="str" cm="1">
        <f t="array" ref="M95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59" t="s">
        <v>49</v>
      </c>
      <c r="O959" t="s">
        <v>206</v>
      </c>
      <c r="P959" s="2" t="s">
        <v>394</v>
      </c>
      <c r="Q959">
        <v>4</v>
      </c>
      <c r="R959" t="s">
        <v>392</v>
      </c>
      <c r="S959" s="1">
        <f>electric_vehicles_dataset[[#This Row],[Units_Sold_2024]]*electric_vehicles_dataset[[#This Row],[Price_USD]]</f>
        <v>223821077.69999999</v>
      </c>
      <c r="T959">
        <v>4</v>
      </c>
      <c r="U959">
        <v>4422</v>
      </c>
      <c r="V959">
        <v>3</v>
      </c>
    </row>
    <row r="960" spans="1:22" x14ac:dyDescent="0.35">
      <c r="A960">
        <v>959</v>
      </c>
      <c r="B960" t="s">
        <v>71</v>
      </c>
      <c r="C960" t="s">
        <v>321</v>
      </c>
      <c r="D960">
        <v>2017</v>
      </c>
      <c r="E960" t="s">
        <v>26</v>
      </c>
      <c r="F960">
        <v>37.200000000000003</v>
      </c>
      <c r="G960" t="s">
        <v>357</v>
      </c>
      <c r="H960">
        <f>electric_vehicles_dataset[[#This Row],[Battery_Capacity_kWh]]/electric_vehicles_dataset[[#This Row],[Range_km]]</f>
        <v>6.8761552680221813E-2</v>
      </c>
      <c r="I960">
        <v>541</v>
      </c>
      <c r="J960" t="s">
        <v>149</v>
      </c>
      <c r="K960">
        <v>7</v>
      </c>
      <c r="L960" s="1">
        <v>63513.25</v>
      </c>
      <c r="M960" s="1" t="str" cm="1">
        <f t="array" ref="M96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60" t="s">
        <v>100</v>
      </c>
      <c r="O960" t="s">
        <v>40</v>
      </c>
      <c r="P960" s="2" t="s">
        <v>395</v>
      </c>
      <c r="Q960">
        <v>0</v>
      </c>
      <c r="R960" t="s">
        <v>390</v>
      </c>
      <c r="S960" s="1">
        <f>electric_vehicles_dataset[[#This Row],[Units_Sold_2024]]*electric_vehicles_dataset[[#This Row],[Price_USD]]</f>
        <v>87965851.25</v>
      </c>
      <c r="T960">
        <v>5</v>
      </c>
      <c r="U960">
        <v>1385</v>
      </c>
      <c r="V960">
        <v>3</v>
      </c>
    </row>
    <row r="961" spans="1:22" x14ac:dyDescent="0.35">
      <c r="A961">
        <v>960</v>
      </c>
      <c r="B961" t="s">
        <v>24</v>
      </c>
      <c r="C961" t="s">
        <v>328</v>
      </c>
      <c r="D961">
        <v>2015</v>
      </c>
      <c r="E961" t="s">
        <v>133</v>
      </c>
      <c r="F961">
        <v>79.900000000000006</v>
      </c>
      <c r="G961" t="s">
        <v>351</v>
      </c>
      <c r="H961">
        <f>electric_vehicles_dataset[[#This Row],[Battery_Capacity_kWh]]/electric_vehicles_dataset[[#This Row],[Range_km]]</f>
        <v>0.15697445972495089</v>
      </c>
      <c r="I961">
        <v>509</v>
      </c>
      <c r="J961" t="s">
        <v>356</v>
      </c>
      <c r="K961">
        <v>8</v>
      </c>
      <c r="L961" s="1">
        <v>77402.03</v>
      </c>
      <c r="M961" s="1" t="str" cm="1">
        <f t="array" ref="M96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61" t="s">
        <v>19</v>
      </c>
      <c r="O961" t="s">
        <v>164</v>
      </c>
      <c r="P961" s="2" t="s">
        <v>394</v>
      </c>
      <c r="Q961">
        <v>3</v>
      </c>
      <c r="R961" t="s">
        <v>397</v>
      </c>
      <c r="S961" s="1">
        <f>electric_vehicles_dataset[[#This Row],[Units_Sold_2024]]*electric_vehicles_dataset[[#This Row],[Price_USD]]</f>
        <v>1535733677.23</v>
      </c>
      <c r="T961">
        <v>4</v>
      </c>
      <c r="U961">
        <v>19841</v>
      </c>
      <c r="V961">
        <v>5</v>
      </c>
    </row>
    <row r="962" spans="1:22" x14ac:dyDescent="0.35">
      <c r="A962">
        <v>961</v>
      </c>
      <c r="B962" t="s">
        <v>215</v>
      </c>
      <c r="C962" t="s">
        <v>377</v>
      </c>
      <c r="D962">
        <v>2019</v>
      </c>
      <c r="E962" t="s">
        <v>47</v>
      </c>
      <c r="F962">
        <v>141.80000000000001</v>
      </c>
      <c r="G962" t="s">
        <v>386</v>
      </c>
      <c r="H962">
        <f>electric_vehicles_dataset[[#This Row],[Battery_Capacity_kWh]]/electric_vehicles_dataset[[#This Row],[Range_km]]</f>
        <v>0.76648648648648654</v>
      </c>
      <c r="I962">
        <v>185</v>
      </c>
      <c r="J962" t="s">
        <v>356</v>
      </c>
      <c r="K962">
        <v>2</v>
      </c>
      <c r="L962" s="1">
        <v>34370</v>
      </c>
      <c r="M962" s="1" t="str" cm="1">
        <f t="array" ref="M96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62" t="s">
        <v>228</v>
      </c>
      <c r="O962" t="s">
        <v>139</v>
      </c>
      <c r="P962" s="2" t="s">
        <v>389</v>
      </c>
      <c r="Q962">
        <v>2</v>
      </c>
      <c r="R962" t="s">
        <v>391</v>
      </c>
      <c r="S962" s="1">
        <f>electric_vehicles_dataset[[#This Row],[Units_Sold_2024]]*electric_vehicles_dataset[[#This Row],[Price_USD]]</f>
        <v>423369660</v>
      </c>
      <c r="T962">
        <v>4</v>
      </c>
      <c r="U962">
        <v>12318</v>
      </c>
      <c r="V962">
        <v>4</v>
      </c>
    </row>
    <row r="963" spans="1:22" x14ac:dyDescent="0.35">
      <c r="A963">
        <v>962</v>
      </c>
      <c r="B963" t="s">
        <v>187</v>
      </c>
      <c r="C963" t="s">
        <v>188</v>
      </c>
      <c r="D963">
        <v>2020</v>
      </c>
      <c r="E963" t="s">
        <v>130</v>
      </c>
      <c r="F963">
        <v>45.8</v>
      </c>
      <c r="G963" t="s">
        <v>348</v>
      </c>
      <c r="H963">
        <f>electric_vehicles_dataset[[#This Row],[Battery_Capacity_kWh]]/electric_vehicles_dataset[[#This Row],[Range_km]]</f>
        <v>0.42407407407407405</v>
      </c>
      <c r="I963">
        <v>108</v>
      </c>
      <c r="J963" t="s">
        <v>359</v>
      </c>
      <c r="K963">
        <v>6</v>
      </c>
      <c r="L963" s="1">
        <v>106614.44</v>
      </c>
      <c r="M963" s="1" t="str" cm="1">
        <f t="array" ref="M96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63" t="s">
        <v>240</v>
      </c>
      <c r="O963" t="s">
        <v>236</v>
      </c>
      <c r="P963" s="2" t="s">
        <v>394</v>
      </c>
      <c r="Q963">
        <v>5</v>
      </c>
      <c r="R963" t="s">
        <v>392</v>
      </c>
      <c r="S963" s="1">
        <f>electric_vehicles_dataset[[#This Row],[Units_Sold_2024]]*electric_vehicles_dataset[[#This Row],[Price_USD]]</f>
        <v>854088278.84000003</v>
      </c>
      <c r="T963">
        <v>4</v>
      </c>
      <c r="U963">
        <v>8011</v>
      </c>
      <c r="V963">
        <v>3</v>
      </c>
    </row>
    <row r="964" spans="1:22" x14ac:dyDescent="0.35">
      <c r="A964">
        <v>963</v>
      </c>
      <c r="B964" t="s">
        <v>144</v>
      </c>
      <c r="C964" t="s">
        <v>273</v>
      </c>
      <c r="D964">
        <v>2022</v>
      </c>
      <c r="E964" t="s">
        <v>133</v>
      </c>
      <c r="F964">
        <v>83.3</v>
      </c>
      <c r="G964" t="s">
        <v>350</v>
      </c>
      <c r="H964">
        <f>electric_vehicles_dataset[[#This Row],[Battery_Capacity_kWh]]/electric_vehicles_dataset[[#This Row],[Range_km]]</f>
        <v>0.24644970414201184</v>
      </c>
      <c r="I964">
        <v>338</v>
      </c>
      <c r="J964" t="s">
        <v>345</v>
      </c>
      <c r="K964">
        <v>5</v>
      </c>
      <c r="L964" s="1">
        <v>54563.09</v>
      </c>
      <c r="M964" s="1" t="str" cm="1">
        <f t="array" ref="M96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64" t="s">
        <v>131</v>
      </c>
      <c r="O964" t="s">
        <v>169</v>
      </c>
      <c r="P964" s="2" t="s">
        <v>394</v>
      </c>
      <c r="Q964">
        <v>1</v>
      </c>
      <c r="R964" t="s">
        <v>391</v>
      </c>
      <c r="S964" s="1">
        <f>electric_vehicles_dataset[[#This Row],[Units_Sold_2024]]*electric_vehicles_dataset[[#This Row],[Price_USD]]</f>
        <v>528170711.19999999</v>
      </c>
      <c r="T964">
        <v>3</v>
      </c>
      <c r="U964">
        <v>9680</v>
      </c>
      <c r="V964">
        <v>4</v>
      </c>
    </row>
    <row r="965" spans="1:22" x14ac:dyDescent="0.35">
      <c r="A965">
        <v>964</v>
      </c>
      <c r="B965" t="s">
        <v>71</v>
      </c>
      <c r="C965" t="s">
        <v>330</v>
      </c>
      <c r="D965">
        <v>2022</v>
      </c>
      <c r="E965" t="s">
        <v>53</v>
      </c>
      <c r="F965">
        <v>70.3</v>
      </c>
      <c r="G965" t="s">
        <v>351</v>
      </c>
      <c r="H965">
        <f>electric_vehicles_dataset[[#This Row],[Battery_Capacity_kWh]]/electric_vehicles_dataset[[#This Row],[Range_km]]</f>
        <v>0.16198156682027648</v>
      </c>
      <c r="I965">
        <v>434</v>
      </c>
      <c r="J965" t="s">
        <v>358</v>
      </c>
      <c r="K965">
        <v>1</v>
      </c>
      <c r="L965" s="1">
        <v>65274.12</v>
      </c>
      <c r="M965" s="1" t="str" cm="1">
        <f t="array" ref="M96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65" t="s">
        <v>257</v>
      </c>
      <c r="O965" t="s">
        <v>206</v>
      </c>
      <c r="P965" s="2" t="s">
        <v>394</v>
      </c>
      <c r="Q965">
        <v>0</v>
      </c>
      <c r="R965" t="s">
        <v>390</v>
      </c>
      <c r="S965" s="1">
        <f>electric_vehicles_dataset[[#This Row],[Units_Sold_2024]]*electric_vehicles_dataset[[#This Row],[Price_USD]]</f>
        <v>144908546.40000001</v>
      </c>
      <c r="T965">
        <v>4</v>
      </c>
      <c r="U965">
        <v>2220</v>
      </c>
      <c r="V965">
        <v>4</v>
      </c>
    </row>
    <row r="966" spans="1:22" x14ac:dyDescent="0.35">
      <c r="A966">
        <v>965</v>
      </c>
      <c r="B966" t="s">
        <v>313</v>
      </c>
      <c r="C966" t="s">
        <v>314</v>
      </c>
      <c r="D966">
        <v>2019</v>
      </c>
      <c r="E966" t="s">
        <v>53</v>
      </c>
      <c r="F966">
        <v>85.9</v>
      </c>
      <c r="G966" t="s">
        <v>350</v>
      </c>
      <c r="H966">
        <f>electric_vehicles_dataset[[#This Row],[Battery_Capacity_kWh]]/electric_vehicles_dataset[[#This Row],[Range_km]]</f>
        <v>0.8180952380952381</v>
      </c>
      <c r="I966">
        <v>105</v>
      </c>
      <c r="J966" t="s">
        <v>48</v>
      </c>
      <c r="K966">
        <v>2</v>
      </c>
      <c r="L966" s="1">
        <v>115332.6</v>
      </c>
      <c r="M966" s="1" t="str" cm="1">
        <f t="array" ref="M9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66" t="s">
        <v>49</v>
      </c>
      <c r="O966" t="s">
        <v>67</v>
      </c>
      <c r="P966" s="2" t="s">
        <v>394</v>
      </c>
      <c r="Q966">
        <v>0</v>
      </c>
      <c r="R966" t="s">
        <v>390</v>
      </c>
      <c r="S966" s="1">
        <f>electric_vehicles_dataset[[#This Row],[Units_Sold_2024]]*electric_vehicles_dataset[[#This Row],[Price_USD]]</f>
        <v>1694351226.6000001</v>
      </c>
      <c r="T966">
        <v>3</v>
      </c>
      <c r="U966">
        <v>14691</v>
      </c>
      <c r="V966">
        <v>4</v>
      </c>
    </row>
    <row r="967" spans="1:22" x14ac:dyDescent="0.35">
      <c r="A967">
        <v>966</v>
      </c>
      <c r="B967" t="s">
        <v>313</v>
      </c>
      <c r="C967" t="s">
        <v>314</v>
      </c>
      <c r="D967">
        <v>2020</v>
      </c>
      <c r="E967" t="s">
        <v>90</v>
      </c>
      <c r="F967">
        <v>62.5</v>
      </c>
      <c r="G967" t="s">
        <v>351</v>
      </c>
      <c r="H967">
        <f>electric_vehicles_dataset[[#This Row],[Battery_Capacity_kWh]]/electric_vehicles_dataset[[#This Row],[Range_km]]</f>
        <v>0.2170138888888889</v>
      </c>
      <c r="I967">
        <v>288</v>
      </c>
      <c r="J967" t="s">
        <v>27</v>
      </c>
      <c r="K967">
        <v>10</v>
      </c>
      <c r="L967" s="1">
        <v>100274.54</v>
      </c>
      <c r="M967" s="1" t="str" cm="1">
        <f t="array" ref="M96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67" t="s">
        <v>172</v>
      </c>
      <c r="O967" t="s">
        <v>230</v>
      </c>
      <c r="P967" s="2" t="s">
        <v>389</v>
      </c>
      <c r="Q967">
        <v>4</v>
      </c>
      <c r="R967" t="s">
        <v>392</v>
      </c>
      <c r="S967" s="1">
        <f>electric_vehicles_dataset[[#This Row],[Units_Sold_2024]]*electric_vehicles_dataset[[#This Row],[Price_USD]]</f>
        <v>1860894913.3199999</v>
      </c>
      <c r="T967">
        <v>5</v>
      </c>
      <c r="U967">
        <v>18558</v>
      </c>
      <c r="V967">
        <v>5</v>
      </c>
    </row>
    <row r="968" spans="1:22" x14ac:dyDescent="0.35">
      <c r="A968">
        <v>967</v>
      </c>
      <c r="B968" t="s">
        <v>29</v>
      </c>
      <c r="C968" t="s">
        <v>197</v>
      </c>
      <c r="D968">
        <v>2021</v>
      </c>
      <c r="E968" t="s">
        <v>104</v>
      </c>
      <c r="F968">
        <v>105.9</v>
      </c>
      <c r="G968" t="s">
        <v>361</v>
      </c>
      <c r="H968">
        <f>electric_vehicles_dataset[[#This Row],[Battery_Capacity_kWh]]/electric_vehicles_dataset[[#This Row],[Range_km]]</f>
        <v>0.32584615384615384</v>
      </c>
      <c r="I968">
        <v>325</v>
      </c>
      <c r="J968" t="s">
        <v>105</v>
      </c>
      <c r="K968">
        <v>2</v>
      </c>
      <c r="L968" s="1">
        <v>121453.05</v>
      </c>
      <c r="M968" s="1" t="str" cm="1">
        <f t="array" ref="M96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68" t="s">
        <v>55</v>
      </c>
      <c r="O968" t="s">
        <v>20</v>
      </c>
      <c r="P968" s="2" t="s">
        <v>389</v>
      </c>
      <c r="Q968">
        <v>2</v>
      </c>
      <c r="R968" t="s">
        <v>391</v>
      </c>
      <c r="S968" s="1">
        <f>electric_vehicles_dataset[[#This Row],[Units_Sold_2024]]*electric_vehicles_dataset[[#This Row],[Price_USD]]</f>
        <v>1205421521.25</v>
      </c>
      <c r="T968">
        <v>4</v>
      </c>
      <c r="U968">
        <v>9925</v>
      </c>
      <c r="V968">
        <v>3</v>
      </c>
    </row>
    <row r="969" spans="1:22" x14ac:dyDescent="0.35">
      <c r="A969">
        <v>968</v>
      </c>
      <c r="B969" t="s">
        <v>60</v>
      </c>
      <c r="C969" t="s">
        <v>342</v>
      </c>
      <c r="D969">
        <v>2021</v>
      </c>
      <c r="E969" t="s">
        <v>90</v>
      </c>
      <c r="F969">
        <v>45.2</v>
      </c>
      <c r="G969" t="s">
        <v>348</v>
      </c>
      <c r="H969">
        <f>electric_vehicles_dataset[[#This Row],[Battery_Capacity_kWh]]/electric_vehicles_dataset[[#This Row],[Range_km]]</f>
        <v>8.8801571709233793E-2</v>
      </c>
      <c r="I969">
        <v>509</v>
      </c>
      <c r="J969" t="s">
        <v>18</v>
      </c>
      <c r="K969">
        <v>5</v>
      </c>
      <c r="L969" s="1">
        <v>98182.42</v>
      </c>
      <c r="M969" s="1" t="str" cm="1">
        <f t="array" ref="M9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69" t="s">
        <v>205</v>
      </c>
      <c r="O969" t="s">
        <v>115</v>
      </c>
      <c r="P969" s="2" t="s">
        <v>396</v>
      </c>
      <c r="Q969">
        <v>1</v>
      </c>
      <c r="R969" t="s">
        <v>391</v>
      </c>
      <c r="S969" s="1">
        <f>electric_vehicles_dataset[[#This Row],[Units_Sold_2024]]*electric_vehicles_dataset[[#This Row],[Price_USD]]</f>
        <v>212564939.29999998</v>
      </c>
      <c r="T969">
        <v>4</v>
      </c>
      <c r="U969">
        <v>2165</v>
      </c>
      <c r="V969">
        <v>3</v>
      </c>
    </row>
    <row r="970" spans="1:22" x14ac:dyDescent="0.35">
      <c r="A970">
        <v>969</v>
      </c>
      <c r="B970" t="s">
        <v>45</v>
      </c>
      <c r="C970" t="s">
        <v>132</v>
      </c>
      <c r="D970">
        <v>2025</v>
      </c>
      <c r="E970" t="s">
        <v>130</v>
      </c>
      <c r="F970">
        <v>34.9</v>
      </c>
      <c r="G970" t="s">
        <v>357</v>
      </c>
      <c r="H970">
        <f>electric_vehicles_dataset[[#This Row],[Battery_Capacity_kWh]]/electric_vehicles_dataset[[#This Row],[Range_km]]</f>
        <v>7.8959276018099545E-2</v>
      </c>
      <c r="I970">
        <v>442</v>
      </c>
      <c r="J970" t="s">
        <v>345</v>
      </c>
      <c r="K970">
        <v>10</v>
      </c>
      <c r="L970" s="1">
        <v>71128.460000000006</v>
      </c>
      <c r="M970" s="1" t="str" cm="1">
        <f t="array" ref="M9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70" t="s">
        <v>254</v>
      </c>
      <c r="O970" t="s">
        <v>33</v>
      </c>
      <c r="P970" s="2" t="s">
        <v>393</v>
      </c>
      <c r="Q970">
        <v>2</v>
      </c>
      <c r="R970" t="s">
        <v>391</v>
      </c>
      <c r="S970" s="1">
        <f>electric_vehicles_dataset[[#This Row],[Units_Sold_2024]]*electric_vehicles_dataset[[#This Row],[Price_USD]]</f>
        <v>770534607.18000007</v>
      </c>
      <c r="T970">
        <v>5</v>
      </c>
      <c r="U970">
        <v>10833</v>
      </c>
      <c r="V970">
        <v>5</v>
      </c>
    </row>
    <row r="971" spans="1:22" x14ac:dyDescent="0.35">
      <c r="A971">
        <v>970</v>
      </c>
      <c r="B971" t="s">
        <v>68</v>
      </c>
      <c r="C971" t="s">
        <v>69</v>
      </c>
      <c r="D971">
        <v>2023</v>
      </c>
      <c r="E971" t="s">
        <v>101</v>
      </c>
      <c r="F971">
        <v>106.8</v>
      </c>
      <c r="G971" t="s">
        <v>361</v>
      </c>
      <c r="H971">
        <f>electric_vehicles_dataset[[#This Row],[Battery_Capacity_kWh]]/electric_vehicles_dataset[[#This Row],[Range_km]]</f>
        <v>0.20265654648956355</v>
      </c>
      <c r="I971">
        <v>527</v>
      </c>
      <c r="J971" t="s">
        <v>105</v>
      </c>
      <c r="K971">
        <v>10</v>
      </c>
      <c r="L971" s="1">
        <v>123395.53</v>
      </c>
      <c r="M971" s="1" t="str" cm="1">
        <f t="array" ref="M97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71" t="s">
        <v>100</v>
      </c>
      <c r="O971" t="s">
        <v>159</v>
      </c>
      <c r="P971" s="2" t="s">
        <v>389</v>
      </c>
      <c r="Q971">
        <v>3</v>
      </c>
      <c r="R971" t="s">
        <v>397</v>
      </c>
      <c r="S971" s="1">
        <f>electric_vehicles_dataset[[#This Row],[Units_Sold_2024]]*electric_vehicles_dataset[[#This Row],[Price_USD]]</f>
        <v>1215322574.97</v>
      </c>
      <c r="T971">
        <v>5</v>
      </c>
      <c r="U971">
        <v>9849</v>
      </c>
      <c r="V971">
        <v>4</v>
      </c>
    </row>
    <row r="972" spans="1:22" x14ac:dyDescent="0.35">
      <c r="A972">
        <v>971</v>
      </c>
      <c r="B972" t="s">
        <v>259</v>
      </c>
      <c r="C972" t="s">
        <v>260</v>
      </c>
      <c r="D972">
        <v>2015</v>
      </c>
      <c r="E972" t="s">
        <v>90</v>
      </c>
      <c r="F972">
        <v>59</v>
      </c>
      <c r="G972" t="s">
        <v>348</v>
      </c>
      <c r="H972">
        <f>electric_vehicles_dataset[[#This Row],[Battery_Capacity_kWh]]/electric_vehicles_dataset[[#This Row],[Range_km]]</f>
        <v>0.10905730129390019</v>
      </c>
      <c r="I972">
        <v>541</v>
      </c>
      <c r="J972" t="s">
        <v>105</v>
      </c>
      <c r="K972">
        <v>2</v>
      </c>
      <c r="L972" s="1">
        <v>47756.639999999999</v>
      </c>
      <c r="M972" s="1" t="str" cm="1">
        <f t="array" ref="M9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72" t="s">
        <v>102</v>
      </c>
      <c r="O972" t="s">
        <v>159</v>
      </c>
      <c r="P972" s="2" t="s">
        <v>389</v>
      </c>
      <c r="Q972">
        <v>1</v>
      </c>
      <c r="R972" t="s">
        <v>391</v>
      </c>
      <c r="S972" s="1">
        <f>electric_vehicles_dataset[[#This Row],[Units_Sold_2024]]*electric_vehicles_dataset[[#This Row],[Price_USD]]</f>
        <v>848492222.88</v>
      </c>
      <c r="T972">
        <v>3</v>
      </c>
      <c r="U972">
        <v>17767</v>
      </c>
      <c r="V972">
        <v>5</v>
      </c>
    </row>
    <row r="973" spans="1:22" x14ac:dyDescent="0.35">
      <c r="A973">
        <v>972</v>
      </c>
      <c r="B973" t="s">
        <v>187</v>
      </c>
      <c r="C973" t="s">
        <v>293</v>
      </c>
      <c r="D973">
        <v>2021</v>
      </c>
      <c r="E973" t="s">
        <v>42</v>
      </c>
      <c r="F973">
        <v>93.7</v>
      </c>
      <c r="G973" t="s">
        <v>350</v>
      </c>
      <c r="H973">
        <f>electric_vehicles_dataset[[#This Row],[Battery_Capacity_kWh]]/electric_vehicles_dataset[[#This Row],[Range_km]]</f>
        <v>0.37035573122529647</v>
      </c>
      <c r="I973">
        <v>253</v>
      </c>
      <c r="J973" t="s">
        <v>364</v>
      </c>
      <c r="K973">
        <v>3</v>
      </c>
      <c r="L973" s="1">
        <v>104766.98</v>
      </c>
      <c r="M973" s="1" t="str" cm="1">
        <f t="array" ref="M97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73" t="s">
        <v>117</v>
      </c>
      <c r="O973" t="s">
        <v>92</v>
      </c>
      <c r="P973" s="2" t="s">
        <v>394</v>
      </c>
      <c r="Q973">
        <v>0</v>
      </c>
      <c r="R973" t="s">
        <v>390</v>
      </c>
      <c r="S973" s="1">
        <f>electric_vehicles_dataset[[#This Row],[Units_Sold_2024]]*electric_vehicles_dataset[[#This Row],[Price_USD]]</f>
        <v>1422002219.54</v>
      </c>
      <c r="T973">
        <v>3</v>
      </c>
      <c r="U973">
        <v>13573</v>
      </c>
      <c r="V973">
        <v>4</v>
      </c>
    </row>
    <row r="974" spans="1:22" x14ac:dyDescent="0.35">
      <c r="A974">
        <v>973</v>
      </c>
      <c r="B974" t="s">
        <v>144</v>
      </c>
      <c r="C974" t="s">
        <v>145</v>
      </c>
      <c r="D974">
        <v>2020</v>
      </c>
      <c r="E974" t="s">
        <v>58</v>
      </c>
      <c r="F974">
        <v>60</v>
      </c>
      <c r="G974" t="s">
        <v>348</v>
      </c>
      <c r="H974">
        <f>electric_vehicles_dataset[[#This Row],[Battery_Capacity_kWh]]/electric_vehicles_dataset[[#This Row],[Range_km]]</f>
        <v>0.17191977077363896</v>
      </c>
      <c r="I974">
        <v>349</v>
      </c>
      <c r="J974" t="s">
        <v>356</v>
      </c>
      <c r="K974">
        <v>11</v>
      </c>
      <c r="L974" s="1">
        <v>77561.36</v>
      </c>
      <c r="M974" s="1" t="str" cm="1">
        <f t="array" ref="M97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74" t="s">
        <v>205</v>
      </c>
      <c r="O974" t="s">
        <v>164</v>
      </c>
      <c r="P974" s="2" t="s">
        <v>394</v>
      </c>
      <c r="Q974">
        <v>1</v>
      </c>
      <c r="R974" t="s">
        <v>391</v>
      </c>
      <c r="S974" s="1">
        <f>electric_vehicles_dataset[[#This Row],[Units_Sold_2024]]*electric_vehicles_dataset[[#This Row],[Price_USD]]</f>
        <v>854183257.67999995</v>
      </c>
      <c r="T974">
        <v>3</v>
      </c>
      <c r="U974">
        <v>11013</v>
      </c>
      <c r="V974">
        <v>3</v>
      </c>
    </row>
    <row r="975" spans="1:22" x14ac:dyDescent="0.35">
      <c r="A975">
        <v>974</v>
      </c>
      <c r="B975" t="s">
        <v>157</v>
      </c>
      <c r="C975" t="s">
        <v>158</v>
      </c>
      <c r="D975">
        <v>2024</v>
      </c>
      <c r="E975" t="s">
        <v>42</v>
      </c>
      <c r="F975">
        <v>130.9</v>
      </c>
      <c r="G975" t="s">
        <v>352</v>
      </c>
      <c r="H975">
        <f>electric_vehicles_dataset[[#This Row],[Battery_Capacity_kWh]]/electric_vehicles_dataset[[#This Row],[Range_km]]</f>
        <v>0.86688741721854312</v>
      </c>
      <c r="I975">
        <v>151</v>
      </c>
      <c r="J975" t="s">
        <v>364</v>
      </c>
      <c r="K975">
        <v>1</v>
      </c>
      <c r="L975" s="1">
        <v>118491.62</v>
      </c>
      <c r="M975" s="1" t="str" cm="1">
        <f t="array" ref="M9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75" t="s">
        <v>240</v>
      </c>
      <c r="O975" t="s">
        <v>107</v>
      </c>
      <c r="P975" s="2" t="s">
        <v>394</v>
      </c>
      <c r="Q975">
        <v>0</v>
      </c>
      <c r="R975" t="s">
        <v>390</v>
      </c>
      <c r="S975" s="1">
        <f>electric_vehicles_dataset[[#This Row],[Units_Sold_2024]]*electric_vehicles_dataset[[#This Row],[Price_USD]]</f>
        <v>589732792.74000001</v>
      </c>
      <c r="T975">
        <v>5</v>
      </c>
      <c r="U975">
        <v>4977</v>
      </c>
      <c r="V975">
        <v>3</v>
      </c>
    </row>
    <row r="976" spans="1:22" x14ac:dyDescent="0.35">
      <c r="A976">
        <v>975</v>
      </c>
      <c r="B976" t="s">
        <v>79</v>
      </c>
      <c r="C976" t="s">
        <v>80</v>
      </c>
      <c r="D976">
        <v>2017</v>
      </c>
      <c r="E976" t="s">
        <v>84</v>
      </c>
      <c r="F976">
        <v>37.4</v>
      </c>
      <c r="G976" t="s">
        <v>357</v>
      </c>
      <c r="H976">
        <f>electric_vehicles_dataset[[#This Row],[Battery_Capacity_kWh]]/electric_vehicles_dataset[[#This Row],[Range_km]]</f>
        <v>7.0433145009416193E-2</v>
      </c>
      <c r="I976">
        <v>531</v>
      </c>
      <c r="J976" t="s">
        <v>149</v>
      </c>
      <c r="K976">
        <v>8</v>
      </c>
      <c r="L976" s="1">
        <v>140170.03</v>
      </c>
      <c r="M976" s="1" t="str" cm="1">
        <f t="array" ref="M97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76" t="s">
        <v>35</v>
      </c>
      <c r="O976" t="s">
        <v>202</v>
      </c>
      <c r="P976" s="2" t="s">
        <v>393</v>
      </c>
      <c r="Q976">
        <v>0</v>
      </c>
      <c r="R976" t="s">
        <v>390</v>
      </c>
      <c r="S976" s="1">
        <f>electric_vehicles_dataset[[#This Row],[Units_Sold_2024]]*electric_vehicles_dataset[[#This Row],[Price_USD]]</f>
        <v>459056848.25</v>
      </c>
      <c r="T976">
        <v>4</v>
      </c>
      <c r="U976">
        <v>3275</v>
      </c>
      <c r="V976">
        <v>3</v>
      </c>
    </row>
    <row r="977" spans="1:22" x14ac:dyDescent="0.35">
      <c r="A977">
        <v>976</v>
      </c>
      <c r="B977" t="s">
        <v>41</v>
      </c>
      <c r="C977" t="s">
        <v>380</v>
      </c>
      <c r="D977">
        <v>2015</v>
      </c>
      <c r="E977" t="s">
        <v>90</v>
      </c>
      <c r="F977">
        <v>20</v>
      </c>
      <c r="G977" t="s">
        <v>357</v>
      </c>
      <c r="H977">
        <f>electric_vehicles_dataset[[#This Row],[Battery_Capacity_kWh]]/electric_vehicles_dataset[[#This Row],[Range_km]]</f>
        <v>3.4965034965034968E-2</v>
      </c>
      <c r="I977">
        <v>572</v>
      </c>
      <c r="J977" t="s">
        <v>359</v>
      </c>
      <c r="K977">
        <v>10</v>
      </c>
      <c r="L977" s="1">
        <v>137646.74</v>
      </c>
      <c r="M977" s="1" t="str" cm="1">
        <f t="array" ref="M97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77" t="s">
        <v>257</v>
      </c>
      <c r="O977" t="s">
        <v>230</v>
      </c>
      <c r="P977" s="2" t="s">
        <v>389</v>
      </c>
      <c r="Q977">
        <v>0</v>
      </c>
      <c r="R977" t="s">
        <v>390</v>
      </c>
      <c r="S977" s="1">
        <f>electric_vehicles_dataset[[#This Row],[Units_Sold_2024]]*electric_vehicles_dataset[[#This Row],[Price_USD]]</f>
        <v>323194545.51999998</v>
      </c>
      <c r="T977">
        <v>5</v>
      </c>
      <c r="U977">
        <v>2348</v>
      </c>
      <c r="V977">
        <v>5</v>
      </c>
    </row>
    <row r="978" spans="1:22" x14ac:dyDescent="0.35">
      <c r="A978">
        <v>977</v>
      </c>
      <c r="B978" t="s">
        <v>176</v>
      </c>
      <c r="C978" t="s">
        <v>326</v>
      </c>
      <c r="D978">
        <v>2016</v>
      </c>
      <c r="E978" t="s">
        <v>130</v>
      </c>
      <c r="F978">
        <v>98.8</v>
      </c>
      <c r="G978" t="s">
        <v>350</v>
      </c>
      <c r="H978">
        <f>electric_vehicles_dataset[[#This Row],[Battery_Capacity_kWh]]/electric_vehicles_dataset[[#This Row],[Range_km]]</f>
        <v>0.42403433476394847</v>
      </c>
      <c r="I978">
        <v>233</v>
      </c>
      <c r="J978" t="s">
        <v>85</v>
      </c>
      <c r="K978">
        <v>8</v>
      </c>
      <c r="L978" s="1">
        <v>113993.13</v>
      </c>
      <c r="M978" s="1" t="str" cm="1">
        <f t="array" ref="M9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78" t="s">
        <v>175</v>
      </c>
      <c r="O978" t="s">
        <v>230</v>
      </c>
      <c r="P978" s="2" t="s">
        <v>389</v>
      </c>
      <c r="Q978">
        <v>5</v>
      </c>
      <c r="R978" t="s">
        <v>392</v>
      </c>
      <c r="S978" s="1">
        <f>electric_vehicles_dataset[[#This Row],[Units_Sold_2024]]*electric_vehicles_dataset[[#This Row],[Price_USD]]</f>
        <v>608039355.42000008</v>
      </c>
      <c r="T978">
        <v>4</v>
      </c>
      <c r="U978">
        <v>5334</v>
      </c>
      <c r="V978">
        <v>5</v>
      </c>
    </row>
    <row r="979" spans="1:22" x14ac:dyDescent="0.35">
      <c r="A979">
        <v>978</v>
      </c>
      <c r="B979" t="s">
        <v>173</v>
      </c>
      <c r="C979" t="s">
        <v>174</v>
      </c>
      <c r="D979">
        <v>2020</v>
      </c>
      <c r="E979" t="s">
        <v>47</v>
      </c>
      <c r="F979">
        <v>59.8</v>
      </c>
      <c r="G979" t="s">
        <v>348</v>
      </c>
      <c r="H979">
        <f>electric_vehicles_dataset[[#This Row],[Battery_Capacity_kWh]]/electric_vehicles_dataset[[#This Row],[Range_km]]</f>
        <v>0.13778801843317973</v>
      </c>
      <c r="I979">
        <v>434</v>
      </c>
      <c r="J979" t="s">
        <v>34</v>
      </c>
      <c r="K979">
        <v>5</v>
      </c>
      <c r="L979" s="1">
        <v>141659.65</v>
      </c>
      <c r="M979" s="1" t="str" cm="1">
        <f t="array" ref="M97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79" t="s">
        <v>81</v>
      </c>
      <c r="O979" t="s">
        <v>111</v>
      </c>
      <c r="P979" s="2" t="s">
        <v>389</v>
      </c>
      <c r="Q979">
        <v>1</v>
      </c>
      <c r="R979" t="s">
        <v>391</v>
      </c>
      <c r="S979" s="1">
        <f>electric_vehicles_dataset[[#This Row],[Units_Sold_2024]]*electric_vehicles_dataset[[#This Row],[Price_USD]]</f>
        <v>170699878.25</v>
      </c>
      <c r="T979">
        <v>3</v>
      </c>
      <c r="U979">
        <v>1205</v>
      </c>
      <c r="V979">
        <v>3</v>
      </c>
    </row>
    <row r="980" spans="1:22" x14ac:dyDescent="0.35">
      <c r="A980">
        <v>979</v>
      </c>
      <c r="B980" t="s">
        <v>71</v>
      </c>
      <c r="C980" t="s">
        <v>255</v>
      </c>
      <c r="D980">
        <v>2016</v>
      </c>
      <c r="E980" t="s">
        <v>101</v>
      </c>
      <c r="F980">
        <v>34</v>
      </c>
      <c r="G980" t="s">
        <v>357</v>
      </c>
      <c r="H980">
        <f>electric_vehicles_dataset[[#This Row],[Battery_Capacity_kWh]]/electric_vehicles_dataset[[#This Row],[Range_km]]</f>
        <v>0.10334346504559271</v>
      </c>
      <c r="I980">
        <v>329</v>
      </c>
      <c r="J980" t="s">
        <v>18</v>
      </c>
      <c r="K980">
        <v>2</v>
      </c>
      <c r="L980" s="1">
        <v>38813.06</v>
      </c>
      <c r="M980" s="1" t="str" cm="1">
        <f t="array" ref="M9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80" t="s">
        <v>168</v>
      </c>
      <c r="O980" t="s">
        <v>50</v>
      </c>
      <c r="P980" s="2" t="s">
        <v>396</v>
      </c>
      <c r="Q980">
        <v>4</v>
      </c>
      <c r="R980" t="s">
        <v>392</v>
      </c>
      <c r="S980" s="1">
        <f>electric_vehicles_dataset[[#This Row],[Units_Sold_2024]]*electric_vehicles_dataset[[#This Row],[Price_USD]]</f>
        <v>155912062.01999998</v>
      </c>
      <c r="T980">
        <v>4</v>
      </c>
      <c r="U980">
        <v>4017</v>
      </c>
      <c r="V980">
        <v>5</v>
      </c>
    </row>
    <row r="981" spans="1:22" x14ac:dyDescent="0.35">
      <c r="A981">
        <v>980</v>
      </c>
      <c r="B981" t="s">
        <v>68</v>
      </c>
      <c r="C981" t="s">
        <v>289</v>
      </c>
      <c r="D981">
        <v>2023</v>
      </c>
      <c r="E981" t="s">
        <v>17</v>
      </c>
      <c r="F981">
        <v>96.4</v>
      </c>
      <c r="G981" t="s">
        <v>350</v>
      </c>
      <c r="H981">
        <f>electric_vehicles_dataset[[#This Row],[Battery_Capacity_kWh]]/electric_vehicles_dataset[[#This Row],[Range_km]]</f>
        <v>0.16649395509499137</v>
      </c>
      <c r="I981">
        <v>579</v>
      </c>
      <c r="J981" t="s">
        <v>359</v>
      </c>
      <c r="K981">
        <v>11</v>
      </c>
      <c r="L981" s="1">
        <v>108741.8</v>
      </c>
      <c r="M981" s="1" t="str" cm="1">
        <f t="array" ref="M9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81" t="s">
        <v>165</v>
      </c>
      <c r="O981" t="s">
        <v>23</v>
      </c>
      <c r="P981" s="2" t="s">
        <v>389</v>
      </c>
      <c r="Q981">
        <v>2</v>
      </c>
      <c r="R981" t="s">
        <v>391</v>
      </c>
      <c r="S981" s="1">
        <f>electric_vehicles_dataset[[#This Row],[Units_Sold_2024]]*electric_vehicles_dataset[[#This Row],[Price_USD]]</f>
        <v>898533493.39999998</v>
      </c>
      <c r="T981">
        <v>4</v>
      </c>
      <c r="U981">
        <v>8263</v>
      </c>
      <c r="V981">
        <v>4</v>
      </c>
    </row>
    <row r="982" spans="1:22" x14ac:dyDescent="0.35">
      <c r="A982">
        <v>981</v>
      </c>
      <c r="B982" t="s">
        <v>120</v>
      </c>
      <c r="C982" t="s">
        <v>362</v>
      </c>
      <c r="D982">
        <v>2022</v>
      </c>
      <c r="E982" t="s">
        <v>73</v>
      </c>
      <c r="F982">
        <v>145.69999999999999</v>
      </c>
      <c r="G982" t="s">
        <v>386</v>
      </c>
      <c r="H982">
        <f>electric_vehicles_dataset[[#This Row],[Battery_Capacity_kWh]]/electric_vehicles_dataset[[#This Row],[Range_km]]</f>
        <v>0.29081836327345306</v>
      </c>
      <c r="I982">
        <v>501</v>
      </c>
      <c r="J982" t="s">
        <v>38</v>
      </c>
      <c r="K982">
        <v>6</v>
      </c>
      <c r="L982" s="1">
        <v>127893.74</v>
      </c>
      <c r="M982" s="1" t="str" cm="1">
        <f t="array" ref="M98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82" t="s">
        <v>277</v>
      </c>
      <c r="O982" t="s">
        <v>199</v>
      </c>
      <c r="P982" s="2" t="s">
        <v>394</v>
      </c>
      <c r="Q982">
        <v>4</v>
      </c>
      <c r="R982" t="s">
        <v>392</v>
      </c>
      <c r="S982" s="1">
        <f>electric_vehicles_dataset[[#This Row],[Units_Sold_2024]]*electric_vehicles_dataset[[#This Row],[Price_USD]]</f>
        <v>1050135499.14</v>
      </c>
      <c r="T982">
        <v>3</v>
      </c>
      <c r="U982">
        <v>8211</v>
      </c>
      <c r="V982">
        <v>4</v>
      </c>
    </row>
    <row r="983" spans="1:22" x14ac:dyDescent="0.35">
      <c r="A983">
        <v>982</v>
      </c>
      <c r="B983" t="s">
        <v>200</v>
      </c>
      <c r="C983" t="s">
        <v>368</v>
      </c>
      <c r="D983">
        <v>2020</v>
      </c>
      <c r="E983" t="s">
        <v>101</v>
      </c>
      <c r="F983">
        <v>25.5</v>
      </c>
      <c r="G983" t="s">
        <v>357</v>
      </c>
      <c r="H983">
        <f>electric_vehicles_dataset[[#This Row],[Battery_Capacity_kWh]]/electric_vehicles_dataset[[#This Row],[Range_km]]</f>
        <v>0.14912280701754385</v>
      </c>
      <c r="I983">
        <v>171</v>
      </c>
      <c r="J983" t="s">
        <v>353</v>
      </c>
      <c r="K983">
        <v>6</v>
      </c>
      <c r="L983" s="1">
        <v>89442.92</v>
      </c>
      <c r="M983" s="1" t="str" cm="1">
        <f t="array" ref="M98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983" t="s">
        <v>49</v>
      </c>
      <c r="O983" t="s">
        <v>63</v>
      </c>
      <c r="P983" s="2" t="s">
        <v>389</v>
      </c>
      <c r="Q983">
        <v>3</v>
      </c>
      <c r="R983" t="s">
        <v>397</v>
      </c>
      <c r="S983" s="1">
        <f>electric_vehicles_dataset[[#This Row],[Units_Sold_2024]]*electric_vehicles_dataset[[#This Row],[Price_USD]]</f>
        <v>1057215314.4</v>
      </c>
      <c r="T983">
        <v>4</v>
      </c>
      <c r="U983">
        <v>11820</v>
      </c>
      <c r="V983">
        <v>5</v>
      </c>
    </row>
    <row r="984" spans="1:22" x14ac:dyDescent="0.35">
      <c r="A984">
        <v>983</v>
      </c>
      <c r="B984" t="s">
        <v>313</v>
      </c>
      <c r="C984" t="s">
        <v>314</v>
      </c>
      <c r="D984">
        <v>2020</v>
      </c>
      <c r="E984" t="s">
        <v>84</v>
      </c>
      <c r="F984">
        <v>33.6</v>
      </c>
      <c r="G984" t="s">
        <v>357</v>
      </c>
      <c r="H984">
        <f>electric_vehicles_dataset[[#This Row],[Battery_Capacity_kWh]]/electric_vehicles_dataset[[#This Row],[Range_km]]</f>
        <v>6.7878787878787886E-2</v>
      </c>
      <c r="I984">
        <v>495</v>
      </c>
      <c r="J984" t="s">
        <v>359</v>
      </c>
      <c r="K984">
        <v>3</v>
      </c>
      <c r="L984" s="1">
        <v>69902.149999999994</v>
      </c>
      <c r="M984" s="1" t="str" cm="1">
        <f t="array" ref="M98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84" t="s">
        <v>117</v>
      </c>
      <c r="O984" t="s">
        <v>206</v>
      </c>
      <c r="P984" s="2" t="s">
        <v>394</v>
      </c>
      <c r="Q984">
        <v>3</v>
      </c>
      <c r="R984" t="s">
        <v>397</v>
      </c>
      <c r="S984" s="1">
        <f>electric_vehicles_dataset[[#This Row],[Units_Sold_2024]]*electric_vehicles_dataset[[#This Row],[Price_USD]]</f>
        <v>450449454.59999996</v>
      </c>
      <c r="T984">
        <v>5</v>
      </c>
      <c r="U984">
        <v>6444</v>
      </c>
      <c r="V984">
        <v>4</v>
      </c>
    </row>
    <row r="985" spans="1:22" x14ac:dyDescent="0.35">
      <c r="A985">
        <v>984</v>
      </c>
      <c r="B985" t="s">
        <v>193</v>
      </c>
      <c r="C985" t="s">
        <v>203</v>
      </c>
      <c r="D985">
        <v>2015</v>
      </c>
      <c r="E985" t="s">
        <v>130</v>
      </c>
      <c r="F985">
        <v>145.30000000000001</v>
      </c>
      <c r="G985" t="s">
        <v>386</v>
      </c>
      <c r="H985">
        <f>electric_vehicles_dataset[[#This Row],[Battery_Capacity_kWh]]/electric_vehicles_dataset[[#This Row],[Range_km]]</f>
        <v>0.36144278606965174</v>
      </c>
      <c r="I985">
        <v>402</v>
      </c>
      <c r="J985" t="s">
        <v>54</v>
      </c>
      <c r="K985">
        <v>7</v>
      </c>
      <c r="L985" s="1">
        <v>120692.83</v>
      </c>
      <c r="M985" s="1" t="str" cm="1">
        <f t="array" ref="M98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85" t="s">
        <v>210</v>
      </c>
      <c r="O985" t="s">
        <v>265</v>
      </c>
      <c r="P985" s="2" t="s">
        <v>389</v>
      </c>
      <c r="Q985">
        <v>3</v>
      </c>
      <c r="R985" t="s">
        <v>397</v>
      </c>
      <c r="S985" s="1">
        <f>electric_vehicles_dataset[[#This Row],[Units_Sold_2024]]*electric_vehicles_dataset[[#This Row],[Price_USD]]</f>
        <v>1876532120.8399999</v>
      </c>
      <c r="T985">
        <v>3</v>
      </c>
      <c r="U985">
        <v>15548</v>
      </c>
      <c r="V985">
        <v>4</v>
      </c>
    </row>
    <row r="986" spans="1:22" x14ac:dyDescent="0.35">
      <c r="A986">
        <v>985</v>
      </c>
      <c r="B986" t="s">
        <v>45</v>
      </c>
      <c r="C986" t="s">
        <v>46</v>
      </c>
      <c r="D986">
        <v>2024</v>
      </c>
      <c r="E986" t="s">
        <v>31</v>
      </c>
      <c r="F986">
        <v>140</v>
      </c>
      <c r="G986" t="s">
        <v>352</v>
      </c>
      <c r="H986">
        <f>electric_vehicles_dataset[[#This Row],[Battery_Capacity_kWh]]/electric_vehicles_dataset[[#This Row],[Range_km]]</f>
        <v>0.26565464895635671</v>
      </c>
      <c r="I986">
        <v>527</v>
      </c>
      <c r="J986" t="s">
        <v>353</v>
      </c>
      <c r="K986">
        <v>6</v>
      </c>
      <c r="L986" s="1">
        <v>66033.899999999994</v>
      </c>
      <c r="M986" s="1" t="str" cm="1">
        <f t="array" ref="M98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86" t="s">
        <v>39</v>
      </c>
      <c r="O986" t="s">
        <v>95</v>
      </c>
      <c r="P986" s="2" t="s">
        <v>394</v>
      </c>
      <c r="Q986">
        <v>5</v>
      </c>
      <c r="R986" t="s">
        <v>392</v>
      </c>
      <c r="S986" s="1">
        <f>electric_vehicles_dataset[[#This Row],[Units_Sold_2024]]*electric_vehicles_dataset[[#This Row],[Price_USD]]</f>
        <v>9244746</v>
      </c>
      <c r="T986">
        <v>4</v>
      </c>
      <c r="U986">
        <v>140</v>
      </c>
      <c r="V986">
        <v>5</v>
      </c>
    </row>
    <row r="987" spans="1:22" x14ac:dyDescent="0.35">
      <c r="A987">
        <v>986</v>
      </c>
      <c r="B987" t="s">
        <v>128</v>
      </c>
      <c r="C987" t="s">
        <v>284</v>
      </c>
      <c r="D987">
        <v>2018</v>
      </c>
      <c r="E987" t="s">
        <v>26</v>
      </c>
      <c r="F987">
        <v>78.400000000000006</v>
      </c>
      <c r="G987" t="s">
        <v>351</v>
      </c>
      <c r="H987">
        <f>electric_vehicles_dataset[[#This Row],[Battery_Capacity_kWh]]/electric_vehicles_dataset[[#This Row],[Range_km]]</f>
        <v>0.25874587458745879</v>
      </c>
      <c r="I987">
        <v>303</v>
      </c>
      <c r="J987" t="s">
        <v>76</v>
      </c>
      <c r="K987">
        <v>5</v>
      </c>
      <c r="L987" s="1">
        <v>145036.49</v>
      </c>
      <c r="M987" s="1" t="str" cm="1">
        <f t="array" ref="M98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87" t="s">
        <v>271</v>
      </c>
      <c r="O987" t="s">
        <v>134</v>
      </c>
      <c r="P987" s="2" t="s">
        <v>389</v>
      </c>
      <c r="Q987">
        <v>4</v>
      </c>
      <c r="R987" t="s">
        <v>392</v>
      </c>
      <c r="S987" s="1">
        <f>electric_vehicles_dataset[[#This Row],[Units_Sold_2024]]*electric_vehicles_dataset[[#This Row],[Price_USD]]</f>
        <v>1455151104.1699998</v>
      </c>
      <c r="T987">
        <v>4</v>
      </c>
      <c r="U987">
        <v>10033</v>
      </c>
      <c r="V987">
        <v>5</v>
      </c>
    </row>
    <row r="988" spans="1:22" x14ac:dyDescent="0.35">
      <c r="A988">
        <v>987</v>
      </c>
      <c r="B988" t="s">
        <v>68</v>
      </c>
      <c r="C988" t="s">
        <v>103</v>
      </c>
      <c r="D988">
        <v>2022</v>
      </c>
      <c r="E988" t="s">
        <v>90</v>
      </c>
      <c r="F988">
        <v>47.7</v>
      </c>
      <c r="G988" t="s">
        <v>348</v>
      </c>
      <c r="H988">
        <f>electric_vehicles_dataset[[#This Row],[Battery_Capacity_kWh]]/electric_vehicles_dataset[[#This Row],[Range_km]]</f>
        <v>0.10890410958904111</v>
      </c>
      <c r="I988">
        <v>438</v>
      </c>
      <c r="J988" t="s">
        <v>54</v>
      </c>
      <c r="K988">
        <v>10</v>
      </c>
      <c r="L988" s="1">
        <v>132628.07</v>
      </c>
      <c r="M988" s="1" t="str" cm="1">
        <f t="array" ref="M98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88" t="s">
        <v>28</v>
      </c>
      <c r="O988" t="s">
        <v>354</v>
      </c>
      <c r="P988" s="2" t="s">
        <v>394</v>
      </c>
      <c r="Q988">
        <v>1</v>
      </c>
      <c r="R988" t="s">
        <v>391</v>
      </c>
      <c r="S988" s="1">
        <f>electric_vehicles_dataset[[#This Row],[Units_Sold_2024]]*electric_vehicles_dataset[[#This Row],[Price_USD]]</f>
        <v>1866474829.1100001</v>
      </c>
      <c r="T988">
        <v>5</v>
      </c>
      <c r="U988">
        <v>14073</v>
      </c>
      <c r="V988">
        <v>3</v>
      </c>
    </row>
    <row r="989" spans="1:22" x14ac:dyDescent="0.35">
      <c r="A989">
        <v>988</v>
      </c>
      <c r="B989" t="s">
        <v>313</v>
      </c>
      <c r="C989" t="s">
        <v>314</v>
      </c>
      <c r="D989">
        <v>2022</v>
      </c>
      <c r="E989" t="s">
        <v>84</v>
      </c>
      <c r="F989">
        <v>32.9</v>
      </c>
      <c r="G989" t="s">
        <v>357</v>
      </c>
      <c r="H989">
        <f>electric_vehicles_dataset[[#This Row],[Battery_Capacity_kWh]]/electric_vehicles_dataset[[#This Row],[Range_km]]</f>
        <v>5.7118055555555554E-2</v>
      </c>
      <c r="I989">
        <v>576</v>
      </c>
      <c r="J989" t="s">
        <v>105</v>
      </c>
      <c r="K989">
        <v>2</v>
      </c>
      <c r="L989" s="1">
        <v>65078</v>
      </c>
      <c r="M989" s="1" t="str" cm="1">
        <f t="array" ref="M98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89" t="s">
        <v>189</v>
      </c>
      <c r="O989" t="s">
        <v>169</v>
      </c>
      <c r="P989" s="2" t="s">
        <v>394</v>
      </c>
      <c r="Q989">
        <v>3</v>
      </c>
      <c r="R989" t="s">
        <v>397</v>
      </c>
      <c r="S989" s="1">
        <f>electric_vehicles_dataset[[#This Row],[Units_Sold_2024]]*electric_vehicles_dataset[[#This Row],[Price_USD]]</f>
        <v>615768036</v>
      </c>
      <c r="T989">
        <v>3</v>
      </c>
      <c r="U989">
        <v>9462</v>
      </c>
      <c r="V989">
        <v>4</v>
      </c>
    </row>
    <row r="990" spans="1:22" x14ac:dyDescent="0.35">
      <c r="A990">
        <v>989</v>
      </c>
      <c r="B990" t="s">
        <v>82</v>
      </c>
      <c r="C990" t="s">
        <v>83</v>
      </c>
      <c r="D990">
        <v>2016</v>
      </c>
      <c r="E990" t="s">
        <v>101</v>
      </c>
      <c r="F990">
        <v>133.5</v>
      </c>
      <c r="G990" t="s">
        <v>352</v>
      </c>
      <c r="H990">
        <f>electric_vehicles_dataset[[#This Row],[Battery_Capacity_kWh]]/electric_vehicles_dataset[[#This Row],[Range_km]]</f>
        <v>0.24906716417910449</v>
      </c>
      <c r="I990">
        <v>536</v>
      </c>
      <c r="J990" t="s">
        <v>76</v>
      </c>
      <c r="K990">
        <v>12</v>
      </c>
      <c r="L990" s="1">
        <v>37917.870000000003</v>
      </c>
      <c r="M990" s="1" t="str" cm="1">
        <f t="array" ref="M99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90" t="s">
        <v>168</v>
      </c>
      <c r="O990" t="s">
        <v>134</v>
      </c>
      <c r="P990" s="2" t="s">
        <v>389</v>
      </c>
      <c r="Q990">
        <v>0</v>
      </c>
      <c r="R990" t="s">
        <v>390</v>
      </c>
      <c r="S990" s="1">
        <f>electric_vehicles_dataset[[#This Row],[Units_Sold_2024]]*electric_vehicles_dataset[[#This Row],[Price_USD]]</f>
        <v>664207328.79000008</v>
      </c>
      <c r="T990">
        <v>5</v>
      </c>
      <c r="U990">
        <v>17517</v>
      </c>
      <c r="V990">
        <v>4</v>
      </c>
    </row>
    <row r="991" spans="1:22" x14ac:dyDescent="0.35">
      <c r="A991">
        <v>990</v>
      </c>
      <c r="B991" t="s">
        <v>140</v>
      </c>
      <c r="C991" t="s">
        <v>339</v>
      </c>
      <c r="D991">
        <v>2022</v>
      </c>
      <c r="E991" t="s">
        <v>73</v>
      </c>
      <c r="F991">
        <v>99.9</v>
      </c>
      <c r="G991" t="s">
        <v>350</v>
      </c>
      <c r="H991">
        <f>electric_vehicles_dataset[[#This Row],[Battery_Capacity_kWh]]/electric_vehicles_dataset[[#This Row],[Range_km]]</f>
        <v>0.19900398406374503</v>
      </c>
      <c r="I991">
        <v>502</v>
      </c>
      <c r="J991" t="s">
        <v>364</v>
      </c>
      <c r="K991">
        <v>5</v>
      </c>
      <c r="L991" s="1">
        <v>41043.61</v>
      </c>
      <c r="M991" s="1" t="str" cm="1">
        <f t="array" ref="M99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91" t="s">
        <v>229</v>
      </c>
      <c r="O991" t="s">
        <v>110</v>
      </c>
      <c r="P991" s="2" t="s">
        <v>394</v>
      </c>
      <c r="Q991">
        <v>4</v>
      </c>
      <c r="R991" t="s">
        <v>392</v>
      </c>
      <c r="S991" s="1">
        <f>electric_vehicles_dataset[[#This Row],[Units_Sold_2024]]*electric_vehicles_dataset[[#This Row],[Price_USD]]</f>
        <v>116194459.91</v>
      </c>
      <c r="T991">
        <v>5</v>
      </c>
      <c r="U991">
        <v>2831</v>
      </c>
      <c r="V991">
        <v>3</v>
      </c>
    </row>
    <row r="992" spans="1:22" x14ac:dyDescent="0.35">
      <c r="A992">
        <v>991</v>
      </c>
      <c r="B992" t="s">
        <v>220</v>
      </c>
      <c r="C992" t="s">
        <v>337</v>
      </c>
      <c r="D992">
        <v>2020</v>
      </c>
      <c r="E992" t="s">
        <v>101</v>
      </c>
      <c r="F992">
        <v>87.9</v>
      </c>
      <c r="G992" t="s">
        <v>350</v>
      </c>
      <c r="H992">
        <f>electric_vehicles_dataset[[#This Row],[Battery_Capacity_kWh]]/electric_vehicles_dataset[[#This Row],[Range_km]]</f>
        <v>0.19403973509933775</v>
      </c>
      <c r="I992">
        <v>453</v>
      </c>
      <c r="J992" t="s">
        <v>359</v>
      </c>
      <c r="K992">
        <v>6</v>
      </c>
      <c r="L992" s="1">
        <v>140965.67000000001</v>
      </c>
      <c r="M992" s="1" t="str" cm="1">
        <f t="array" ref="M9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92" t="s">
        <v>238</v>
      </c>
      <c r="O992" t="s">
        <v>202</v>
      </c>
      <c r="P992" s="2" t="s">
        <v>393</v>
      </c>
      <c r="Q992">
        <v>4</v>
      </c>
      <c r="R992" t="s">
        <v>392</v>
      </c>
      <c r="S992" s="1">
        <f>electric_vehicles_dataset[[#This Row],[Units_Sold_2024]]*electric_vehicles_dataset[[#This Row],[Price_USD]]</f>
        <v>478296518.31000006</v>
      </c>
      <c r="T992">
        <v>4</v>
      </c>
      <c r="U992">
        <v>3393</v>
      </c>
      <c r="V992">
        <v>5</v>
      </c>
    </row>
    <row r="993" spans="1:22" x14ac:dyDescent="0.35">
      <c r="A993">
        <v>992</v>
      </c>
      <c r="B993" t="s">
        <v>193</v>
      </c>
      <c r="C993" t="s">
        <v>312</v>
      </c>
      <c r="D993">
        <v>2018</v>
      </c>
      <c r="E993" t="s">
        <v>101</v>
      </c>
      <c r="F993">
        <v>44.7</v>
      </c>
      <c r="G993" t="s">
        <v>348</v>
      </c>
      <c r="H993">
        <f>electric_vehicles_dataset[[#This Row],[Battery_Capacity_kWh]]/electric_vehicles_dataset[[#This Row],[Range_km]]</f>
        <v>0.10492957746478875</v>
      </c>
      <c r="I993">
        <v>426</v>
      </c>
      <c r="J993" t="s">
        <v>356</v>
      </c>
      <c r="K993">
        <v>9</v>
      </c>
      <c r="L993" s="1">
        <v>119728.12</v>
      </c>
      <c r="M993" s="1" t="str" cm="1">
        <f t="array" ref="M99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93" t="s">
        <v>228</v>
      </c>
      <c r="O993" t="s">
        <v>159</v>
      </c>
      <c r="P993" s="2" t="s">
        <v>389</v>
      </c>
      <c r="Q993">
        <v>3</v>
      </c>
      <c r="R993" t="s">
        <v>397</v>
      </c>
      <c r="S993" s="1">
        <f>electric_vehicles_dataset[[#This Row],[Units_Sold_2024]]*electric_vehicles_dataset[[#This Row],[Price_USD]]</f>
        <v>1447153786.4400001</v>
      </c>
      <c r="T993">
        <v>4</v>
      </c>
      <c r="U993">
        <v>12087</v>
      </c>
      <c r="V993">
        <v>3</v>
      </c>
    </row>
    <row r="994" spans="1:22" x14ac:dyDescent="0.35">
      <c r="A994">
        <v>993</v>
      </c>
      <c r="B994" t="s">
        <v>108</v>
      </c>
      <c r="C994" t="s">
        <v>109</v>
      </c>
      <c r="D994">
        <v>2022</v>
      </c>
      <c r="E994" t="s">
        <v>31</v>
      </c>
      <c r="F994">
        <v>20.5</v>
      </c>
      <c r="G994" t="s">
        <v>357</v>
      </c>
      <c r="H994">
        <f>electric_vehicles_dataset[[#This Row],[Battery_Capacity_kWh]]/electric_vehicles_dataset[[#This Row],[Range_km]]</f>
        <v>7.2953736654804271E-2</v>
      </c>
      <c r="I994">
        <v>281</v>
      </c>
      <c r="J994" t="s">
        <v>76</v>
      </c>
      <c r="K994">
        <v>12</v>
      </c>
      <c r="L994" s="1">
        <v>142070.41</v>
      </c>
      <c r="M994" s="1" t="str" cm="1">
        <f t="array" ref="M9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94" t="s">
        <v>39</v>
      </c>
      <c r="O994" t="s">
        <v>50</v>
      </c>
      <c r="P994" s="2" t="s">
        <v>396</v>
      </c>
      <c r="Q994">
        <v>0</v>
      </c>
      <c r="R994" t="s">
        <v>390</v>
      </c>
      <c r="S994" s="1">
        <f>electric_vehicles_dataset[[#This Row],[Units_Sold_2024]]*electric_vehicles_dataset[[#This Row],[Price_USD]]</f>
        <v>624115311.13</v>
      </c>
      <c r="T994">
        <v>3</v>
      </c>
      <c r="U994">
        <v>4393</v>
      </c>
      <c r="V994">
        <v>3</v>
      </c>
    </row>
    <row r="995" spans="1:22" x14ac:dyDescent="0.35">
      <c r="A995">
        <v>994</v>
      </c>
      <c r="B995" t="s">
        <v>157</v>
      </c>
      <c r="C995" t="s">
        <v>375</v>
      </c>
      <c r="D995">
        <v>2023</v>
      </c>
      <c r="E995" t="s">
        <v>183</v>
      </c>
      <c r="F995">
        <v>35.1</v>
      </c>
      <c r="G995" t="s">
        <v>357</v>
      </c>
      <c r="H995">
        <f>electric_vehicles_dataset[[#This Row],[Battery_Capacity_kWh]]/electric_vehicles_dataset[[#This Row],[Range_km]]</f>
        <v>0.2076923076923077</v>
      </c>
      <c r="I995">
        <v>169</v>
      </c>
      <c r="J995" t="s">
        <v>356</v>
      </c>
      <c r="K995">
        <v>6</v>
      </c>
      <c r="L995" s="1">
        <v>149536.28</v>
      </c>
      <c r="M995" s="1" t="str" cm="1">
        <f t="array" ref="M99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95" t="s">
        <v>254</v>
      </c>
      <c r="O995" t="s">
        <v>50</v>
      </c>
      <c r="P995" s="2" t="s">
        <v>396</v>
      </c>
      <c r="Q995">
        <v>0</v>
      </c>
      <c r="R995" t="s">
        <v>390</v>
      </c>
      <c r="S995" s="1">
        <f>electric_vehicles_dataset[[#This Row],[Units_Sold_2024]]*electric_vehicles_dataset[[#This Row],[Price_USD]]</f>
        <v>1553532412.9200001</v>
      </c>
      <c r="T995">
        <v>5</v>
      </c>
      <c r="U995">
        <v>10389</v>
      </c>
      <c r="V995">
        <v>3</v>
      </c>
    </row>
    <row r="996" spans="1:22" x14ac:dyDescent="0.35">
      <c r="A996">
        <v>995</v>
      </c>
      <c r="B996" t="s">
        <v>234</v>
      </c>
      <c r="C996" t="s">
        <v>235</v>
      </c>
      <c r="D996">
        <v>2019</v>
      </c>
      <c r="E996" t="s">
        <v>84</v>
      </c>
      <c r="F996">
        <v>131.6</v>
      </c>
      <c r="G996" t="s">
        <v>352</v>
      </c>
      <c r="H996">
        <f>electric_vehicles_dataset[[#This Row],[Battery_Capacity_kWh]]/electric_vehicles_dataset[[#This Row],[Range_km]]</f>
        <v>1.028125</v>
      </c>
      <c r="I996">
        <v>128</v>
      </c>
      <c r="J996" t="s">
        <v>54</v>
      </c>
      <c r="K996">
        <v>8</v>
      </c>
      <c r="L996" s="1">
        <v>149808.37</v>
      </c>
      <c r="M996" s="1" t="str" cm="1">
        <f t="array" ref="M99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996" t="s">
        <v>35</v>
      </c>
      <c r="O996" t="s">
        <v>161</v>
      </c>
      <c r="P996" s="2" t="s">
        <v>389</v>
      </c>
      <c r="Q996">
        <v>1</v>
      </c>
      <c r="R996" t="s">
        <v>391</v>
      </c>
      <c r="S996" s="1">
        <f>electric_vehicles_dataset[[#This Row],[Units_Sold_2024]]*electric_vehicles_dataset[[#This Row],[Price_USD]]</f>
        <v>2606366021.2599998</v>
      </c>
      <c r="T996">
        <v>3</v>
      </c>
      <c r="U996">
        <v>17398</v>
      </c>
      <c r="V996">
        <v>4</v>
      </c>
    </row>
    <row r="997" spans="1:22" x14ac:dyDescent="0.35">
      <c r="A997">
        <v>996</v>
      </c>
      <c r="B997" t="s">
        <v>29</v>
      </c>
      <c r="C997" t="s">
        <v>323</v>
      </c>
      <c r="D997">
        <v>2019</v>
      </c>
      <c r="E997" t="s">
        <v>17</v>
      </c>
      <c r="F997">
        <v>59</v>
      </c>
      <c r="G997" t="s">
        <v>348</v>
      </c>
      <c r="H997">
        <f>electric_vehicles_dataset[[#This Row],[Battery_Capacity_kWh]]/electric_vehicles_dataset[[#This Row],[Range_km]]</f>
        <v>0.53153153153153154</v>
      </c>
      <c r="I997">
        <v>111</v>
      </c>
      <c r="J997" t="s">
        <v>76</v>
      </c>
      <c r="K997">
        <v>12</v>
      </c>
      <c r="L997" s="1">
        <v>69330.460000000006</v>
      </c>
      <c r="M997" s="1" t="str" cm="1">
        <f t="array" ref="M9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97" t="s">
        <v>66</v>
      </c>
      <c r="O997" t="s">
        <v>20</v>
      </c>
      <c r="P997" s="2" t="s">
        <v>389</v>
      </c>
      <c r="Q997">
        <v>4</v>
      </c>
      <c r="R997" t="s">
        <v>392</v>
      </c>
      <c r="S997" s="1">
        <f>electric_vehicles_dataset[[#This Row],[Units_Sold_2024]]*electric_vehicles_dataset[[#This Row],[Price_USD]]</f>
        <v>257562658.90000004</v>
      </c>
      <c r="T997">
        <v>4</v>
      </c>
      <c r="U997">
        <v>3715</v>
      </c>
      <c r="V997">
        <v>3</v>
      </c>
    </row>
    <row r="998" spans="1:22" x14ac:dyDescent="0.35">
      <c r="A998">
        <v>997</v>
      </c>
      <c r="B998" t="s">
        <v>180</v>
      </c>
      <c r="C998" t="s">
        <v>181</v>
      </c>
      <c r="D998">
        <v>2020</v>
      </c>
      <c r="E998" t="s">
        <v>53</v>
      </c>
      <c r="F998">
        <v>36.1</v>
      </c>
      <c r="G998" t="s">
        <v>357</v>
      </c>
      <c r="H998">
        <f>electric_vehicles_dataset[[#This Row],[Battery_Capacity_kWh]]/electric_vehicles_dataset[[#This Row],[Range_km]]</f>
        <v>9.1392405063291146E-2</v>
      </c>
      <c r="I998">
        <v>395</v>
      </c>
      <c r="J998" t="s">
        <v>359</v>
      </c>
      <c r="K998">
        <v>7</v>
      </c>
      <c r="L998" s="1">
        <v>39460.660000000003</v>
      </c>
      <c r="M998" s="1" t="str" cm="1">
        <f t="array" ref="M99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98" t="s">
        <v>279</v>
      </c>
      <c r="O998" t="s">
        <v>134</v>
      </c>
      <c r="P998" s="2" t="s">
        <v>389</v>
      </c>
      <c r="Q998">
        <v>4</v>
      </c>
      <c r="R998" t="s">
        <v>392</v>
      </c>
      <c r="S998" s="1">
        <f>electric_vehicles_dataset[[#This Row],[Units_Sold_2024]]*electric_vehicles_dataset[[#This Row],[Price_USD]]</f>
        <v>709778891.42000008</v>
      </c>
      <c r="T998">
        <v>3</v>
      </c>
      <c r="U998">
        <v>17987</v>
      </c>
      <c r="V998">
        <v>5</v>
      </c>
    </row>
    <row r="999" spans="1:22" x14ac:dyDescent="0.35">
      <c r="A999">
        <v>998</v>
      </c>
      <c r="B999" t="s">
        <v>136</v>
      </c>
      <c r="C999" t="s">
        <v>137</v>
      </c>
      <c r="D999">
        <v>2023</v>
      </c>
      <c r="E999" t="s">
        <v>73</v>
      </c>
      <c r="F999">
        <v>58.7</v>
      </c>
      <c r="G999" t="s">
        <v>348</v>
      </c>
      <c r="H999">
        <f>electric_vehicles_dataset[[#This Row],[Battery_Capacity_kWh]]/electric_vehicles_dataset[[#This Row],[Range_km]]</f>
        <v>0.10519713261648746</v>
      </c>
      <c r="I999">
        <v>558</v>
      </c>
      <c r="J999" t="s">
        <v>34</v>
      </c>
      <c r="K999">
        <v>9</v>
      </c>
      <c r="L999" s="1">
        <v>34888.49</v>
      </c>
      <c r="M999" s="1" t="str" cm="1">
        <f t="array" ref="M9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999" t="s">
        <v>70</v>
      </c>
      <c r="O999" t="s">
        <v>20</v>
      </c>
      <c r="P999" s="2" t="s">
        <v>389</v>
      </c>
      <c r="Q999">
        <v>2</v>
      </c>
      <c r="R999" t="s">
        <v>391</v>
      </c>
      <c r="S999" s="1">
        <f>electric_vehicles_dataset[[#This Row],[Units_Sold_2024]]*electric_vehicles_dataset[[#This Row],[Price_USD]]</f>
        <v>672545421.73000002</v>
      </c>
      <c r="T999">
        <v>3</v>
      </c>
      <c r="U999">
        <v>19277</v>
      </c>
      <c r="V999">
        <v>3</v>
      </c>
    </row>
    <row r="1000" spans="1:22" x14ac:dyDescent="0.35">
      <c r="A1000">
        <v>999</v>
      </c>
      <c r="B1000" t="s">
        <v>184</v>
      </c>
      <c r="C1000" t="s">
        <v>309</v>
      </c>
      <c r="D1000">
        <v>2015</v>
      </c>
      <c r="E1000" t="s">
        <v>130</v>
      </c>
      <c r="F1000">
        <v>125.2</v>
      </c>
      <c r="G1000" t="s">
        <v>352</v>
      </c>
      <c r="H1000">
        <f>electric_vehicles_dataset[[#This Row],[Battery_Capacity_kWh]]/electric_vehicles_dataset[[#This Row],[Range_km]]</f>
        <v>0.40781758957654723</v>
      </c>
      <c r="I1000">
        <v>307</v>
      </c>
      <c r="J1000" t="s">
        <v>48</v>
      </c>
      <c r="K1000">
        <v>4</v>
      </c>
      <c r="L1000" s="1">
        <v>100902.46</v>
      </c>
      <c r="M1000" s="1" t="str" cm="1">
        <f t="array" ref="M100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00" t="s">
        <v>114</v>
      </c>
      <c r="O1000" t="s">
        <v>78</v>
      </c>
      <c r="P1000" s="2" t="s">
        <v>389</v>
      </c>
      <c r="Q1000">
        <v>2</v>
      </c>
      <c r="R1000" t="s">
        <v>391</v>
      </c>
      <c r="S1000" s="1">
        <f>electric_vehicles_dataset[[#This Row],[Units_Sold_2024]]*electric_vehicles_dataset[[#This Row],[Price_USD]]</f>
        <v>343371071.38</v>
      </c>
      <c r="T1000">
        <v>5</v>
      </c>
      <c r="U1000">
        <v>3403</v>
      </c>
      <c r="V1000">
        <v>5</v>
      </c>
    </row>
    <row r="1001" spans="1:22" x14ac:dyDescent="0.35">
      <c r="A1001">
        <v>1000</v>
      </c>
      <c r="B1001" t="s">
        <v>74</v>
      </c>
      <c r="C1001" t="s">
        <v>75</v>
      </c>
      <c r="D1001">
        <v>2022</v>
      </c>
      <c r="E1001" t="s">
        <v>31</v>
      </c>
      <c r="F1001">
        <v>114.7</v>
      </c>
      <c r="G1001" t="s">
        <v>361</v>
      </c>
      <c r="H1001">
        <f>electric_vehicles_dataset[[#This Row],[Battery_Capacity_kWh]]/electric_vehicles_dataset[[#This Row],[Range_km]]</f>
        <v>0.69939024390243909</v>
      </c>
      <c r="I1001">
        <v>164</v>
      </c>
      <c r="J1001" t="s">
        <v>85</v>
      </c>
      <c r="K1001">
        <v>9</v>
      </c>
      <c r="L1001" s="1">
        <v>128661.08</v>
      </c>
      <c r="M1001" s="1" t="str" cm="1">
        <f t="array" ref="M10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01" t="s">
        <v>106</v>
      </c>
      <c r="O1001" t="s">
        <v>206</v>
      </c>
      <c r="P1001" s="2" t="s">
        <v>394</v>
      </c>
      <c r="Q1001">
        <v>3</v>
      </c>
      <c r="R1001" t="s">
        <v>397</v>
      </c>
      <c r="S1001" s="1">
        <f>electric_vehicles_dataset[[#This Row],[Units_Sold_2024]]*electric_vehicles_dataset[[#This Row],[Price_USD]]</f>
        <v>2431308428.7600002</v>
      </c>
      <c r="T1001">
        <v>4</v>
      </c>
      <c r="U1001">
        <v>18897</v>
      </c>
      <c r="V1001">
        <v>5</v>
      </c>
    </row>
    <row r="1002" spans="1:22" x14ac:dyDescent="0.35">
      <c r="A1002">
        <v>1001</v>
      </c>
      <c r="B1002" t="s">
        <v>193</v>
      </c>
      <c r="C1002" t="s">
        <v>194</v>
      </c>
      <c r="D1002">
        <v>2022</v>
      </c>
      <c r="E1002" t="s">
        <v>47</v>
      </c>
      <c r="F1002">
        <v>50.9</v>
      </c>
      <c r="G1002" t="s">
        <v>348</v>
      </c>
      <c r="H1002">
        <f>electric_vehicles_dataset[[#This Row],[Battery_Capacity_kWh]]/electric_vehicles_dataset[[#This Row],[Range_km]]</f>
        <v>0.1590625</v>
      </c>
      <c r="I1002">
        <v>320</v>
      </c>
      <c r="J1002" t="s">
        <v>359</v>
      </c>
      <c r="K1002">
        <v>8</v>
      </c>
      <c r="L1002" s="1">
        <v>76612.94</v>
      </c>
      <c r="M1002" s="1" t="str" cm="1">
        <f t="array" ref="M10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02" t="s">
        <v>257</v>
      </c>
      <c r="O1002" t="s">
        <v>121</v>
      </c>
      <c r="P1002" s="2" t="s">
        <v>398</v>
      </c>
      <c r="Q1002">
        <v>1</v>
      </c>
      <c r="R1002" t="s">
        <v>391</v>
      </c>
      <c r="S1002" s="1">
        <f>electric_vehicles_dataset[[#This Row],[Units_Sold_2024]]*electric_vehicles_dataset[[#This Row],[Price_USD]]</f>
        <v>722153572.44000006</v>
      </c>
      <c r="T1002">
        <v>5</v>
      </c>
      <c r="U1002">
        <v>9426</v>
      </c>
      <c r="V1002">
        <v>4</v>
      </c>
    </row>
    <row r="1003" spans="1:22" x14ac:dyDescent="0.35">
      <c r="A1003">
        <v>1002</v>
      </c>
      <c r="B1003" t="s">
        <v>87</v>
      </c>
      <c r="C1003" t="s">
        <v>88</v>
      </c>
      <c r="D1003">
        <v>2021</v>
      </c>
      <c r="E1003" t="s">
        <v>133</v>
      </c>
      <c r="F1003">
        <v>104.3</v>
      </c>
      <c r="G1003" t="s">
        <v>361</v>
      </c>
      <c r="H1003">
        <f>electric_vehicles_dataset[[#This Row],[Battery_Capacity_kWh]]/electric_vehicles_dataset[[#This Row],[Range_km]]</f>
        <v>0.29463276836158192</v>
      </c>
      <c r="I1003">
        <v>354</v>
      </c>
      <c r="J1003" t="s">
        <v>76</v>
      </c>
      <c r="K1003">
        <v>12</v>
      </c>
      <c r="L1003" s="1">
        <v>78665.399999999994</v>
      </c>
      <c r="M1003" s="1" t="str" cm="1">
        <f t="array" ref="M100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03" t="s">
        <v>55</v>
      </c>
      <c r="O1003" t="s">
        <v>161</v>
      </c>
      <c r="P1003" s="2" t="s">
        <v>389</v>
      </c>
      <c r="Q1003">
        <v>4</v>
      </c>
      <c r="R1003" t="s">
        <v>392</v>
      </c>
      <c r="S1003" s="1">
        <f>electric_vehicles_dataset[[#This Row],[Units_Sold_2024]]*electric_vehicles_dataset[[#This Row],[Price_USD]]</f>
        <v>641280340.79999995</v>
      </c>
      <c r="T1003">
        <v>3</v>
      </c>
      <c r="U1003">
        <v>8152</v>
      </c>
      <c r="V1003">
        <v>3</v>
      </c>
    </row>
    <row r="1004" spans="1:22" x14ac:dyDescent="0.35">
      <c r="A1004">
        <v>1003</v>
      </c>
      <c r="B1004" t="s">
        <v>215</v>
      </c>
      <c r="C1004" t="s">
        <v>216</v>
      </c>
      <c r="D1004">
        <v>2018</v>
      </c>
      <c r="E1004" t="s">
        <v>31</v>
      </c>
      <c r="F1004">
        <v>116.8</v>
      </c>
      <c r="G1004" t="s">
        <v>361</v>
      </c>
      <c r="H1004">
        <f>electric_vehicles_dataset[[#This Row],[Battery_Capacity_kWh]]/electric_vehicles_dataset[[#This Row],[Range_km]]</f>
        <v>0.24641350210970464</v>
      </c>
      <c r="I1004">
        <v>474</v>
      </c>
      <c r="J1004" t="s">
        <v>364</v>
      </c>
      <c r="K1004">
        <v>8</v>
      </c>
      <c r="L1004" s="1">
        <v>45955.45</v>
      </c>
      <c r="M1004" s="1" t="str" cm="1">
        <f t="array" ref="M100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04" t="s">
        <v>205</v>
      </c>
      <c r="O1004" t="s">
        <v>134</v>
      </c>
      <c r="P1004" s="2" t="s">
        <v>389</v>
      </c>
      <c r="Q1004">
        <v>4</v>
      </c>
      <c r="R1004" t="s">
        <v>392</v>
      </c>
      <c r="S1004" s="1">
        <f>electric_vehicles_dataset[[#This Row],[Units_Sold_2024]]*electric_vehicles_dataset[[#This Row],[Price_USD]]</f>
        <v>20679952.5</v>
      </c>
      <c r="T1004">
        <v>3</v>
      </c>
      <c r="U1004">
        <v>450</v>
      </c>
      <c r="V1004">
        <v>4</v>
      </c>
    </row>
    <row r="1005" spans="1:22" x14ac:dyDescent="0.35">
      <c r="A1005">
        <v>1004</v>
      </c>
      <c r="B1005" t="s">
        <v>184</v>
      </c>
      <c r="C1005" t="s">
        <v>251</v>
      </c>
      <c r="D1005">
        <v>2018</v>
      </c>
      <c r="E1005" t="s">
        <v>130</v>
      </c>
      <c r="F1005">
        <v>38.799999999999997</v>
      </c>
      <c r="G1005" t="s">
        <v>357</v>
      </c>
      <c r="H1005">
        <f>electric_vehicles_dataset[[#This Row],[Battery_Capacity_kWh]]/electric_vehicles_dataset[[#This Row],[Range_km]]</f>
        <v>8.2553191489361702E-2</v>
      </c>
      <c r="I1005">
        <v>470</v>
      </c>
      <c r="J1005" t="s">
        <v>48</v>
      </c>
      <c r="K1005">
        <v>11</v>
      </c>
      <c r="L1005" s="1">
        <v>69013.39</v>
      </c>
      <c r="M1005" s="1" t="str" cm="1">
        <f t="array" ref="M10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05" t="s">
        <v>70</v>
      </c>
      <c r="O1005" t="s">
        <v>110</v>
      </c>
      <c r="P1005" s="2" t="s">
        <v>394</v>
      </c>
      <c r="Q1005">
        <v>5</v>
      </c>
      <c r="R1005" t="s">
        <v>392</v>
      </c>
      <c r="S1005" s="1">
        <f>electric_vehicles_dataset[[#This Row],[Units_Sold_2024]]*electric_vehicles_dataset[[#This Row],[Price_USD]]</f>
        <v>329953017.58999997</v>
      </c>
      <c r="T1005">
        <v>5</v>
      </c>
      <c r="U1005">
        <v>4781</v>
      </c>
      <c r="V1005">
        <v>3</v>
      </c>
    </row>
    <row r="1006" spans="1:22" x14ac:dyDescent="0.35">
      <c r="A1006">
        <v>1005</v>
      </c>
      <c r="B1006" t="s">
        <v>24</v>
      </c>
      <c r="C1006" t="s">
        <v>272</v>
      </c>
      <c r="D1006">
        <v>2018</v>
      </c>
      <c r="E1006" t="s">
        <v>26</v>
      </c>
      <c r="F1006">
        <v>106.6</v>
      </c>
      <c r="G1006" t="s">
        <v>361</v>
      </c>
      <c r="H1006">
        <f>electric_vehicles_dataset[[#This Row],[Battery_Capacity_kWh]]/electric_vehicles_dataset[[#This Row],[Range_km]]</f>
        <v>0.18253424657534245</v>
      </c>
      <c r="I1006">
        <v>584</v>
      </c>
      <c r="J1006" t="s">
        <v>353</v>
      </c>
      <c r="K1006">
        <v>6</v>
      </c>
      <c r="L1006" s="1">
        <v>143897.16</v>
      </c>
      <c r="M1006" s="1" t="str" cm="1">
        <f t="array" ref="M100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06" t="s">
        <v>196</v>
      </c>
      <c r="O1006" t="s">
        <v>67</v>
      </c>
      <c r="P1006" s="2" t="s">
        <v>394</v>
      </c>
      <c r="Q1006">
        <v>3</v>
      </c>
      <c r="R1006" t="s">
        <v>397</v>
      </c>
      <c r="S1006" s="1">
        <f>electric_vehicles_dataset[[#This Row],[Units_Sold_2024]]*electric_vehicles_dataset[[#This Row],[Price_USD]]</f>
        <v>280887256.31999999</v>
      </c>
      <c r="T1006">
        <v>4</v>
      </c>
      <c r="U1006">
        <v>1952</v>
      </c>
      <c r="V1006">
        <v>5</v>
      </c>
    </row>
    <row r="1007" spans="1:22" x14ac:dyDescent="0.35">
      <c r="A1007">
        <v>1006</v>
      </c>
      <c r="B1007" t="s">
        <v>45</v>
      </c>
      <c r="C1007" t="s">
        <v>46</v>
      </c>
      <c r="D1007">
        <v>2019</v>
      </c>
      <c r="E1007" t="s">
        <v>31</v>
      </c>
      <c r="F1007">
        <v>73.7</v>
      </c>
      <c r="G1007" t="s">
        <v>351</v>
      </c>
      <c r="H1007">
        <f>electric_vehicles_dataset[[#This Row],[Battery_Capacity_kWh]]/electric_vehicles_dataset[[#This Row],[Range_km]]</f>
        <v>0.1337568058076225</v>
      </c>
      <c r="I1007">
        <v>551</v>
      </c>
      <c r="J1007" t="s">
        <v>54</v>
      </c>
      <c r="K1007">
        <v>2</v>
      </c>
      <c r="L1007" s="1">
        <v>63519.37</v>
      </c>
      <c r="M1007" s="1" t="str" cm="1">
        <f t="array" ref="M100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07" t="s">
        <v>196</v>
      </c>
      <c r="O1007" t="s">
        <v>115</v>
      </c>
      <c r="P1007" s="2" t="s">
        <v>396</v>
      </c>
      <c r="Q1007">
        <v>4</v>
      </c>
      <c r="R1007" t="s">
        <v>392</v>
      </c>
      <c r="S1007" s="1">
        <f>electric_vehicles_dataset[[#This Row],[Units_Sold_2024]]*electric_vehicles_dataset[[#This Row],[Price_USD]]</f>
        <v>466867369.5</v>
      </c>
      <c r="T1007">
        <v>4</v>
      </c>
      <c r="U1007">
        <v>7350</v>
      </c>
      <c r="V1007">
        <v>4</v>
      </c>
    </row>
    <row r="1008" spans="1:22" x14ac:dyDescent="0.35">
      <c r="A1008">
        <v>1007</v>
      </c>
      <c r="B1008" t="s">
        <v>112</v>
      </c>
      <c r="C1008" t="s">
        <v>237</v>
      </c>
      <c r="D1008">
        <v>2019</v>
      </c>
      <c r="E1008" t="s">
        <v>26</v>
      </c>
      <c r="F1008">
        <v>82</v>
      </c>
      <c r="G1008" t="s">
        <v>350</v>
      </c>
      <c r="H1008">
        <f>electric_vehicles_dataset[[#This Row],[Battery_Capacity_kWh]]/electric_vehicles_dataset[[#This Row],[Range_km]]</f>
        <v>0.27424749163879597</v>
      </c>
      <c r="I1008">
        <v>299</v>
      </c>
      <c r="J1008" t="s">
        <v>105</v>
      </c>
      <c r="K1008">
        <v>2</v>
      </c>
      <c r="L1008" s="1">
        <v>56467.88</v>
      </c>
      <c r="M1008" s="1" t="str" cm="1">
        <f t="array" ref="M100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08" t="s">
        <v>131</v>
      </c>
      <c r="O1008" t="s">
        <v>135</v>
      </c>
      <c r="P1008" s="2" t="s">
        <v>389</v>
      </c>
      <c r="Q1008">
        <v>5</v>
      </c>
      <c r="R1008" t="s">
        <v>392</v>
      </c>
      <c r="S1008" s="1">
        <f>electric_vehicles_dataset[[#This Row],[Units_Sold_2024]]*electric_vehicles_dataset[[#This Row],[Price_USD]]</f>
        <v>943070063.88</v>
      </c>
      <c r="T1008">
        <v>5</v>
      </c>
      <c r="U1008">
        <v>16701</v>
      </c>
      <c r="V1008">
        <v>5</v>
      </c>
    </row>
    <row r="1009" spans="1:22" x14ac:dyDescent="0.35">
      <c r="A1009">
        <v>1008</v>
      </c>
      <c r="B1009" t="s">
        <v>153</v>
      </c>
      <c r="C1009" t="s">
        <v>204</v>
      </c>
      <c r="D1009">
        <v>2019</v>
      </c>
      <c r="E1009" t="s">
        <v>17</v>
      </c>
      <c r="F1009">
        <v>68.2</v>
      </c>
      <c r="G1009" t="s">
        <v>351</v>
      </c>
      <c r="H1009">
        <f>electric_vehicles_dataset[[#This Row],[Battery_Capacity_kWh]]/electric_vehicles_dataset[[#This Row],[Range_km]]</f>
        <v>0.29652173913043478</v>
      </c>
      <c r="I1009">
        <v>230</v>
      </c>
      <c r="J1009" t="s">
        <v>48</v>
      </c>
      <c r="K1009">
        <v>4</v>
      </c>
      <c r="L1009" s="1">
        <v>108995.26</v>
      </c>
      <c r="M1009" s="1" t="str" cm="1">
        <f t="array" ref="M100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09" t="s">
        <v>271</v>
      </c>
      <c r="O1009" t="s">
        <v>111</v>
      </c>
      <c r="P1009" s="2" t="s">
        <v>389</v>
      </c>
      <c r="Q1009">
        <v>0</v>
      </c>
      <c r="R1009" t="s">
        <v>390</v>
      </c>
      <c r="S1009" s="1">
        <f>electric_vehicles_dataset[[#This Row],[Units_Sold_2024]]*electric_vehicles_dataset[[#This Row],[Price_USD]]</f>
        <v>861498535.03999996</v>
      </c>
      <c r="T1009">
        <v>3</v>
      </c>
      <c r="U1009">
        <v>7904</v>
      </c>
      <c r="V1009">
        <v>4</v>
      </c>
    </row>
    <row r="1010" spans="1:22" x14ac:dyDescent="0.35">
      <c r="A1010">
        <v>1009</v>
      </c>
      <c r="B1010" t="s">
        <v>180</v>
      </c>
      <c r="C1010" t="s">
        <v>285</v>
      </c>
      <c r="D1010">
        <v>2025</v>
      </c>
      <c r="E1010" t="s">
        <v>53</v>
      </c>
      <c r="F1010">
        <v>92.3</v>
      </c>
      <c r="G1010" t="s">
        <v>350</v>
      </c>
      <c r="H1010">
        <f>electric_vehicles_dataset[[#This Row],[Battery_Capacity_kWh]]/electric_vehicles_dataset[[#This Row],[Range_km]]</f>
        <v>0.22294685990338164</v>
      </c>
      <c r="I1010">
        <v>414</v>
      </c>
      <c r="J1010" t="s">
        <v>85</v>
      </c>
      <c r="K1010">
        <v>8</v>
      </c>
      <c r="L1010" s="1">
        <v>147294.21</v>
      </c>
      <c r="M1010" s="1" t="str" cm="1">
        <f t="array" ref="M101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10" t="s">
        <v>22</v>
      </c>
      <c r="O1010" t="s">
        <v>44</v>
      </c>
      <c r="P1010" s="2" t="s">
        <v>389</v>
      </c>
      <c r="Q1010">
        <v>2</v>
      </c>
      <c r="R1010" t="s">
        <v>391</v>
      </c>
      <c r="S1010" s="1">
        <f>electric_vehicles_dataset[[#This Row],[Units_Sold_2024]]*electric_vehicles_dataset[[#This Row],[Price_USD]]</f>
        <v>2741145248.0999999</v>
      </c>
      <c r="T1010">
        <v>4</v>
      </c>
      <c r="U1010">
        <v>18610</v>
      </c>
      <c r="V1010">
        <v>4</v>
      </c>
    </row>
    <row r="1011" spans="1:22" x14ac:dyDescent="0.35">
      <c r="A1011">
        <v>1010</v>
      </c>
      <c r="B1011" t="s">
        <v>79</v>
      </c>
      <c r="C1011" t="s">
        <v>80</v>
      </c>
      <c r="D1011">
        <v>2018</v>
      </c>
      <c r="E1011" t="s">
        <v>101</v>
      </c>
      <c r="F1011">
        <v>34.1</v>
      </c>
      <c r="G1011" t="s">
        <v>357</v>
      </c>
      <c r="H1011">
        <f>electric_vehicles_dataset[[#This Row],[Battery_Capacity_kWh]]/electric_vehicles_dataset[[#This Row],[Range_km]]</f>
        <v>0.13320312500000001</v>
      </c>
      <c r="I1011">
        <v>256</v>
      </c>
      <c r="J1011" t="s">
        <v>358</v>
      </c>
      <c r="K1011">
        <v>3</v>
      </c>
      <c r="L1011" s="1">
        <v>126551.18</v>
      </c>
      <c r="M1011" s="1" t="str" cm="1">
        <f t="array" ref="M101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11" t="s">
        <v>98</v>
      </c>
      <c r="O1011" t="s">
        <v>63</v>
      </c>
      <c r="P1011" s="2" t="s">
        <v>389</v>
      </c>
      <c r="Q1011">
        <v>5</v>
      </c>
      <c r="R1011" t="s">
        <v>392</v>
      </c>
      <c r="S1011" s="1">
        <f>electric_vehicles_dataset[[#This Row],[Units_Sold_2024]]*electric_vehicles_dataset[[#This Row],[Price_USD]]</f>
        <v>1479889498.9199998</v>
      </c>
      <c r="T1011">
        <v>5</v>
      </c>
      <c r="U1011">
        <v>11694</v>
      </c>
      <c r="V1011">
        <v>3</v>
      </c>
    </row>
    <row r="1012" spans="1:22" x14ac:dyDescent="0.35">
      <c r="A1012">
        <v>1011</v>
      </c>
      <c r="B1012" t="s">
        <v>24</v>
      </c>
      <c r="C1012" t="s">
        <v>343</v>
      </c>
      <c r="D1012">
        <v>2024</v>
      </c>
      <c r="E1012" t="s">
        <v>31</v>
      </c>
      <c r="F1012">
        <v>135.69999999999999</v>
      </c>
      <c r="G1012" t="s">
        <v>352</v>
      </c>
      <c r="H1012">
        <f>electric_vehicles_dataset[[#This Row],[Battery_Capacity_kWh]]/electric_vehicles_dataset[[#This Row],[Range_km]]</f>
        <v>0.51015037593984958</v>
      </c>
      <c r="I1012">
        <v>266</v>
      </c>
      <c r="J1012" t="s">
        <v>27</v>
      </c>
      <c r="K1012">
        <v>10</v>
      </c>
      <c r="L1012" s="1">
        <v>72825.679999999993</v>
      </c>
      <c r="M1012" s="1" t="str" cm="1">
        <f t="array" ref="M101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12" t="s">
        <v>62</v>
      </c>
      <c r="O1012" t="s">
        <v>78</v>
      </c>
      <c r="P1012" s="2" t="s">
        <v>389</v>
      </c>
      <c r="Q1012">
        <v>3</v>
      </c>
      <c r="R1012" t="s">
        <v>397</v>
      </c>
      <c r="S1012" s="1">
        <f>electric_vehicles_dataset[[#This Row],[Units_Sold_2024]]*electric_vehicles_dataset[[#This Row],[Price_USD]]</f>
        <v>181991374.31999999</v>
      </c>
      <c r="T1012">
        <v>3</v>
      </c>
      <c r="U1012">
        <v>2499</v>
      </c>
      <c r="V1012">
        <v>3</v>
      </c>
    </row>
    <row r="1013" spans="1:22" x14ac:dyDescent="0.35">
      <c r="A1013">
        <v>1012</v>
      </c>
      <c r="B1013" t="s">
        <v>261</v>
      </c>
      <c r="C1013" t="s">
        <v>372</v>
      </c>
      <c r="D1013">
        <v>2018</v>
      </c>
      <c r="E1013" t="s">
        <v>42</v>
      </c>
      <c r="F1013">
        <v>132.69999999999999</v>
      </c>
      <c r="G1013" t="s">
        <v>352</v>
      </c>
      <c r="H1013">
        <f>electric_vehicles_dataset[[#This Row],[Battery_Capacity_kWh]]/electric_vehicles_dataset[[#This Row],[Range_km]]</f>
        <v>0.65049019607843128</v>
      </c>
      <c r="I1013">
        <v>204</v>
      </c>
      <c r="J1013" t="s">
        <v>345</v>
      </c>
      <c r="K1013">
        <v>5</v>
      </c>
      <c r="L1013" s="1">
        <v>149514.73000000001</v>
      </c>
      <c r="M1013" s="1" t="str" cm="1">
        <f t="array" ref="M101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13" t="s">
        <v>228</v>
      </c>
      <c r="O1013" t="s">
        <v>93</v>
      </c>
      <c r="P1013" s="2" t="s">
        <v>389</v>
      </c>
      <c r="Q1013">
        <v>4</v>
      </c>
      <c r="R1013" t="s">
        <v>392</v>
      </c>
      <c r="S1013" s="1">
        <f>electric_vehicles_dataset[[#This Row],[Units_Sold_2024]]*electric_vehicles_dataset[[#This Row],[Price_USD]]</f>
        <v>1050939037.1700001</v>
      </c>
      <c r="T1013">
        <v>5</v>
      </c>
      <c r="U1013">
        <v>7029</v>
      </c>
      <c r="V1013">
        <v>3</v>
      </c>
    </row>
    <row r="1014" spans="1:22" x14ac:dyDescent="0.35">
      <c r="A1014">
        <v>1013</v>
      </c>
      <c r="B1014" t="s">
        <v>187</v>
      </c>
      <c r="C1014" t="s">
        <v>188</v>
      </c>
      <c r="D1014">
        <v>2015</v>
      </c>
      <c r="E1014" t="s">
        <v>133</v>
      </c>
      <c r="F1014">
        <v>21.5</v>
      </c>
      <c r="G1014" t="s">
        <v>357</v>
      </c>
      <c r="H1014">
        <f>electric_vehicles_dataset[[#This Row],[Battery_Capacity_kWh]]/electric_vehicles_dataset[[#This Row],[Range_km]]</f>
        <v>5.3749999999999999E-2</v>
      </c>
      <c r="I1014">
        <v>400</v>
      </c>
      <c r="J1014" t="s">
        <v>358</v>
      </c>
      <c r="K1014">
        <v>2</v>
      </c>
      <c r="L1014" s="1">
        <v>63649.31</v>
      </c>
      <c r="M1014" s="1" t="str" cm="1">
        <f t="array" ref="M101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14" t="s">
        <v>98</v>
      </c>
      <c r="O1014" t="s">
        <v>236</v>
      </c>
      <c r="P1014" s="2" t="s">
        <v>394</v>
      </c>
      <c r="Q1014">
        <v>0</v>
      </c>
      <c r="R1014" t="s">
        <v>390</v>
      </c>
      <c r="S1014" s="1">
        <f>electric_vehicles_dataset[[#This Row],[Units_Sold_2024]]*electric_vehicles_dataset[[#This Row],[Price_USD]]</f>
        <v>195021485.84</v>
      </c>
      <c r="T1014">
        <v>3</v>
      </c>
      <c r="U1014">
        <v>3064</v>
      </c>
      <c r="V1014">
        <v>4</v>
      </c>
    </row>
    <row r="1015" spans="1:22" x14ac:dyDescent="0.35">
      <c r="A1015">
        <v>1014</v>
      </c>
      <c r="B1015" t="s">
        <v>170</v>
      </c>
      <c r="C1015" t="s">
        <v>367</v>
      </c>
      <c r="D1015">
        <v>2023</v>
      </c>
      <c r="E1015" t="s">
        <v>17</v>
      </c>
      <c r="F1015">
        <v>101.8</v>
      </c>
      <c r="G1015" t="s">
        <v>361</v>
      </c>
      <c r="H1015">
        <f>electric_vehicles_dataset[[#This Row],[Battery_Capacity_kWh]]/electric_vehicles_dataset[[#This Row],[Range_km]]</f>
        <v>0.20817995910020448</v>
      </c>
      <c r="I1015">
        <v>489</v>
      </c>
      <c r="J1015" t="s">
        <v>353</v>
      </c>
      <c r="K1015">
        <v>1</v>
      </c>
      <c r="L1015" s="1">
        <v>112679.6</v>
      </c>
      <c r="M1015" s="1" t="str" cm="1">
        <f t="array" ref="M101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15" t="s">
        <v>19</v>
      </c>
      <c r="O1015" t="s">
        <v>23</v>
      </c>
      <c r="P1015" s="2" t="s">
        <v>389</v>
      </c>
      <c r="Q1015">
        <v>5</v>
      </c>
      <c r="R1015" t="s">
        <v>392</v>
      </c>
      <c r="S1015" s="1">
        <f>electric_vehicles_dataset[[#This Row],[Units_Sold_2024]]*electric_vehicles_dataset[[#This Row],[Price_USD]]</f>
        <v>798785684.4000001</v>
      </c>
      <c r="T1015">
        <v>4</v>
      </c>
      <c r="U1015">
        <v>7089</v>
      </c>
      <c r="V1015">
        <v>4</v>
      </c>
    </row>
    <row r="1016" spans="1:22" x14ac:dyDescent="0.35">
      <c r="A1016">
        <v>1015</v>
      </c>
      <c r="B1016" t="s">
        <v>313</v>
      </c>
      <c r="C1016" t="s">
        <v>314</v>
      </c>
      <c r="D1016">
        <v>2016</v>
      </c>
      <c r="E1016" t="s">
        <v>47</v>
      </c>
      <c r="F1016">
        <v>95.8</v>
      </c>
      <c r="G1016" t="s">
        <v>350</v>
      </c>
      <c r="H1016">
        <f>electric_vehicles_dataset[[#This Row],[Battery_Capacity_kWh]]/electric_vehicles_dataset[[#This Row],[Range_km]]</f>
        <v>0.16719022687609075</v>
      </c>
      <c r="I1016">
        <v>573</v>
      </c>
      <c r="J1016" t="s">
        <v>105</v>
      </c>
      <c r="K1016">
        <v>1</v>
      </c>
      <c r="L1016" s="1">
        <v>113565.49</v>
      </c>
      <c r="M1016" s="1" t="str" cm="1">
        <f t="array" ref="M101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16" t="s">
        <v>91</v>
      </c>
      <c r="O1016" t="s">
        <v>236</v>
      </c>
      <c r="P1016" s="2" t="s">
        <v>394</v>
      </c>
      <c r="Q1016">
        <v>1</v>
      </c>
      <c r="R1016" t="s">
        <v>391</v>
      </c>
      <c r="S1016" s="1">
        <f>electric_vehicles_dataset[[#This Row],[Units_Sold_2024]]*electric_vehicles_dataset[[#This Row],[Price_USD]]</f>
        <v>2127422324.1700001</v>
      </c>
      <c r="T1016">
        <v>4</v>
      </c>
      <c r="U1016">
        <v>18733</v>
      </c>
      <c r="V1016">
        <v>3</v>
      </c>
    </row>
    <row r="1017" spans="1:22" x14ac:dyDescent="0.35">
      <c r="A1017">
        <v>1016</v>
      </c>
      <c r="B1017" t="s">
        <v>68</v>
      </c>
      <c r="C1017" t="s">
        <v>69</v>
      </c>
      <c r="D1017">
        <v>2018</v>
      </c>
      <c r="E1017" t="s">
        <v>101</v>
      </c>
      <c r="F1017">
        <v>126.9</v>
      </c>
      <c r="G1017" t="s">
        <v>352</v>
      </c>
      <c r="H1017">
        <f>electric_vehicles_dataset[[#This Row],[Battery_Capacity_kWh]]/electric_vehicles_dataset[[#This Row],[Range_km]]</f>
        <v>0.57945205479452055</v>
      </c>
      <c r="I1017">
        <v>219</v>
      </c>
      <c r="J1017" t="s">
        <v>27</v>
      </c>
      <c r="K1017">
        <v>9</v>
      </c>
      <c r="L1017" s="1">
        <v>53502.73</v>
      </c>
      <c r="M1017" s="1" t="str" cm="1">
        <f t="array" ref="M101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17" t="s">
        <v>205</v>
      </c>
      <c r="O1017" t="s">
        <v>63</v>
      </c>
      <c r="P1017" s="2" t="s">
        <v>389</v>
      </c>
      <c r="Q1017">
        <v>1</v>
      </c>
      <c r="R1017" t="s">
        <v>391</v>
      </c>
      <c r="S1017" s="1">
        <f>electric_vehicles_dataset[[#This Row],[Units_Sold_2024]]*electric_vehicles_dataset[[#This Row],[Price_USD]]</f>
        <v>235786531.11000001</v>
      </c>
      <c r="T1017">
        <v>3</v>
      </c>
      <c r="U1017">
        <v>4407</v>
      </c>
      <c r="V1017">
        <v>3</v>
      </c>
    </row>
    <row r="1018" spans="1:22" x14ac:dyDescent="0.35">
      <c r="A1018">
        <v>1017</v>
      </c>
      <c r="B1018" t="s">
        <v>64</v>
      </c>
      <c r="C1018" t="s">
        <v>65</v>
      </c>
      <c r="D1018">
        <v>2020</v>
      </c>
      <c r="E1018" t="s">
        <v>73</v>
      </c>
      <c r="F1018">
        <v>118.4</v>
      </c>
      <c r="G1018" t="s">
        <v>361</v>
      </c>
      <c r="H1018">
        <f>electric_vehicles_dataset[[#This Row],[Battery_Capacity_kWh]]/electric_vehicles_dataset[[#This Row],[Range_km]]</f>
        <v>0.24212678936605317</v>
      </c>
      <c r="I1018">
        <v>489</v>
      </c>
      <c r="J1018" t="s">
        <v>54</v>
      </c>
      <c r="K1018">
        <v>10</v>
      </c>
      <c r="L1018" s="1">
        <v>81818.7</v>
      </c>
      <c r="M1018" s="1" t="str" cm="1">
        <f t="array" ref="M101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18" t="s">
        <v>35</v>
      </c>
      <c r="O1018" t="s">
        <v>92</v>
      </c>
      <c r="P1018" s="2" t="s">
        <v>394</v>
      </c>
      <c r="Q1018">
        <v>1</v>
      </c>
      <c r="R1018" t="s">
        <v>391</v>
      </c>
      <c r="S1018" s="1">
        <f>electric_vehicles_dataset[[#This Row],[Units_Sold_2024]]*electric_vehicles_dataset[[#This Row],[Price_USD]]</f>
        <v>1004079086.4</v>
      </c>
      <c r="T1018">
        <v>4</v>
      </c>
      <c r="U1018">
        <v>12272</v>
      </c>
      <c r="V1018">
        <v>3</v>
      </c>
    </row>
    <row r="1019" spans="1:22" x14ac:dyDescent="0.35">
      <c r="A1019">
        <v>1018</v>
      </c>
      <c r="B1019" t="s">
        <v>82</v>
      </c>
      <c r="C1019" t="s">
        <v>83</v>
      </c>
      <c r="D1019">
        <v>2025</v>
      </c>
      <c r="E1019" t="s">
        <v>26</v>
      </c>
      <c r="F1019">
        <v>136.1</v>
      </c>
      <c r="G1019" t="s">
        <v>352</v>
      </c>
      <c r="H1019">
        <f>electric_vehicles_dataset[[#This Row],[Battery_Capacity_kWh]]/electric_vehicles_dataset[[#This Row],[Range_km]]</f>
        <v>0.87806451612903225</v>
      </c>
      <c r="I1019">
        <v>155</v>
      </c>
      <c r="J1019" t="s">
        <v>364</v>
      </c>
      <c r="K1019">
        <v>9</v>
      </c>
      <c r="L1019" s="1">
        <v>55414.22</v>
      </c>
      <c r="M1019" s="1" t="str" cm="1">
        <f t="array" ref="M10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19" t="s">
        <v>240</v>
      </c>
      <c r="O1019" t="s">
        <v>169</v>
      </c>
      <c r="P1019" s="2" t="s">
        <v>394</v>
      </c>
      <c r="Q1019">
        <v>1</v>
      </c>
      <c r="R1019" t="s">
        <v>391</v>
      </c>
      <c r="S1019" s="1">
        <f>electric_vehicles_dataset[[#This Row],[Units_Sold_2024]]*electric_vehicles_dataset[[#This Row],[Price_USD]]</f>
        <v>944646208.34000003</v>
      </c>
      <c r="T1019">
        <v>4</v>
      </c>
      <c r="U1019">
        <v>17047</v>
      </c>
      <c r="V1019">
        <v>5</v>
      </c>
    </row>
    <row r="1020" spans="1:22" x14ac:dyDescent="0.35">
      <c r="A1020">
        <v>1019</v>
      </c>
      <c r="B1020" t="s">
        <v>21</v>
      </c>
      <c r="C1020" t="s">
        <v>363</v>
      </c>
      <c r="D1020">
        <v>2022</v>
      </c>
      <c r="E1020" t="s">
        <v>101</v>
      </c>
      <c r="F1020">
        <v>127.7</v>
      </c>
      <c r="G1020" t="s">
        <v>352</v>
      </c>
      <c r="H1020">
        <f>electric_vehicles_dataset[[#This Row],[Battery_Capacity_kWh]]/electric_vehicles_dataset[[#This Row],[Range_km]]</f>
        <v>0.31608910891089109</v>
      </c>
      <c r="I1020">
        <v>404</v>
      </c>
      <c r="J1020" t="s">
        <v>359</v>
      </c>
      <c r="K1020">
        <v>12</v>
      </c>
      <c r="L1020" s="1">
        <v>80986.36</v>
      </c>
      <c r="M1020" s="1" t="str" cm="1">
        <f t="array" ref="M102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20" t="s">
        <v>217</v>
      </c>
      <c r="O1020" t="s">
        <v>236</v>
      </c>
      <c r="P1020" s="2" t="s">
        <v>394</v>
      </c>
      <c r="Q1020">
        <v>2</v>
      </c>
      <c r="R1020" t="s">
        <v>391</v>
      </c>
      <c r="S1020" s="1">
        <f>electric_vehicles_dataset[[#This Row],[Units_Sold_2024]]*electric_vehicles_dataset[[#This Row],[Price_USD]]</f>
        <v>520823281.16000003</v>
      </c>
      <c r="T1020">
        <v>3</v>
      </c>
      <c r="U1020">
        <v>6431</v>
      </c>
      <c r="V1020">
        <v>4</v>
      </c>
    </row>
    <row r="1021" spans="1:22" x14ac:dyDescent="0.35">
      <c r="A1021">
        <v>1020</v>
      </c>
      <c r="B1021" t="s">
        <v>176</v>
      </c>
      <c r="C1021" t="s">
        <v>365</v>
      </c>
      <c r="D1021">
        <v>2023</v>
      </c>
      <c r="E1021" t="s">
        <v>130</v>
      </c>
      <c r="F1021">
        <v>140.5</v>
      </c>
      <c r="G1021" t="s">
        <v>386</v>
      </c>
      <c r="H1021">
        <f>electric_vehicles_dataset[[#This Row],[Battery_Capacity_kWh]]/electric_vehicles_dataset[[#This Row],[Range_km]]</f>
        <v>0.25685557586837293</v>
      </c>
      <c r="I1021">
        <v>547</v>
      </c>
      <c r="J1021" t="s">
        <v>48</v>
      </c>
      <c r="K1021">
        <v>10</v>
      </c>
      <c r="L1021" s="1">
        <v>45213.47</v>
      </c>
      <c r="M1021" s="1" t="str" cm="1">
        <f t="array" ref="M102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21" t="s">
        <v>279</v>
      </c>
      <c r="O1021" t="s">
        <v>159</v>
      </c>
      <c r="P1021" s="2" t="s">
        <v>389</v>
      </c>
      <c r="Q1021">
        <v>4</v>
      </c>
      <c r="R1021" t="s">
        <v>392</v>
      </c>
      <c r="S1021" s="1">
        <f>electric_vehicles_dataset[[#This Row],[Units_Sold_2024]]*electric_vehicles_dataset[[#This Row],[Price_USD]]</f>
        <v>584610167.10000002</v>
      </c>
      <c r="T1021">
        <v>4</v>
      </c>
      <c r="U1021">
        <v>12930</v>
      </c>
      <c r="V1021">
        <v>5</v>
      </c>
    </row>
    <row r="1022" spans="1:22" x14ac:dyDescent="0.35">
      <c r="A1022">
        <v>1021</v>
      </c>
      <c r="B1022" t="s">
        <v>41</v>
      </c>
      <c r="C1022" t="s">
        <v>374</v>
      </c>
      <c r="D1022">
        <v>2015</v>
      </c>
      <c r="E1022" t="s">
        <v>47</v>
      </c>
      <c r="F1022">
        <v>43.4</v>
      </c>
      <c r="G1022" t="s">
        <v>348</v>
      </c>
      <c r="H1022">
        <f>electric_vehicles_dataset[[#This Row],[Battery_Capacity_kWh]]/electric_vehicles_dataset[[#This Row],[Range_km]]</f>
        <v>7.9197080291970798E-2</v>
      </c>
      <c r="I1022">
        <v>548</v>
      </c>
      <c r="J1022" t="s">
        <v>353</v>
      </c>
      <c r="K1022">
        <v>10</v>
      </c>
      <c r="L1022" s="1">
        <v>58857.95</v>
      </c>
      <c r="M1022" s="1" t="str" cm="1">
        <f t="array" ref="M102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22" t="s">
        <v>279</v>
      </c>
      <c r="O1022" t="s">
        <v>206</v>
      </c>
      <c r="P1022" s="2" t="s">
        <v>394</v>
      </c>
      <c r="Q1022">
        <v>4</v>
      </c>
      <c r="R1022" t="s">
        <v>392</v>
      </c>
      <c r="S1022" s="1">
        <f>electric_vehicles_dataset[[#This Row],[Units_Sold_2024]]*electric_vehicles_dataset[[#This Row],[Price_USD]]</f>
        <v>161153067.09999999</v>
      </c>
      <c r="T1022">
        <v>5</v>
      </c>
      <c r="U1022">
        <v>2738</v>
      </c>
      <c r="V1022">
        <v>4</v>
      </c>
    </row>
    <row r="1023" spans="1:22" x14ac:dyDescent="0.35">
      <c r="A1023">
        <v>1022</v>
      </c>
      <c r="B1023" t="s">
        <v>207</v>
      </c>
      <c r="C1023" t="s">
        <v>208</v>
      </c>
      <c r="D1023">
        <v>2016</v>
      </c>
      <c r="E1023" t="s">
        <v>133</v>
      </c>
      <c r="F1023">
        <v>53.9</v>
      </c>
      <c r="G1023" t="s">
        <v>348</v>
      </c>
      <c r="H1023">
        <f>electric_vehicles_dataset[[#This Row],[Battery_Capacity_kWh]]/electric_vehicles_dataset[[#This Row],[Range_km]]</f>
        <v>0.14146981627296587</v>
      </c>
      <c r="I1023">
        <v>381</v>
      </c>
      <c r="J1023" t="s">
        <v>18</v>
      </c>
      <c r="K1023">
        <v>10</v>
      </c>
      <c r="L1023" s="1">
        <v>35282.230000000003</v>
      </c>
      <c r="M1023" s="1" t="str" cm="1">
        <f t="array" ref="M102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23" t="s">
        <v>214</v>
      </c>
      <c r="O1023" t="s">
        <v>124</v>
      </c>
      <c r="P1023" s="2" t="s">
        <v>389</v>
      </c>
      <c r="Q1023">
        <v>4</v>
      </c>
      <c r="R1023" t="s">
        <v>392</v>
      </c>
      <c r="S1023" s="1">
        <f>electric_vehicles_dataset[[#This Row],[Units_Sold_2024]]*electric_vehicles_dataset[[#This Row],[Price_USD]]</f>
        <v>598810007.56000006</v>
      </c>
      <c r="T1023">
        <v>3</v>
      </c>
      <c r="U1023">
        <v>16972</v>
      </c>
      <c r="V1023">
        <v>3</v>
      </c>
    </row>
    <row r="1024" spans="1:22" x14ac:dyDescent="0.35">
      <c r="A1024">
        <v>1023</v>
      </c>
      <c r="B1024" t="s">
        <v>155</v>
      </c>
      <c r="C1024" t="s">
        <v>190</v>
      </c>
      <c r="D1024">
        <v>2016</v>
      </c>
      <c r="E1024" t="s">
        <v>42</v>
      </c>
      <c r="F1024">
        <v>113.7</v>
      </c>
      <c r="G1024" t="s">
        <v>361</v>
      </c>
      <c r="H1024">
        <f>electric_vehicles_dataset[[#This Row],[Battery_Capacity_kWh]]/electric_vehicles_dataset[[#This Row],[Range_km]]</f>
        <v>0.3</v>
      </c>
      <c r="I1024">
        <v>379</v>
      </c>
      <c r="J1024" t="s">
        <v>364</v>
      </c>
      <c r="K1024">
        <v>9</v>
      </c>
      <c r="L1024" s="1">
        <v>68621.09</v>
      </c>
      <c r="M1024" s="1" t="str" cm="1">
        <f t="array" ref="M102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24" t="s">
        <v>177</v>
      </c>
      <c r="O1024" t="s">
        <v>134</v>
      </c>
      <c r="P1024" s="2" t="s">
        <v>389</v>
      </c>
      <c r="Q1024">
        <v>2</v>
      </c>
      <c r="R1024" t="s">
        <v>391</v>
      </c>
      <c r="S1024" s="1">
        <f>electric_vehicles_dataset[[#This Row],[Units_Sold_2024]]*electric_vehicles_dataset[[#This Row],[Price_USD]]</f>
        <v>54416524.369999997</v>
      </c>
      <c r="T1024">
        <v>3</v>
      </c>
      <c r="U1024">
        <v>793</v>
      </c>
      <c r="V1024">
        <v>5</v>
      </c>
    </row>
    <row r="1025" spans="1:22" x14ac:dyDescent="0.35">
      <c r="A1025">
        <v>1024</v>
      </c>
      <c r="B1025" t="s">
        <v>144</v>
      </c>
      <c r="C1025" t="s">
        <v>273</v>
      </c>
      <c r="D1025">
        <v>2020</v>
      </c>
      <c r="E1025" t="s">
        <v>101</v>
      </c>
      <c r="F1025">
        <v>118.5</v>
      </c>
      <c r="G1025" t="s">
        <v>361</v>
      </c>
      <c r="H1025">
        <f>electric_vehicles_dataset[[#This Row],[Battery_Capacity_kWh]]/electric_vehicles_dataset[[#This Row],[Range_km]]</f>
        <v>0.23099415204678361</v>
      </c>
      <c r="I1025">
        <v>513</v>
      </c>
      <c r="J1025" t="s">
        <v>364</v>
      </c>
      <c r="K1025">
        <v>2</v>
      </c>
      <c r="L1025" s="1">
        <v>52850.64</v>
      </c>
      <c r="M1025" s="1" t="str" cm="1">
        <f t="array" ref="M102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25" t="s">
        <v>271</v>
      </c>
      <c r="O1025" t="s">
        <v>93</v>
      </c>
      <c r="P1025" s="2" t="s">
        <v>389</v>
      </c>
      <c r="Q1025">
        <v>4</v>
      </c>
      <c r="R1025" t="s">
        <v>392</v>
      </c>
      <c r="S1025" s="1">
        <f>electric_vehicles_dataset[[#This Row],[Units_Sold_2024]]*electric_vehicles_dataset[[#This Row],[Price_USD]]</f>
        <v>1047499684.8</v>
      </c>
      <c r="T1025">
        <v>4</v>
      </c>
      <c r="U1025">
        <v>19820</v>
      </c>
      <c r="V1025">
        <v>3</v>
      </c>
    </row>
    <row r="1026" spans="1:22" x14ac:dyDescent="0.35">
      <c r="A1026">
        <v>1025</v>
      </c>
      <c r="B1026" t="s">
        <v>259</v>
      </c>
      <c r="C1026" t="s">
        <v>298</v>
      </c>
      <c r="D1026">
        <v>2020</v>
      </c>
      <c r="E1026" t="s">
        <v>104</v>
      </c>
      <c r="F1026">
        <v>69.3</v>
      </c>
      <c r="G1026" t="s">
        <v>351</v>
      </c>
      <c r="H1026">
        <f>electric_vehicles_dataset[[#This Row],[Battery_Capacity_kWh]]/electric_vehicles_dataset[[#This Row],[Range_km]]</f>
        <v>0.43860759493670887</v>
      </c>
      <c r="I1026">
        <v>158</v>
      </c>
      <c r="J1026" t="s">
        <v>54</v>
      </c>
      <c r="K1026">
        <v>9</v>
      </c>
      <c r="L1026" s="1">
        <v>61296.49</v>
      </c>
      <c r="M1026" s="1" t="str" cm="1">
        <f t="array" ref="M102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26" t="s">
        <v>143</v>
      </c>
      <c r="O1026" t="s">
        <v>107</v>
      </c>
      <c r="P1026" s="2" t="s">
        <v>394</v>
      </c>
      <c r="Q1026">
        <v>4</v>
      </c>
      <c r="R1026" t="s">
        <v>392</v>
      </c>
      <c r="S1026" s="1">
        <f>electric_vehicles_dataset[[#This Row],[Units_Sold_2024]]*electric_vehicles_dataset[[#This Row],[Price_USD]]</f>
        <v>986444413.56999993</v>
      </c>
      <c r="T1026">
        <v>4</v>
      </c>
      <c r="U1026">
        <v>16093</v>
      </c>
      <c r="V1026">
        <v>5</v>
      </c>
    </row>
    <row r="1027" spans="1:22" x14ac:dyDescent="0.35">
      <c r="A1027">
        <v>1026</v>
      </c>
      <c r="B1027" t="s">
        <v>193</v>
      </c>
      <c r="C1027" t="s">
        <v>194</v>
      </c>
      <c r="D1027">
        <v>2017</v>
      </c>
      <c r="E1027" t="s">
        <v>101</v>
      </c>
      <c r="F1027">
        <v>127.2</v>
      </c>
      <c r="G1027" t="s">
        <v>352</v>
      </c>
      <c r="H1027">
        <f>electric_vehicles_dataset[[#This Row],[Battery_Capacity_kWh]]/electric_vehicles_dataset[[#This Row],[Range_km]]</f>
        <v>0.51497975708502031</v>
      </c>
      <c r="I1027">
        <v>247</v>
      </c>
      <c r="J1027" t="s">
        <v>27</v>
      </c>
      <c r="K1027">
        <v>4</v>
      </c>
      <c r="L1027" s="1">
        <v>86264.93</v>
      </c>
      <c r="M1027" s="1" t="str" cm="1">
        <f t="array" ref="M102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27" t="s">
        <v>246</v>
      </c>
      <c r="O1027" t="s">
        <v>199</v>
      </c>
      <c r="P1027" s="2" t="s">
        <v>394</v>
      </c>
      <c r="Q1027">
        <v>0</v>
      </c>
      <c r="R1027" t="s">
        <v>390</v>
      </c>
      <c r="S1027" s="1">
        <f>electric_vehicles_dataset[[#This Row],[Units_Sold_2024]]*electric_vehicles_dataset[[#This Row],[Price_USD]]</f>
        <v>738514065.7299999</v>
      </c>
      <c r="T1027">
        <v>4</v>
      </c>
      <c r="U1027">
        <v>8561</v>
      </c>
      <c r="V1027">
        <v>3</v>
      </c>
    </row>
    <row r="1028" spans="1:22" x14ac:dyDescent="0.35">
      <c r="A1028">
        <v>1027</v>
      </c>
      <c r="B1028" t="s">
        <v>24</v>
      </c>
      <c r="C1028" t="s">
        <v>272</v>
      </c>
      <c r="D1028">
        <v>2025</v>
      </c>
      <c r="E1028" t="s">
        <v>104</v>
      </c>
      <c r="F1028">
        <v>31.5</v>
      </c>
      <c r="G1028" t="s">
        <v>357</v>
      </c>
      <c r="H1028">
        <f>electric_vehicles_dataset[[#This Row],[Battery_Capacity_kWh]]/electric_vehicles_dataset[[#This Row],[Range_km]]</f>
        <v>6.702127659574468E-2</v>
      </c>
      <c r="I1028">
        <v>470</v>
      </c>
      <c r="J1028" t="s">
        <v>105</v>
      </c>
      <c r="K1028">
        <v>7</v>
      </c>
      <c r="L1028" s="1">
        <v>78622</v>
      </c>
      <c r="M1028" s="1" t="str" cm="1">
        <f t="array" ref="M102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28" t="s">
        <v>59</v>
      </c>
      <c r="O1028" t="s">
        <v>147</v>
      </c>
      <c r="P1028" s="2" t="s">
        <v>396</v>
      </c>
      <c r="Q1028">
        <v>1</v>
      </c>
      <c r="R1028" t="s">
        <v>391</v>
      </c>
      <c r="S1028" s="1">
        <f>electric_vehicles_dataset[[#This Row],[Units_Sold_2024]]*electric_vehicles_dataset[[#This Row],[Price_USD]]</f>
        <v>952033798</v>
      </c>
      <c r="T1028">
        <v>4</v>
      </c>
      <c r="U1028">
        <v>12109</v>
      </c>
      <c r="V1028">
        <v>5</v>
      </c>
    </row>
    <row r="1029" spans="1:22" x14ac:dyDescent="0.35">
      <c r="A1029">
        <v>1028</v>
      </c>
      <c r="B1029" t="s">
        <v>71</v>
      </c>
      <c r="C1029" t="s">
        <v>330</v>
      </c>
      <c r="D1029">
        <v>2019</v>
      </c>
      <c r="E1029" t="s">
        <v>26</v>
      </c>
      <c r="F1029">
        <v>42.1</v>
      </c>
      <c r="G1029" t="s">
        <v>348</v>
      </c>
      <c r="H1029">
        <f>electric_vehicles_dataset[[#This Row],[Battery_Capacity_kWh]]/electric_vehicles_dataset[[#This Row],[Range_km]]</f>
        <v>0.10658227848101266</v>
      </c>
      <c r="I1029">
        <v>395</v>
      </c>
      <c r="J1029" t="s">
        <v>34</v>
      </c>
      <c r="K1029">
        <v>9</v>
      </c>
      <c r="L1029" s="1">
        <v>96305.2</v>
      </c>
      <c r="M1029" s="1" t="str" cm="1">
        <f t="array" ref="M102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29" t="s">
        <v>210</v>
      </c>
      <c r="O1029" t="s">
        <v>226</v>
      </c>
      <c r="P1029" s="2" t="s">
        <v>395</v>
      </c>
      <c r="Q1029">
        <v>1</v>
      </c>
      <c r="R1029" t="s">
        <v>391</v>
      </c>
      <c r="S1029" s="1">
        <f>electric_vehicles_dataset[[#This Row],[Units_Sold_2024]]*electric_vehicles_dataset[[#This Row],[Price_USD]]</f>
        <v>1761711023.5999999</v>
      </c>
      <c r="T1029">
        <v>5</v>
      </c>
      <c r="U1029">
        <v>18293</v>
      </c>
      <c r="V1029">
        <v>4</v>
      </c>
    </row>
    <row r="1030" spans="1:22" x14ac:dyDescent="0.35">
      <c r="A1030">
        <v>1029</v>
      </c>
      <c r="B1030" t="s">
        <v>155</v>
      </c>
      <c r="C1030" t="s">
        <v>190</v>
      </c>
      <c r="D1030">
        <v>2015</v>
      </c>
      <c r="E1030" t="s">
        <v>183</v>
      </c>
      <c r="F1030">
        <v>101.2</v>
      </c>
      <c r="G1030" t="s">
        <v>361</v>
      </c>
      <c r="H1030">
        <f>electric_vehicles_dataset[[#This Row],[Battery_Capacity_kWh]]/electric_vehicles_dataset[[#This Row],[Range_km]]</f>
        <v>0.23811764705882354</v>
      </c>
      <c r="I1030">
        <v>425</v>
      </c>
      <c r="J1030" t="s">
        <v>85</v>
      </c>
      <c r="K1030">
        <v>2</v>
      </c>
      <c r="L1030" s="1">
        <v>37285.410000000003</v>
      </c>
      <c r="M1030" s="1" t="str" cm="1">
        <f t="array" ref="M103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30" t="s">
        <v>271</v>
      </c>
      <c r="O1030" t="s">
        <v>67</v>
      </c>
      <c r="P1030" s="2" t="s">
        <v>394</v>
      </c>
      <c r="Q1030">
        <v>3</v>
      </c>
      <c r="R1030" t="s">
        <v>397</v>
      </c>
      <c r="S1030" s="1">
        <f>electric_vehicles_dataset[[#This Row],[Units_Sold_2024]]*electric_vehicles_dataset[[#This Row],[Price_USD]]</f>
        <v>646640865.63000011</v>
      </c>
      <c r="T1030">
        <v>5</v>
      </c>
      <c r="U1030">
        <v>17343</v>
      </c>
      <c r="V1030">
        <v>5</v>
      </c>
    </row>
    <row r="1031" spans="1:22" x14ac:dyDescent="0.35">
      <c r="A1031">
        <v>1030</v>
      </c>
      <c r="B1031" t="s">
        <v>79</v>
      </c>
      <c r="C1031" t="s">
        <v>299</v>
      </c>
      <c r="D1031">
        <v>2025</v>
      </c>
      <c r="E1031" t="s">
        <v>17</v>
      </c>
      <c r="F1031">
        <v>53.6</v>
      </c>
      <c r="G1031" t="s">
        <v>348</v>
      </c>
      <c r="H1031">
        <f>electric_vehicles_dataset[[#This Row],[Battery_Capacity_kWh]]/electric_vehicles_dataset[[#This Row],[Range_km]]</f>
        <v>9.9628252788104096E-2</v>
      </c>
      <c r="I1031">
        <v>538</v>
      </c>
      <c r="J1031" t="s">
        <v>85</v>
      </c>
      <c r="K1031">
        <v>7</v>
      </c>
      <c r="L1031" s="1">
        <v>86837.01</v>
      </c>
      <c r="M1031" s="1" t="str" cm="1">
        <f t="array" ref="M103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31" t="s">
        <v>100</v>
      </c>
      <c r="O1031" t="s">
        <v>121</v>
      </c>
      <c r="P1031" s="2" t="s">
        <v>398</v>
      </c>
      <c r="Q1031">
        <v>5</v>
      </c>
      <c r="R1031" t="s">
        <v>392</v>
      </c>
      <c r="S1031" s="1">
        <f>electric_vehicles_dataset[[#This Row],[Units_Sold_2024]]*electric_vehicles_dataset[[#This Row],[Price_USD]]</f>
        <v>1137304319.97</v>
      </c>
      <c r="T1031">
        <v>3</v>
      </c>
      <c r="U1031">
        <v>13097</v>
      </c>
      <c r="V1031">
        <v>4</v>
      </c>
    </row>
    <row r="1032" spans="1:22" x14ac:dyDescent="0.35">
      <c r="A1032">
        <v>1031</v>
      </c>
      <c r="B1032" t="s">
        <v>87</v>
      </c>
      <c r="C1032" t="s">
        <v>191</v>
      </c>
      <c r="D1032">
        <v>2025</v>
      </c>
      <c r="E1032" t="s">
        <v>58</v>
      </c>
      <c r="F1032">
        <v>38.4</v>
      </c>
      <c r="G1032" t="s">
        <v>357</v>
      </c>
      <c r="H1032">
        <f>electric_vehicles_dataset[[#This Row],[Battery_Capacity_kWh]]/electric_vehicles_dataset[[#This Row],[Range_km]]</f>
        <v>0.12631578947368421</v>
      </c>
      <c r="I1032">
        <v>304</v>
      </c>
      <c r="J1032" t="s">
        <v>54</v>
      </c>
      <c r="K1032">
        <v>9</v>
      </c>
      <c r="L1032" s="1">
        <v>92606.82</v>
      </c>
      <c r="M1032" s="1" t="str" cm="1">
        <f t="array" ref="M10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32" t="s">
        <v>39</v>
      </c>
      <c r="O1032" t="s">
        <v>111</v>
      </c>
      <c r="P1032" s="2" t="s">
        <v>389</v>
      </c>
      <c r="Q1032">
        <v>1</v>
      </c>
      <c r="R1032" t="s">
        <v>391</v>
      </c>
      <c r="S1032" s="1">
        <f>electric_vehicles_dataset[[#This Row],[Units_Sold_2024]]*electric_vehicles_dataset[[#This Row],[Price_USD]]</f>
        <v>395986762.32000005</v>
      </c>
      <c r="T1032">
        <v>5</v>
      </c>
      <c r="U1032">
        <v>4276</v>
      </c>
      <c r="V1032">
        <v>4</v>
      </c>
    </row>
    <row r="1033" spans="1:22" x14ac:dyDescent="0.35">
      <c r="A1033">
        <v>1032</v>
      </c>
      <c r="B1033" t="s">
        <v>259</v>
      </c>
      <c r="C1033" t="s">
        <v>260</v>
      </c>
      <c r="D1033">
        <v>2018</v>
      </c>
      <c r="E1033" t="s">
        <v>58</v>
      </c>
      <c r="F1033">
        <v>60.2</v>
      </c>
      <c r="G1033" t="s">
        <v>351</v>
      </c>
      <c r="H1033">
        <f>electric_vehicles_dataset[[#This Row],[Battery_Capacity_kWh]]/electric_vehicles_dataset[[#This Row],[Range_km]]</f>
        <v>0.12088353413654619</v>
      </c>
      <c r="I1033">
        <v>498</v>
      </c>
      <c r="J1033" t="s">
        <v>105</v>
      </c>
      <c r="K1033">
        <v>1</v>
      </c>
      <c r="L1033" s="1">
        <v>134813.29999999999</v>
      </c>
      <c r="M1033" s="1" t="str" cm="1">
        <f t="array" ref="M10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33" t="s">
        <v>257</v>
      </c>
      <c r="O1033" t="s">
        <v>110</v>
      </c>
      <c r="P1033" s="2" t="s">
        <v>394</v>
      </c>
      <c r="Q1033">
        <v>5</v>
      </c>
      <c r="R1033" t="s">
        <v>392</v>
      </c>
      <c r="S1033" s="1">
        <f>electric_vehicles_dataset[[#This Row],[Units_Sold_2024]]*electric_vehicles_dataset[[#This Row],[Price_USD]]</f>
        <v>1283692242.5999999</v>
      </c>
      <c r="T1033">
        <v>4</v>
      </c>
      <c r="U1033">
        <v>9522</v>
      </c>
      <c r="V1033">
        <v>3</v>
      </c>
    </row>
    <row r="1034" spans="1:22" x14ac:dyDescent="0.35">
      <c r="A1034">
        <v>1033</v>
      </c>
      <c r="B1034" t="s">
        <v>120</v>
      </c>
      <c r="C1034" t="s">
        <v>362</v>
      </c>
      <c r="D1034">
        <v>2018</v>
      </c>
      <c r="E1034" t="s">
        <v>17</v>
      </c>
      <c r="F1034">
        <v>107.8</v>
      </c>
      <c r="G1034" t="s">
        <v>361</v>
      </c>
      <c r="H1034">
        <f>electric_vehicles_dataset[[#This Row],[Battery_Capacity_kWh]]/electric_vehicles_dataset[[#This Row],[Range_km]]</f>
        <v>0.39343065693430657</v>
      </c>
      <c r="I1034">
        <v>274</v>
      </c>
      <c r="J1034" t="s">
        <v>85</v>
      </c>
      <c r="K1034">
        <v>4</v>
      </c>
      <c r="L1034" s="1">
        <v>145106.21</v>
      </c>
      <c r="M1034" s="1" t="str" cm="1">
        <f t="array" ref="M103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34" t="s">
        <v>254</v>
      </c>
      <c r="O1034" t="s">
        <v>135</v>
      </c>
      <c r="P1034" s="2" t="s">
        <v>389</v>
      </c>
      <c r="Q1034">
        <v>3</v>
      </c>
      <c r="R1034" t="s">
        <v>397</v>
      </c>
      <c r="S1034" s="1">
        <f>electric_vehicles_dataset[[#This Row],[Units_Sold_2024]]*electric_vehicles_dataset[[#This Row],[Price_USD]]</f>
        <v>1381701331.6199999</v>
      </c>
      <c r="T1034">
        <v>4</v>
      </c>
      <c r="U1034">
        <v>9522</v>
      </c>
      <c r="V1034">
        <v>5</v>
      </c>
    </row>
    <row r="1035" spans="1:22" x14ac:dyDescent="0.35">
      <c r="A1035">
        <v>1034</v>
      </c>
      <c r="B1035" t="s">
        <v>261</v>
      </c>
      <c r="C1035" t="s">
        <v>370</v>
      </c>
      <c r="D1035">
        <v>2023</v>
      </c>
      <c r="E1035" t="s">
        <v>53</v>
      </c>
      <c r="F1035">
        <v>139.30000000000001</v>
      </c>
      <c r="G1035" t="s">
        <v>352</v>
      </c>
      <c r="H1035">
        <f>electric_vehicles_dataset[[#This Row],[Battery_Capacity_kWh]]/electric_vehicles_dataset[[#This Row],[Range_km]]</f>
        <v>0.28141414141414145</v>
      </c>
      <c r="I1035">
        <v>495</v>
      </c>
      <c r="J1035" t="s">
        <v>353</v>
      </c>
      <c r="K1035">
        <v>9</v>
      </c>
      <c r="L1035" s="1">
        <v>74204.62</v>
      </c>
      <c r="M1035" s="1" t="str" cm="1">
        <f t="array" ref="M103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35" t="s">
        <v>114</v>
      </c>
      <c r="O1035" t="s">
        <v>206</v>
      </c>
      <c r="P1035" s="2" t="s">
        <v>394</v>
      </c>
      <c r="Q1035">
        <v>2</v>
      </c>
      <c r="R1035" t="s">
        <v>391</v>
      </c>
      <c r="S1035" s="1">
        <f>electric_vehicles_dataset[[#This Row],[Units_Sold_2024]]*electric_vehicles_dataset[[#This Row],[Price_USD]]</f>
        <v>1483424558.4199998</v>
      </c>
      <c r="T1035">
        <v>4</v>
      </c>
      <c r="U1035">
        <v>19991</v>
      </c>
      <c r="V1035">
        <v>5</v>
      </c>
    </row>
    <row r="1036" spans="1:22" x14ac:dyDescent="0.35">
      <c r="A1036">
        <v>1035</v>
      </c>
      <c r="B1036" t="s">
        <v>71</v>
      </c>
      <c r="C1036" t="s">
        <v>72</v>
      </c>
      <c r="D1036">
        <v>2020</v>
      </c>
      <c r="E1036" t="s">
        <v>84</v>
      </c>
      <c r="F1036">
        <v>57.7</v>
      </c>
      <c r="G1036" t="s">
        <v>348</v>
      </c>
      <c r="H1036">
        <f>electric_vehicles_dataset[[#This Row],[Battery_Capacity_kWh]]/electric_vehicles_dataset[[#This Row],[Range_km]]</f>
        <v>0.13512880562060892</v>
      </c>
      <c r="I1036">
        <v>427</v>
      </c>
      <c r="J1036" t="s">
        <v>27</v>
      </c>
      <c r="K1036">
        <v>12</v>
      </c>
      <c r="L1036" s="1">
        <v>64965.15</v>
      </c>
      <c r="M1036" s="1" t="str" cm="1">
        <f t="array" ref="M10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36" t="s">
        <v>205</v>
      </c>
      <c r="O1036" t="s">
        <v>124</v>
      </c>
      <c r="P1036" s="2" t="s">
        <v>389</v>
      </c>
      <c r="Q1036">
        <v>2</v>
      </c>
      <c r="R1036" t="s">
        <v>391</v>
      </c>
      <c r="S1036" s="1">
        <f>electric_vehicles_dataset[[#This Row],[Units_Sold_2024]]*electric_vehicles_dataset[[#This Row],[Price_USD]]</f>
        <v>670700208.60000002</v>
      </c>
      <c r="T1036">
        <v>5</v>
      </c>
      <c r="U1036">
        <v>10324</v>
      </c>
      <c r="V1036">
        <v>5</v>
      </c>
    </row>
    <row r="1037" spans="1:22" x14ac:dyDescent="0.35">
      <c r="A1037">
        <v>1036</v>
      </c>
      <c r="B1037" t="s">
        <v>64</v>
      </c>
      <c r="C1037" t="s">
        <v>65</v>
      </c>
      <c r="D1037">
        <v>2018</v>
      </c>
      <c r="E1037" t="s">
        <v>183</v>
      </c>
      <c r="F1037">
        <v>38.4</v>
      </c>
      <c r="G1037" t="s">
        <v>357</v>
      </c>
      <c r="H1037">
        <f>electric_vehicles_dataset[[#This Row],[Battery_Capacity_kWh]]/electric_vehicles_dataset[[#This Row],[Range_km]]</f>
        <v>0.25263157894736843</v>
      </c>
      <c r="I1037">
        <v>152</v>
      </c>
      <c r="J1037" t="s">
        <v>364</v>
      </c>
      <c r="K1037">
        <v>2</v>
      </c>
      <c r="L1037" s="1">
        <v>101982.62</v>
      </c>
      <c r="M1037" s="1" t="str" cm="1">
        <f t="array" ref="M103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37" t="s">
        <v>212</v>
      </c>
      <c r="O1037" t="s">
        <v>40</v>
      </c>
      <c r="P1037" s="2" t="s">
        <v>395</v>
      </c>
      <c r="Q1037">
        <v>0</v>
      </c>
      <c r="R1037" t="s">
        <v>390</v>
      </c>
      <c r="S1037" s="1">
        <f>electric_vehicles_dataset[[#This Row],[Units_Sold_2024]]*electric_vehicles_dataset[[#This Row],[Price_USD]]</f>
        <v>805662698</v>
      </c>
      <c r="T1037">
        <v>3</v>
      </c>
      <c r="U1037">
        <v>7900</v>
      </c>
      <c r="V1037">
        <v>5</v>
      </c>
    </row>
    <row r="1038" spans="1:22" x14ac:dyDescent="0.35">
      <c r="A1038">
        <v>1037</v>
      </c>
      <c r="B1038" t="s">
        <v>200</v>
      </c>
      <c r="C1038" t="s">
        <v>338</v>
      </c>
      <c r="D1038">
        <v>2022</v>
      </c>
      <c r="E1038" t="s">
        <v>31</v>
      </c>
      <c r="F1038">
        <v>37.5</v>
      </c>
      <c r="G1038" t="s">
        <v>357</v>
      </c>
      <c r="H1038">
        <f>electric_vehicles_dataset[[#This Row],[Battery_Capacity_kWh]]/electric_vehicles_dataset[[#This Row],[Range_km]]</f>
        <v>8.7412587412587409E-2</v>
      </c>
      <c r="I1038">
        <v>429</v>
      </c>
      <c r="J1038" t="s">
        <v>38</v>
      </c>
      <c r="K1038">
        <v>12</v>
      </c>
      <c r="L1038" s="1">
        <v>34705.339999999997</v>
      </c>
      <c r="M1038" s="1" t="str" cm="1">
        <f t="array" ref="M103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38" t="s">
        <v>70</v>
      </c>
      <c r="O1038" t="s">
        <v>95</v>
      </c>
      <c r="P1038" s="2" t="s">
        <v>394</v>
      </c>
      <c r="Q1038">
        <v>0</v>
      </c>
      <c r="R1038" t="s">
        <v>390</v>
      </c>
      <c r="S1038" s="1">
        <f>electric_vehicles_dataset[[#This Row],[Units_Sold_2024]]*electric_vehicles_dataset[[#This Row],[Price_USD]]</f>
        <v>564794703.15999997</v>
      </c>
      <c r="T1038">
        <v>5</v>
      </c>
      <c r="U1038">
        <v>16274</v>
      </c>
      <c r="V1038">
        <v>4</v>
      </c>
    </row>
    <row r="1039" spans="1:22" x14ac:dyDescent="0.35">
      <c r="A1039">
        <v>1038</v>
      </c>
      <c r="B1039" t="s">
        <v>24</v>
      </c>
      <c r="C1039" t="s">
        <v>25</v>
      </c>
      <c r="D1039">
        <v>2022</v>
      </c>
      <c r="E1039" t="s">
        <v>47</v>
      </c>
      <c r="F1039">
        <v>131.6</v>
      </c>
      <c r="G1039" t="s">
        <v>352</v>
      </c>
      <c r="H1039">
        <f>electric_vehicles_dataset[[#This Row],[Battery_Capacity_kWh]]/electric_vehicles_dataset[[#This Row],[Range_km]]</f>
        <v>0.26425702811244978</v>
      </c>
      <c r="I1039">
        <v>498</v>
      </c>
      <c r="J1039" t="s">
        <v>76</v>
      </c>
      <c r="K1039">
        <v>1</v>
      </c>
      <c r="L1039" s="1">
        <v>52179.46</v>
      </c>
      <c r="M1039" s="1" t="str" cm="1">
        <f t="array" ref="M10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39" t="s">
        <v>257</v>
      </c>
      <c r="O1039" t="s">
        <v>135</v>
      </c>
      <c r="P1039" s="2" t="s">
        <v>389</v>
      </c>
      <c r="Q1039">
        <v>0</v>
      </c>
      <c r="R1039" t="s">
        <v>390</v>
      </c>
      <c r="S1039" s="1">
        <f>electric_vehicles_dataset[[#This Row],[Units_Sold_2024]]*electric_vehicles_dataset[[#This Row],[Price_USD]]</f>
        <v>191498618.19999999</v>
      </c>
      <c r="T1039">
        <v>4</v>
      </c>
      <c r="U1039">
        <v>3670</v>
      </c>
      <c r="V1039">
        <v>5</v>
      </c>
    </row>
    <row r="1040" spans="1:22" x14ac:dyDescent="0.35">
      <c r="A1040">
        <v>1039</v>
      </c>
      <c r="B1040" t="s">
        <v>60</v>
      </c>
      <c r="C1040" t="s">
        <v>233</v>
      </c>
      <c r="D1040">
        <v>2024</v>
      </c>
      <c r="E1040" t="s">
        <v>47</v>
      </c>
      <c r="F1040">
        <v>140.19999999999999</v>
      </c>
      <c r="G1040" t="s">
        <v>386</v>
      </c>
      <c r="H1040">
        <f>electric_vehicles_dataset[[#This Row],[Battery_Capacity_kWh]]/electric_vehicles_dataset[[#This Row],[Range_km]]</f>
        <v>0.62311111111111106</v>
      </c>
      <c r="I1040">
        <v>225</v>
      </c>
      <c r="J1040" t="s">
        <v>34</v>
      </c>
      <c r="K1040">
        <v>4</v>
      </c>
      <c r="L1040" s="1">
        <v>106420.01</v>
      </c>
      <c r="M1040" s="1" t="str" cm="1">
        <f t="array" ref="M104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40" t="s">
        <v>214</v>
      </c>
      <c r="O1040" t="s">
        <v>161</v>
      </c>
      <c r="P1040" s="2" t="s">
        <v>389</v>
      </c>
      <c r="Q1040">
        <v>4</v>
      </c>
      <c r="R1040" t="s">
        <v>392</v>
      </c>
      <c r="S1040" s="1">
        <f>electric_vehicles_dataset[[#This Row],[Units_Sold_2024]]*electric_vehicles_dataset[[#This Row],[Price_USD]]</f>
        <v>10642001</v>
      </c>
      <c r="T1040">
        <v>4</v>
      </c>
      <c r="U1040">
        <v>100</v>
      </c>
      <c r="V1040">
        <v>5</v>
      </c>
    </row>
    <row r="1041" spans="1:22" x14ac:dyDescent="0.35">
      <c r="A1041">
        <v>1040</v>
      </c>
      <c r="B1041" t="s">
        <v>94</v>
      </c>
      <c r="C1041" t="s">
        <v>99</v>
      </c>
      <c r="D1041">
        <v>2021</v>
      </c>
      <c r="E1041" t="s">
        <v>104</v>
      </c>
      <c r="F1041">
        <v>99.3</v>
      </c>
      <c r="G1041" t="s">
        <v>350</v>
      </c>
      <c r="H1041">
        <f>electric_vehicles_dataset[[#This Row],[Battery_Capacity_kWh]]/electric_vehicles_dataset[[#This Row],[Range_km]]</f>
        <v>0.35848375451263537</v>
      </c>
      <c r="I1041">
        <v>277</v>
      </c>
      <c r="J1041" t="s">
        <v>18</v>
      </c>
      <c r="K1041">
        <v>11</v>
      </c>
      <c r="L1041" s="1">
        <v>39150.230000000003</v>
      </c>
      <c r="M1041" s="1" t="str" cm="1">
        <f t="array" ref="M104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41" t="s">
        <v>160</v>
      </c>
      <c r="O1041" t="s">
        <v>92</v>
      </c>
      <c r="P1041" s="2" t="s">
        <v>394</v>
      </c>
      <c r="Q1041">
        <v>4</v>
      </c>
      <c r="R1041" t="s">
        <v>392</v>
      </c>
      <c r="S1041" s="1">
        <f>electric_vehicles_dataset[[#This Row],[Units_Sold_2024]]*electric_vehicles_dataset[[#This Row],[Price_USD]]</f>
        <v>691745413.87</v>
      </c>
      <c r="T1041">
        <v>3</v>
      </c>
      <c r="U1041">
        <v>17669</v>
      </c>
      <c r="V1041">
        <v>4</v>
      </c>
    </row>
    <row r="1042" spans="1:22" x14ac:dyDescent="0.35">
      <c r="A1042">
        <v>1041</v>
      </c>
      <c r="B1042" t="s">
        <v>128</v>
      </c>
      <c r="C1042" t="s">
        <v>268</v>
      </c>
      <c r="D1042">
        <v>2021</v>
      </c>
      <c r="E1042" t="s">
        <v>47</v>
      </c>
      <c r="F1042">
        <v>82.1</v>
      </c>
      <c r="G1042" t="s">
        <v>350</v>
      </c>
      <c r="H1042">
        <f>electric_vehicles_dataset[[#This Row],[Battery_Capacity_kWh]]/electric_vehicles_dataset[[#This Row],[Range_km]]</f>
        <v>0.15519848771266539</v>
      </c>
      <c r="I1042">
        <v>529</v>
      </c>
      <c r="J1042" t="s">
        <v>76</v>
      </c>
      <c r="K1042">
        <v>7</v>
      </c>
      <c r="L1042" s="1">
        <v>120782.54</v>
      </c>
      <c r="M1042" s="1" t="str" cm="1">
        <f t="array" ref="M10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42" t="s">
        <v>70</v>
      </c>
      <c r="O1042" t="s">
        <v>63</v>
      </c>
      <c r="P1042" s="2" t="s">
        <v>389</v>
      </c>
      <c r="Q1042">
        <v>5</v>
      </c>
      <c r="R1042" t="s">
        <v>392</v>
      </c>
      <c r="S1042" s="1">
        <f>electric_vehicles_dataset[[#This Row],[Units_Sold_2024]]*electric_vehicles_dataset[[#This Row],[Price_USD]]</f>
        <v>2001970600.5</v>
      </c>
      <c r="T1042">
        <v>5</v>
      </c>
      <c r="U1042">
        <v>16575</v>
      </c>
      <c r="V1042">
        <v>3</v>
      </c>
    </row>
    <row r="1043" spans="1:22" x14ac:dyDescent="0.35">
      <c r="A1043">
        <v>1042</v>
      </c>
      <c r="B1043" t="s">
        <v>29</v>
      </c>
      <c r="C1043" t="s">
        <v>197</v>
      </c>
      <c r="D1043">
        <v>2022</v>
      </c>
      <c r="E1043" t="s">
        <v>133</v>
      </c>
      <c r="F1043">
        <v>63.6</v>
      </c>
      <c r="G1043" t="s">
        <v>351</v>
      </c>
      <c r="H1043">
        <f>electric_vehicles_dataset[[#This Row],[Battery_Capacity_kWh]]/electric_vehicles_dataset[[#This Row],[Range_km]]</f>
        <v>0.20254777070063695</v>
      </c>
      <c r="I1043">
        <v>314</v>
      </c>
      <c r="J1043" t="s">
        <v>364</v>
      </c>
      <c r="K1043">
        <v>2</v>
      </c>
      <c r="L1043" s="1">
        <v>142053.35</v>
      </c>
      <c r="M1043" s="1" t="str" cm="1">
        <f t="array" ref="M104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43" t="s">
        <v>35</v>
      </c>
      <c r="O1043" t="s">
        <v>265</v>
      </c>
      <c r="P1043" s="2" t="s">
        <v>389</v>
      </c>
      <c r="Q1043">
        <v>5</v>
      </c>
      <c r="R1043" t="s">
        <v>392</v>
      </c>
      <c r="S1043" s="1">
        <f>electric_vehicles_dataset[[#This Row],[Units_Sold_2024]]*electric_vehicles_dataset[[#This Row],[Price_USD]]</f>
        <v>1707481267</v>
      </c>
      <c r="T1043">
        <v>3</v>
      </c>
      <c r="U1043">
        <v>12020</v>
      </c>
      <c r="V1043">
        <v>5</v>
      </c>
    </row>
    <row r="1044" spans="1:22" x14ac:dyDescent="0.35">
      <c r="A1044">
        <v>1043</v>
      </c>
      <c r="B1044" t="s">
        <v>144</v>
      </c>
      <c r="C1044" t="s">
        <v>145</v>
      </c>
      <c r="D1044">
        <v>2018</v>
      </c>
      <c r="E1044" t="s">
        <v>130</v>
      </c>
      <c r="F1044">
        <v>141.6</v>
      </c>
      <c r="G1044" t="s">
        <v>386</v>
      </c>
      <c r="H1044">
        <f>electric_vehicles_dataset[[#This Row],[Battery_Capacity_kWh]]/electric_vehicles_dataset[[#This Row],[Range_km]]</f>
        <v>0.44388714733542317</v>
      </c>
      <c r="I1044">
        <v>319</v>
      </c>
      <c r="J1044" t="s">
        <v>358</v>
      </c>
      <c r="K1044">
        <v>12</v>
      </c>
      <c r="L1044" s="1">
        <v>119250.86</v>
      </c>
      <c r="M1044" s="1" t="str" cm="1">
        <f t="array" ref="M10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44" t="s">
        <v>212</v>
      </c>
      <c r="O1044" t="s">
        <v>93</v>
      </c>
      <c r="P1044" s="2" t="s">
        <v>389</v>
      </c>
      <c r="Q1044">
        <v>5</v>
      </c>
      <c r="R1044" t="s">
        <v>392</v>
      </c>
      <c r="S1044" s="1">
        <f>electric_vehicles_dataset[[#This Row],[Units_Sold_2024]]*electric_vehicles_dataset[[#This Row],[Price_USD]]</f>
        <v>164685437.66</v>
      </c>
      <c r="T1044">
        <v>3</v>
      </c>
      <c r="U1044">
        <v>1381</v>
      </c>
      <c r="V1044">
        <v>3</v>
      </c>
    </row>
    <row r="1045" spans="1:22" x14ac:dyDescent="0.35">
      <c r="A1045">
        <v>1044</v>
      </c>
      <c r="B1045" t="s">
        <v>71</v>
      </c>
      <c r="C1045" t="s">
        <v>255</v>
      </c>
      <c r="D1045">
        <v>2018</v>
      </c>
      <c r="E1045" t="s">
        <v>104</v>
      </c>
      <c r="F1045">
        <v>70.8</v>
      </c>
      <c r="G1045" t="s">
        <v>351</v>
      </c>
      <c r="H1045">
        <f>electric_vehicles_dataset[[#This Row],[Battery_Capacity_kWh]]/electric_vehicles_dataset[[#This Row],[Range_km]]</f>
        <v>0.12826086956521737</v>
      </c>
      <c r="I1045">
        <v>552</v>
      </c>
      <c r="J1045" t="s">
        <v>364</v>
      </c>
      <c r="K1045">
        <v>10</v>
      </c>
      <c r="L1045" s="1">
        <v>121528.34</v>
      </c>
      <c r="M1045" s="1" t="str" cm="1">
        <f t="array" ref="M10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45" t="s">
        <v>28</v>
      </c>
      <c r="O1045" t="s">
        <v>44</v>
      </c>
      <c r="P1045" s="2" t="s">
        <v>389</v>
      </c>
      <c r="Q1045">
        <v>0</v>
      </c>
      <c r="R1045" t="s">
        <v>390</v>
      </c>
      <c r="S1045" s="1">
        <f>electric_vehicles_dataset[[#This Row],[Units_Sold_2024]]*electric_vehicles_dataset[[#This Row],[Price_USD]]</f>
        <v>698909483.34000003</v>
      </c>
      <c r="T1045">
        <v>3</v>
      </c>
      <c r="U1045">
        <v>5751</v>
      </c>
      <c r="V1045">
        <v>3</v>
      </c>
    </row>
    <row r="1046" spans="1:22" x14ac:dyDescent="0.35">
      <c r="A1046">
        <v>1045</v>
      </c>
      <c r="B1046" t="s">
        <v>180</v>
      </c>
      <c r="C1046" t="s">
        <v>181</v>
      </c>
      <c r="D1046">
        <v>2020</v>
      </c>
      <c r="E1046" t="s">
        <v>84</v>
      </c>
      <c r="F1046">
        <v>126.3</v>
      </c>
      <c r="G1046" t="s">
        <v>352</v>
      </c>
      <c r="H1046">
        <f>electric_vehicles_dataset[[#This Row],[Battery_Capacity_kWh]]/electric_vehicles_dataset[[#This Row],[Range_km]]</f>
        <v>0.35083333333333333</v>
      </c>
      <c r="I1046">
        <v>360</v>
      </c>
      <c r="J1046" t="s">
        <v>85</v>
      </c>
      <c r="K1046">
        <v>6</v>
      </c>
      <c r="L1046" s="1">
        <v>43052.84</v>
      </c>
      <c r="M1046" s="1" t="str" cm="1">
        <f t="array" ref="M10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46" t="s">
        <v>238</v>
      </c>
      <c r="O1046" t="s">
        <v>230</v>
      </c>
      <c r="P1046" s="2" t="s">
        <v>389</v>
      </c>
      <c r="Q1046">
        <v>4</v>
      </c>
      <c r="R1046" t="s">
        <v>392</v>
      </c>
      <c r="S1046" s="1">
        <f>electric_vehicles_dataset[[#This Row],[Units_Sold_2024]]*electric_vehicles_dataset[[#This Row],[Price_USD]]</f>
        <v>739906108.23999989</v>
      </c>
      <c r="T1046">
        <v>3</v>
      </c>
      <c r="U1046">
        <v>17186</v>
      </c>
      <c r="V1046">
        <v>4</v>
      </c>
    </row>
    <row r="1047" spans="1:22" x14ac:dyDescent="0.35">
      <c r="A1047">
        <v>1046</v>
      </c>
      <c r="B1047" t="s">
        <v>176</v>
      </c>
      <c r="C1047" t="s">
        <v>326</v>
      </c>
      <c r="D1047">
        <v>2016</v>
      </c>
      <c r="E1047" t="s">
        <v>31</v>
      </c>
      <c r="F1047">
        <v>59.5</v>
      </c>
      <c r="G1047" t="s">
        <v>348</v>
      </c>
      <c r="H1047">
        <f>electric_vehicles_dataset[[#This Row],[Battery_Capacity_kWh]]/electric_vehicles_dataset[[#This Row],[Range_km]]</f>
        <v>0.15535248041775457</v>
      </c>
      <c r="I1047">
        <v>383</v>
      </c>
      <c r="J1047" t="s">
        <v>76</v>
      </c>
      <c r="K1047">
        <v>10</v>
      </c>
      <c r="L1047" s="1">
        <v>148217.63</v>
      </c>
      <c r="M1047" s="1" t="str" cm="1">
        <f t="array" ref="M104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47" t="s">
        <v>168</v>
      </c>
      <c r="O1047" t="s">
        <v>63</v>
      </c>
      <c r="P1047" s="2" t="s">
        <v>389</v>
      </c>
      <c r="Q1047">
        <v>1</v>
      </c>
      <c r="R1047" t="s">
        <v>391</v>
      </c>
      <c r="S1047" s="1">
        <f>electric_vehicles_dataset[[#This Row],[Units_Sold_2024]]*electric_vehicles_dataset[[#This Row],[Price_USD]]</f>
        <v>2567277569.23</v>
      </c>
      <c r="T1047">
        <v>5</v>
      </c>
      <c r="U1047">
        <v>17321</v>
      </c>
      <c r="V1047">
        <v>3</v>
      </c>
    </row>
    <row r="1048" spans="1:22" x14ac:dyDescent="0.35">
      <c r="A1048">
        <v>1047</v>
      </c>
      <c r="B1048" t="s">
        <v>125</v>
      </c>
      <c r="C1048" t="s">
        <v>276</v>
      </c>
      <c r="D1048">
        <v>2018</v>
      </c>
      <c r="E1048" t="s">
        <v>31</v>
      </c>
      <c r="F1048">
        <v>103.9</v>
      </c>
      <c r="G1048" t="s">
        <v>361</v>
      </c>
      <c r="H1048">
        <f>electric_vehicles_dataset[[#This Row],[Battery_Capacity_kWh]]/electric_vehicles_dataset[[#This Row],[Range_km]]</f>
        <v>0.25096618357487926</v>
      </c>
      <c r="I1048">
        <v>414</v>
      </c>
      <c r="J1048" t="s">
        <v>48</v>
      </c>
      <c r="K1048">
        <v>1</v>
      </c>
      <c r="L1048" s="1">
        <v>110043.09</v>
      </c>
      <c r="M1048" s="1" t="str" cm="1">
        <f t="array" ref="M104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48" t="s">
        <v>172</v>
      </c>
      <c r="O1048" t="s">
        <v>135</v>
      </c>
      <c r="P1048" s="2" t="s">
        <v>389</v>
      </c>
      <c r="Q1048">
        <v>0</v>
      </c>
      <c r="R1048" t="s">
        <v>390</v>
      </c>
      <c r="S1048" s="1">
        <f>electric_vehicles_dataset[[#This Row],[Units_Sold_2024]]*electric_vehicles_dataset[[#This Row],[Price_USD]]</f>
        <v>233731523.16</v>
      </c>
      <c r="T1048">
        <v>5</v>
      </c>
      <c r="U1048">
        <v>2124</v>
      </c>
      <c r="V1048">
        <v>4</v>
      </c>
    </row>
    <row r="1049" spans="1:22" x14ac:dyDescent="0.35">
      <c r="A1049">
        <v>1048</v>
      </c>
      <c r="B1049" t="s">
        <v>176</v>
      </c>
      <c r="C1049" t="s">
        <v>326</v>
      </c>
      <c r="D1049">
        <v>2015</v>
      </c>
      <c r="E1049" t="s">
        <v>17</v>
      </c>
      <c r="F1049">
        <v>149.4</v>
      </c>
      <c r="G1049" t="s">
        <v>386</v>
      </c>
      <c r="H1049">
        <f>electric_vehicles_dataset[[#This Row],[Battery_Capacity_kWh]]/electric_vehicles_dataset[[#This Row],[Range_km]]</f>
        <v>0.64956521739130435</v>
      </c>
      <c r="I1049">
        <v>230</v>
      </c>
      <c r="J1049" t="s">
        <v>85</v>
      </c>
      <c r="K1049">
        <v>5</v>
      </c>
      <c r="L1049" s="1">
        <v>101742.04</v>
      </c>
      <c r="M1049" s="1" t="str" cm="1">
        <f t="array" ref="M104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49" t="s">
        <v>59</v>
      </c>
      <c r="O1049" t="s">
        <v>118</v>
      </c>
      <c r="P1049" s="2" t="s">
        <v>389</v>
      </c>
      <c r="Q1049">
        <v>3</v>
      </c>
      <c r="R1049" t="s">
        <v>397</v>
      </c>
      <c r="S1049" s="1">
        <f>electric_vehicles_dataset[[#This Row],[Units_Sold_2024]]*electric_vehicles_dataset[[#This Row],[Price_USD]]</f>
        <v>988118692.4799999</v>
      </c>
      <c r="T1049">
        <v>4</v>
      </c>
      <c r="U1049">
        <v>9712</v>
      </c>
      <c r="V1049">
        <v>5</v>
      </c>
    </row>
    <row r="1050" spans="1:22" x14ac:dyDescent="0.35">
      <c r="A1050">
        <v>1049</v>
      </c>
      <c r="B1050" t="s">
        <v>224</v>
      </c>
      <c r="C1050" t="s">
        <v>303</v>
      </c>
      <c r="D1050">
        <v>2016</v>
      </c>
      <c r="E1050" t="s">
        <v>53</v>
      </c>
      <c r="F1050">
        <v>87.9</v>
      </c>
      <c r="G1050" t="s">
        <v>350</v>
      </c>
      <c r="H1050">
        <f>electric_vehicles_dataset[[#This Row],[Battery_Capacity_kWh]]/electric_vehicles_dataset[[#This Row],[Range_km]]</f>
        <v>0.50517241379310351</v>
      </c>
      <c r="I1050">
        <v>174</v>
      </c>
      <c r="J1050" t="s">
        <v>149</v>
      </c>
      <c r="K1050">
        <v>7</v>
      </c>
      <c r="L1050" s="1">
        <v>106413.24</v>
      </c>
      <c r="M1050" s="1" t="str" cm="1">
        <f t="array" ref="M10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50" t="s">
        <v>59</v>
      </c>
      <c r="O1050" t="s">
        <v>78</v>
      </c>
      <c r="P1050" s="2" t="s">
        <v>389</v>
      </c>
      <c r="Q1050">
        <v>3</v>
      </c>
      <c r="R1050" t="s">
        <v>397</v>
      </c>
      <c r="S1050" s="1">
        <f>electric_vehicles_dataset[[#This Row],[Units_Sold_2024]]*electric_vehicles_dataset[[#This Row],[Price_USD]]</f>
        <v>1079455906.5599999</v>
      </c>
      <c r="T1050">
        <v>5</v>
      </c>
      <c r="U1050">
        <v>10144</v>
      </c>
      <c r="V1050">
        <v>5</v>
      </c>
    </row>
    <row r="1051" spans="1:22" x14ac:dyDescent="0.35">
      <c r="A1051">
        <v>1050</v>
      </c>
      <c r="B1051" t="s">
        <v>155</v>
      </c>
      <c r="C1051" t="s">
        <v>156</v>
      </c>
      <c r="D1051">
        <v>2017</v>
      </c>
      <c r="E1051" t="s">
        <v>53</v>
      </c>
      <c r="F1051">
        <v>44.7</v>
      </c>
      <c r="G1051" t="s">
        <v>348</v>
      </c>
      <c r="H1051">
        <f>electric_vehicles_dataset[[#This Row],[Battery_Capacity_kWh]]/electric_vehicles_dataset[[#This Row],[Range_km]]</f>
        <v>0.23041237113402063</v>
      </c>
      <c r="I1051">
        <v>194</v>
      </c>
      <c r="J1051" t="s">
        <v>353</v>
      </c>
      <c r="K1051">
        <v>4</v>
      </c>
      <c r="L1051" s="1">
        <v>46955.07</v>
      </c>
      <c r="M1051" s="1" t="str" cm="1">
        <f t="array" ref="M105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51" t="s">
        <v>196</v>
      </c>
      <c r="O1051" t="s">
        <v>164</v>
      </c>
      <c r="P1051" s="2" t="s">
        <v>394</v>
      </c>
      <c r="Q1051">
        <v>0</v>
      </c>
      <c r="R1051" t="s">
        <v>390</v>
      </c>
      <c r="S1051" s="1">
        <f>electric_vehicles_dataset[[#This Row],[Units_Sold_2024]]*electric_vehicles_dataset[[#This Row],[Price_USD]]</f>
        <v>727709674.86000001</v>
      </c>
      <c r="T1051">
        <v>5</v>
      </c>
      <c r="U1051">
        <v>15498</v>
      </c>
      <c r="V1051">
        <v>3</v>
      </c>
    </row>
    <row r="1052" spans="1:22" x14ac:dyDescent="0.35">
      <c r="A1052">
        <v>1051</v>
      </c>
      <c r="B1052" t="s">
        <v>36</v>
      </c>
      <c r="C1052" t="s">
        <v>245</v>
      </c>
      <c r="D1052">
        <v>2022</v>
      </c>
      <c r="E1052" t="s">
        <v>183</v>
      </c>
      <c r="F1052">
        <v>74.3</v>
      </c>
      <c r="G1052" t="s">
        <v>351</v>
      </c>
      <c r="H1052">
        <f>electric_vehicles_dataset[[#This Row],[Battery_Capacity_kWh]]/electric_vehicles_dataset[[#This Row],[Range_km]]</f>
        <v>0.13363309352517985</v>
      </c>
      <c r="I1052">
        <v>556</v>
      </c>
      <c r="J1052" t="s">
        <v>76</v>
      </c>
      <c r="K1052">
        <v>8</v>
      </c>
      <c r="L1052" s="1">
        <v>50869.75</v>
      </c>
      <c r="M1052" s="1" t="str" cm="1">
        <f t="array" ref="M105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52" t="s">
        <v>205</v>
      </c>
      <c r="O1052" t="s">
        <v>111</v>
      </c>
      <c r="P1052" s="2" t="s">
        <v>389</v>
      </c>
      <c r="Q1052">
        <v>5</v>
      </c>
      <c r="R1052" t="s">
        <v>392</v>
      </c>
      <c r="S1052" s="1">
        <f>electric_vehicles_dataset[[#This Row],[Units_Sold_2024]]*electric_vehicles_dataset[[#This Row],[Price_USD]]</f>
        <v>1004117995.25</v>
      </c>
      <c r="T1052">
        <v>4</v>
      </c>
      <c r="U1052">
        <v>19739</v>
      </c>
      <c r="V1052">
        <v>4</v>
      </c>
    </row>
    <row r="1053" spans="1:22" x14ac:dyDescent="0.35">
      <c r="A1053">
        <v>1052</v>
      </c>
      <c r="B1053" t="s">
        <v>224</v>
      </c>
      <c r="C1053" t="s">
        <v>297</v>
      </c>
      <c r="D1053">
        <v>2023</v>
      </c>
      <c r="E1053" t="s">
        <v>101</v>
      </c>
      <c r="F1053">
        <v>105.4</v>
      </c>
      <c r="G1053" t="s">
        <v>361</v>
      </c>
      <c r="H1053">
        <f>electric_vehicles_dataset[[#This Row],[Battery_Capacity_kWh]]/electric_vehicles_dataset[[#This Row],[Range_km]]</f>
        <v>0.27235142118863048</v>
      </c>
      <c r="I1053">
        <v>387</v>
      </c>
      <c r="J1053" t="s">
        <v>76</v>
      </c>
      <c r="K1053">
        <v>10</v>
      </c>
      <c r="L1053" s="1">
        <v>147712.4</v>
      </c>
      <c r="M1053" s="1" t="str" cm="1">
        <f t="array" ref="M10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53" t="s">
        <v>257</v>
      </c>
      <c r="O1053" t="s">
        <v>115</v>
      </c>
      <c r="P1053" s="2" t="s">
        <v>396</v>
      </c>
      <c r="Q1053">
        <v>3</v>
      </c>
      <c r="R1053" t="s">
        <v>397</v>
      </c>
      <c r="S1053" s="1">
        <f>electric_vehicles_dataset[[#This Row],[Units_Sold_2024]]*electric_vehicles_dataset[[#This Row],[Price_USD]]</f>
        <v>2740803582</v>
      </c>
      <c r="T1053">
        <v>3</v>
      </c>
      <c r="U1053">
        <v>18555</v>
      </c>
      <c r="V1053">
        <v>5</v>
      </c>
    </row>
    <row r="1054" spans="1:22" x14ac:dyDescent="0.35">
      <c r="A1054">
        <v>1053</v>
      </c>
      <c r="B1054" t="s">
        <v>222</v>
      </c>
      <c r="C1054" t="s">
        <v>232</v>
      </c>
      <c r="D1054">
        <v>2015</v>
      </c>
      <c r="E1054" t="s">
        <v>47</v>
      </c>
      <c r="F1054">
        <v>124.6</v>
      </c>
      <c r="G1054" t="s">
        <v>352</v>
      </c>
      <c r="H1054">
        <f>electric_vehicles_dataset[[#This Row],[Battery_Capacity_kWh]]/electric_vehicles_dataset[[#This Row],[Range_km]]</f>
        <v>0.24870259481037923</v>
      </c>
      <c r="I1054">
        <v>501</v>
      </c>
      <c r="J1054" t="s">
        <v>18</v>
      </c>
      <c r="K1054">
        <v>5</v>
      </c>
      <c r="L1054" s="1">
        <v>121572.63</v>
      </c>
      <c r="M1054" s="1" t="str" cm="1">
        <f t="array" ref="M105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54" t="s">
        <v>19</v>
      </c>
      <c r="O1054" t="s">
        <v>44</v>
      </c>
      <c r="P1054" s="2" t="s">
        <v>389</v>
      </c>
      <c r="Q1054">
        <v>2</v>
      </c>
      <c r="R1054" t="s">
        <v>391</v>
      </c>
      <c r="S1054" s="1">
        <f>electric_vehicles_dataset[[#This Row],[Units_Sold_2024]]*electric_vehicles_dataset[[#This Row],[Price_USD]]</f>
        <v>1507014321.48</v>
      </c>
      <c r="T1054">
        <v>5</v>
      </c>
      <c r="U1054">
        <v>12396</v>
      </c>
      <c r="V1054">
        <v>4</v>
      </c>
    </row>
    <row r="1055" spans="1:22" x14ac:dyDescent="0.35">
      <c r="A1055">
        <v>1054</v>
      </c>
      <c r="B1055" t="s">
        <v>125</v>
      </c>
      <c r="C1055" t="s">
        <v>276</v>
      </c>
      <c r="D1055">
        <v>2018</v>
      </c>
      <c r="E1055" t="s">
        <v>84</v>
      </c>
      <c r="F1055">
        <v>93</v>
      </c>
      <c r="G1055" t="s">
        <v>350</v>
      </c>
      <c r="H1055">
        <f>electric_vehicles_dataset[[#This Row],[Battery_Capacity_kWh]]/electric_vehicles_dataset[[#This Row],[Range_km]]</f>
        <v>0.18093385214007782</v>
      </c>
      <c r="I1055">
        <v>514</v>
      </c>
      <c r="J1055" t="s">
        <v>358</v>
      </c>
      <c r="K1055">
        <v>2</v>
      </c>
      <c r="L1055" s="1">
        <v>129673.7</v>
      </c>
      <c r="M1055" s="1" t="str" cm="1">
        <f t="array" ref="M105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55" t="s">
        <v>240</v>
      </c>
      <c r="O1055" t="s">
        <v>63</v>
      </c>
      <c r="P1055" s="2" t="s">
        <v>389</v>
      </c>
      <c r="Q1055">
        <v>2</v>
      </c>
      <c r="R1055" t="s">
        <v>391</v>
      </c>
      <c r="S1055" s="1">
        <f>electric_vehicles_dataset[[#This Row],[Units_Sold_2024]]*electric_vehicles_dataset[[#This Row],[Price_USD]]</f>
        <v>1070456393.5</v>
      </c>
      <c r="T1055">
        <v>3</v>
      </c>
      <c r="U1055">
        <v>8255</v>
      </c>
      <c r="V1055">
        <v>3</v>
      </c>
    </row>
    <row r="1056" spans="1:22" x14ac:dyDescent="0.35">
      <c r="A1056">
        <v>1055</v>
      </c>
      <c r="B1056" t="s">
        <v>193</v>
      </c>
      <c r="C1056" t="s">
        <v>312</v>
      </c>
      <c r="D1056">
        <v>2021</v>
      </c>
      <c r="E1056" t="s">
        <v>47</v>
      </c>
      <c r="F1056">
        <v>39.4</v>
      </c>
      <c r="G1056" t="s">
        <v>357</v>
      </c>
      <c r="H1056">
        <f>electric_vehicles_dataset[[#This Row],[Battery_Capacity_kWh]]/electric_vehicles_dataset[[#This Row],[Range_km]]</f>
        <v>9.849999999999999E-2</v>
      </c>
      <c r="I1056">
        <v>400</v>
      </c>
      <c r="J1056" t="s">
        <v>54</v>
      </c>
      <c r="K1056">
        <v>10</v>
      </c>
      <c r="L1056" s="1">
        <v>62628.17</v>
      </c>
      <c r="M1056" s="1" t="str" cm="1">
        <f t="array" ref="M105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56" t="s">
        <v>210</v>
      </c>
      <c r="O1056" t="s">
        <v>135</v>
      </c>
      <c r="P1056" s="2" t="s">
        <v>389</v>
      </c>
      <c r="Q1056">
        <v>1</v>
      </c>
      <c r="R1056" t="s">
        <v>391</v>
      </c>
      <c r="S1056" s="1">
        <f>electric_vehicles_dataset[[#This Row],[Units_Sold_2024]]*electric_vehicles_dataset[[#This Row],[Price_USD]]</f>
        <v>1054595754.63</v>
      </c>
      <c r="T1056">
        <v>3</v>
      </c>
      <c r="U1056">
        <v>16839</v>
      </c>
      <c r="V1056">
        <v>4</v>
      </c>
    </row>
    <row r="1057" spans="1:22" x14ac:dyDescent="0.35">
      <c r="A1057">
        <v>1056</v>
      </c>
      <c r="B1057" t="s">
        <v>157</v>
      </c>
      <c r="C1057" t="s">
        <v>158</v>
      </c>
      <c r="D1057">
        <v>2021</v>
      </c>
      <c r="E1057" t="s">
        <v>58</v>
      </c>
      <c r="F1057">
        <v>149.80000000000001</v>
      </c>
      <c r="G1057" t="s">
        <v>386</v>
      </c>
      <c r="H1057">
        <f>electric_vehicles_dataset[[#This Row],[Battery_Capacity_kWh]]/electric_vehicles_dataset[[#This Row],[Range_km]]</f>
        <v>0.94213836477987434</v>
      </c>
      <c r="I1057">
        <v>159</v>
      </c>
      <c r="J1057" t="s">
        <v>34</v>
      </c>
      <c r="K1057">
        <v>6</v>
      </c>
      <c r="L1057" s="1">
        <v>39006.81</v>
      </c>
      <c r="M1057" s="1" t="str" cm="1">
        <f t="array" ref="M105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57" t="s">
        <v>117</v>
      </c>
      <c r="O1057" t="s">
        <v>63</v>
      </c>
      <c r="P1057" s="2" t="s">
        <v>389</v>
      </c>
      <c r="Q1057">
        <v>2</v>
      </c>
      <c r="R1057" t="s">
        <v>391</v>
      </c>
      <c r="S1057" s="1">
        <f>electric_vehicles_dataset[[#This Row],[Units_Sold_2024]]*electric_vehicles_dataset[[#This Row],[Price_USD]]</f>
        <v>61240691.699999996</v>
      </c>
      <c r="T1057">
        <v>3</v>
      </c>
      <c r="U1057">
        <v>1570</v>
      </c>
      <c r="V1057">
        <v>3</v>
      </c>
    </row>
    <row r="1058" spans="1:22" x14ac:dyDescent="0.35">
      <c r="A1058">
        <v>1057</v>
      </c>
      <c r="B1058" t="s">
        <v>24</v>
      </c>
      <c r="C1058" t="s">
        <v>264</v>
      </c>
      <c r="D1058">
        <v>2024</v>
      </c>
      <c r="E1058" t="s">
        <v>73</v>
      </c>
      <c r="F1058">
        <v>56.3</v>
      </c>
      <c r="G1058" t="s">
        <v>348</v>
      </c>
      <c r="H1058">
        <f>electric_vehicles_dataset[[#This Row],[Battery_Capacity_kWh]]/electric_vehicles_dataset[[#This Row],[Range_km]]</f>
        <v>0.22519999999999998</v>
      </c>
      <c r="I1058">
        <v>250</v>
      </c>
      <c r="J1058" t="s">
        <v>364</v>
      </c>
      <c r="K1058">
        <v>10</v>
      </c>
      <c r="L1058" s="1">
        <v>68567.13</v>
      </c>
      <c r="M1058" s="1" t="str" cm="1">
        <f t="array" ref="M105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58" t="s">
        <v>32</v>
      </c>
      <c r="O1058" t="s">
        <v>169</v>
      </c>
      <c r="P1058" s="2" t="s">
        <v>394</v>
      </c>
      <c r="Q1058">
        <v>5</v>
      </c>
      <c r="R1058" t="s">
        <v>392</v>
      </c>
      <c r="S1058" s="1">
        <f>electric_vehicles_dataset[[#This Row],[Units_Sold_2024]]*electric_vehicles_dataset[[#This Row],[Price_USD]]</f>
        <v>923736375.36000001</v>
      </c>
      <c r="T1058">
        <v>4</v>
      </c>
      <c r="U1058">
        <v>13472</v>
      </c>
      <c r="V1058">
        <v>5</v>
      </c>
    </row>
    <row r="1059" spans="1:22" x14ac:dyDescent="0.35">
      <c r="A1059">
        <v>1058</v>
      </c>
      <c r="B1059" t="s">
        <v>153</v>
      </c>
      <c r="C1059" t="s">
        <v>204</v>
      </c>
      <c r="D1059">
        <v>2020</v>
      </c>
      <c r="E1059" t="s">
        <v>31</v>
      </c>
      <c r="F1059">
        <v>102.9</v>
      </c>
      <c r="G1059" t="s">
        <v>361</v>
      </c>
      <c r="H1059">
        <f>electric_vehicles_dataset[[#This Row],[Battery_Capacity_kWh]]/electric_vehicles_dataset[[#This Row],[Range_km]]</f>
        <v>0.43235294117647061</v>
      </c>
      <c r="I1059">
        <v>238</v>
      </c>
      <c r="J1059" t="s">
        <v>76</v>
      </c>
      <c r="K1059">
        <v>11</v>
      </c>
      <c r="L1059" s="1">
        <v>82877.95</v>
      </c>
      <c r="M1059" s="1" t="str" cm="1">
        <f t="array" ref="M105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59" t="s">
        <v>160</v>
      </c>
      <c r="O1059" t="s">
        <v>265</v>
      </c>
      <c r="P1059" s="2" t="s">
        <v>389</v>
      </c>
      <c r="Q1059">
        <v>0</v>
      </c>
      <c r="R1059" t="s">
        <v>390</v>
      </c>
      <c r="S1059" s="1">
        <f>electric_vehicles_dataset[[#This Row],[Units_Sold_2024]]*electric_vehicles_dataset[[#This Row],[Price_USD]]</f>
        <v>1094983475.3999999</v>
      </c>
      <c r="T1059">
        <v>3</v>
      </c>
      <c r="U1059">
        <v>13212</v>
      </c>
      <c r="V1059">
        <v>4</v>
      </c>
    </row>
    <row r="1060" spans="1:22" x14ac:dyDescent="0.35">
      <c r="A1060">
        <v>1059</v>
      </c>
      <c r="B1060" t="s">
        <v>68</v>
      </c>
      <c r="C1060" t="s">
        <v>103</v>
      </c>
      <c r="D1060">
        <v>2024</v>
      </c>
      <c r="E1060" t="s">
        <v>101</v>
      </c>
      <c r="F1060">
        <v>64.8</v>
      </c>
      <c r="G1060" t="s">
        <v>351</v>
      </c>
      <c r="H1060">
        <f>electric_vehicles_dataset[[#This Row],[Battery_Capacity_kWh]]/electric_vehicles_dataset[[#This Row],[Range_km]]</f>
        <v>0.16874999999999998</v>
      </c>
      <c r="I1060">
        <v>384</v>
      </c>
      <c r="J1060" t="s">
        <v>364</v>
      </c>
      <c r="K1060">
        <v>9</v>
      </c>
      <c r="L1060" s="1">
        <v>89051.29</v>
      </c>
      <c r="M1060" s="1" t="str" cm="1">
        <f t="array" ref="M106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60" t="s">
        <v>238</v>
      </c>
      <c r="O1060" t="s">
        <v>226</v>
      </c>
      <c r="P1060" s="2" t="s">
        <v>395</v>
      </c>
      <c r="Q1060">
        <v>0</v>
      </c>
      <c r="R1060" t="s">
        <v>390</v>
      </c>
      <c r="S1060" s="1">
        <f>electric_vehicles_dataset[[#This Row],[Units_Sold_2024]]*electric_vehicles_dataset[[#This Row],[Price_USD]]</f>
        <v>194844222.51999998</v>
      </c>
      <c r="T1060">
        <v>5</v>
      </c>
      <c r="U1060">
        <v>2188</v>
      </c>
      <c r="V1060">
        <v>4</v>
      </c>
    </row>
    <row r="1061" spans="1:22" x14ac:dyDescent="0.35">
      <c r="A1061">
        <v>1060</v>
      </c>
      <c r="B1061" t="s">
        <v>144</v>
      </c>
      <c r="C1061" t="s">
        <v>145</v>
      </c>
      <c r="D1061">
        <v>2023</v>
      </c>
      <c r="E1061" t="s">
        <v>73</v>
      </c>
      <c r="F1061">
        <v>89.4</v>
      </c>
      <c r="G1061" t="s">
        <v>350</v>
      </c>
      <c r="H1061">
        <f>electric_vehicles_dataset[[#This Row],[Battery_Capacity_kWh]]/electric_vehicles_dataset[[#This Row],[Range_km]]</f>
        <v>0.66716417910447767</v>
      </c>
      <c r="I1061">
        <v>134</v>
      </c>
      <c r="J1061" t="s">
        <v>359</v>
      </c>
      <c r="K1061">
        <v>3</v>
      </c>
      <c r="L1061" s="1">
        <v>84463.97</v>
      </c>
      <c r="M1061" s="1" t="str" cm="1">
        <f t="array" ref="M106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61" t="s">
        <v>143</v>
      </c>
      <c r="O1061" t="s">
        <v>150</v>
      </c>
      <c r="P1061" s="2" t="s">
        <v>389</v>
      </c>
      <c r="Q1061">
        <v>2</v>
      </c>
      <c r="R1061" t="s">
        <v>391</v>
      </c>
      <c r="S1061" s="1">
        <f>electric_vehicles_dataset[[#This Row],[Units_Sold_2024]]*electric_vehicles_dataset[[#This Row],[Price_USD]]</f>
        <v>954105005.12</v>
      </c>
      <c r="T1061">
        <v>3</v>
      </c>
      <c r="U1061">
        <v>11296</v>
      </c>
      <c r="V1061">
        <v>4</v>
      </c>
    </row>
    <row r="1062" spans="1:22" x14ac:dyDescent="0.35">
      <c r="A1062">
        <v>1061</v>
      </c>
      <c r="B1062" t="s">
        <v>184</v>
      </c>
      <c r="C1062" t="s">
        <v>309</v>
      </c>
      <c r="D1062">
        <v>2023</v>
      </c>
      <c r="E1062" t="s">
        <v>53</v>
      </c>
      <c r="F1062">
        <v>30.3</v>
      </c>
      <c r="G1062" t="s">
        <v>357</v>
      </c>
      <c r="H1062">
        <f>electric_vehicles_dataset[[#This Row],[Battery_Capacity_kWh]]/electric_vehicles_dataset[[#This Row],[Range_km]]</f>
        <v>0.28857142857142859</v>
      </c>
      <c r="I1062">
        <v>105</v>
      </c>
      <c r="J1062" t="s">
        <v>359</v>
      </c>
      <c r="K1062">
        <v>10</v>
      </c>
      <c r="L1062" s="1">
        <v>137893.67000000001</v>
      </c>
      <c r="M1062" s="1" t="str" cm="1">
        <f t="array" ref="M106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62" t="s">
        <v>177</v>
      </c>
      <c r="O1062" t="s">
        <v>93</v>
      </c>
      <c r="P1062" s="2" t="s">
        <v>389</v>
      </c>
      <c r="Q1062">
        <v>2</v>
      </c>
      <c r="R1062" t="s">
        <v>391</v>
      </c>
      <c r="S1062" s="1">
        <f>electric_vehicles_dataset[[#This Row],[Units_Sold_2024]]*electric_vehicles_dataset[[#This Row],[Price_USD]]</f>
        <v>1906242094.0800002</v>
      </c>
      <c r="T1062">
        <v>3</v>
      </c>
      <c r="U1062">
        <v>13824</v>
      </c>
      <c r="V1062">
        <v>3</v>
      </c>
    </row>
    <row r="1063" spans="1:22" x14ac:dyDescent="0.35">
      <c r="A1063">
        <v>1062</v>
      </c>
      <c r="B1063" t="s">
        <v>241</v>
      </c>
      <c r="C1063" t="s">
        <v>247</v>
      </c>
      <c r="D1063">
        <v>2025</v>
      </c>
      <c r="E1063" t="s">
        <v>104</v>
      </c>
      <c r="F1063">
        <v>37.200000000000003</v>
      </c>
      <c r="G1063" t="s">
        <v>357</v>
      </c>
      <c r="H1063">
        <f>electric_vehicles_dataset[[#This Row],[Battery_Capacity_kWh]]/electric_vehicles_dataset[[#This Row],[Range_km]]</f>
        <v>0.10538243626062324</v>
      </c>
      <c r="I1063">
        <v>353</v>
      </c>
      <c r="J1063" t="s">
        <v>149</v>
      </c>
      <c r="K1063">
        <v>5</v>
      </c>
      <c r="L1063" s="1">
        <v>52846.46</v>
      </c>
      <c r="M1063" s="1" t="str" cm="1">
        <f t="array" ref="M106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63" t="s">
        <v>172</v>
      </c>
      <c r="O1063" t="s">
        <v>92</v>
      </c>
      <c r="P1063" s="2" t="s">
        <v>394</v>
      </c>
      <c r="Q1063">
        <v>4</v>
      </c>
      <c r="R1063" t="s">
        <v>392</v>
      </c>
      <c r="S1063" s="1">
        <f>electric_vehicles_dataset[[#This Row],[Units_Sold_2024]]*electric_vehicles_dataset[[#This Row],[Price_USD]]</f>
        <v>292082384.42000002</v>
      </c>
      <c r="T1063">
        <v>3</v>
      </c>
      <c r="U1063">
        <v>5527</v>
      </c>
      <c r="V1063">
        <v>5</v>
      </c>
    </row>
    <row r="1064" spans="1:22" x14ac:dyDescent="0.35">
      <c r="A1064">
        <v>1063</v>
      </c>
      <c r="B1064" t="s">
        <v>56</v>
      </c>
      <c r="C1064" t="s">
        <v>57</v>
      </c>
      <c r="D1064">
        <v>2017</v>
      </c>
      <c r="E1064" t="s">
        <v>26</v>
      </c>
      <c r="F1064">
        <v>71.400000000000006</v>
      </c>
      <c r="G1064" t="s">
        <v>351</v>
      </c>
      <c r="H1064">
        <f>electric_vehicles_dataset[[#This Row],[Battery_Capacity_kWh]]/electric_vehicles_dataset[[#This Row],[Range_km]]</f>
        <v>0.19778393351800555</v>
      </c>
      <c r="I1064">
        <v>361</v>
      </c>
      <c r="J1064" t="s">
        <v>27</v>
      </c>
      <c r="K1064">
        <v>12</v>
      </c>
      <c r="L1064" s="1">
        <v>41341.949999999997</v>
      </c>
      <c r="M1064" s="1" t="str" cm="1">
        <f t="array" ref="M106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64" t="s">
        <v>49</v>
      </c>
      <c r="O1064" t="s">
        <v>265</v>
      </c>
      <c r="P1064" s="2" t="s">
        <v>389</v>
      </c>
      <c r="Q1064">
        <v>1</v>
      </c>
      <c r="R1064" t="s">
        <v>391</v>
      </c>
      <c r="S1064" s="1">
        <f>electric_vehicles_dataset[[#This Row],[Units_Sold_2024]]*electric_vehicles_dataset[[#This Row],[Price_USD]]</f>
        <v>539636473.3499999</v>
      </c>
      <c r="T1064">
        <v>3</v>
      </c>
      <c r="U1064">
        <v>13053</v>
      </c>
      <c r="V1064">
        <v>4</v>
      </c>
    </row>
    <row r="1065" spans="1:22" x14ac:dyDescent="0.35">
      <c r="A1065">
        <v>1064</v>
      </c>
      <c r="B1065" t="s">
        <v>82</v>
      </c>
      <c r="C1065" t="s">
        <v>83</v>
      </c>
      <c r="D1065">
        <v>2017</v>
      </c>
      <c r="E1065" t="s">
        <v>53</v>
      </c>
      <c r="F1065">
        <v>80.2</v>
      </c>
      <c r="G1065" t="s">
        <v>350</v>
      </c>
      <c r="H1065">
        <f>electric_vehicles_dataset[[#This Row],[Battery_Capacity_kWh]]/electric_vehicles_dataset[[#This Row],[Range_km]]</f>
        <v>0.15912698412698414</v>
      </c>
      <c r="I1065">
        <v>504</v>
      </c>
      <c r="J1065" t="s">
        <v>356</v>
      </c>
      <c r="K1065">
        <v>8</v>
      </c>
      <c r="L1065" s="1">
        <v>50438.18</v>
      </c>
      <c r="M1065" s="1" t="str" cm="1">
        <f t="array" ref="M106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65" t="s">
        <v>229</v>
      </c>
      <c r="O1065" t="s">
        <v>92</v>
      </c>
      <c r="P1065" s="2" t="s">
        <v>394</v>
      </c>
      <c r="Q1065">
        <v>1</v>
      </c>
      <c r="R1065" t="s">
        <v>391</v>
      </c>
      <c r="S1065" s="1">
        <f>electric_vehicles_dataset[[#This Row],[Units_Sold_2024]]*electric_vehicles_dataset[[#This Row],[Price_USD]]</f>
        <v>812407765.25999999</v>
      </c>
      <c r="T1065">
        <v>4</v>
      </c>
      <c r="U1065">
        <v>16107</v>
      </c>
      <c r="V1065">
        <v>5</v>
      </c>
    </row>
    <row r="1066" spans="1:22" x14ac:dyDescent="0.35">
      <c r="A1066">
        <v>1065</v>
      </c>
      <c r="B1066" t="s">
        <v>82</v>
      </c>
      <c r="C1066" t="s">
        <v>83</v>
      </c>
      <c r="D1066">
        <v>2016</v>
      </c>
      <c r="E1066" t="s">
        <v>73</v>
      </c>
      <c r="F1066">
        <v>45.1</v>
      </c>
      <c r="G1066" t="s">
        <v>348</v>
      </c>
      <c r="H1066">
        <f>electric_vehicles_dataset[[#This Row],[Battery_Capacity_kWh]]/electric_vehicles_dataset[[#This Row],[Range_km]]</f>
        <v>0.12356164383561644</v>
      </c>
      <c r="I1066">
        <v>365</v>
      </c>
      <c r="J1066" t="s">
        <v>358</v>
      </c>
      <c r="K1066">
        <v>3</v>
      </c>
      <c r="L1066" s="1">
        <v>95535.01</v>
      </c>
      <c r="M1066" s="1" t="str" cm="1">
        <f t="array" ref="M106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66" t="s">
        <v>277</v>
      </c>
      <c r="O1066" t="s">
        <v>230</v>
      </c>
      <c r="P1066" s="2" t="s">
        <v>389</v>
      </c>
      <c r="Q1066">
        <v>5</v>
      </c>
      <c r="R1066" t="s">
        <v>392</v>
      </c>
      <c r="S1066" s="1">
        <f>electric_vehicles_dataset[[#This Row],[Units_Sold_2024]]*electric_vehicles_dataset[[#This Row],[Price_USD]]</f>
        <v>725110725.89999998</v>
      </c>
      <c r="T1066">
        <v>4</v>
      </c>
      <c r="U1066">
        <v>7590</v>
      </c>
      <c r="V1066">
        <v>5</v>
      </c>
    </row>
    <row r="1067" spans="1:22" x14ac:dyDescent="0.35">
      <c r="A1067">
        <v>1066</v>
      </c>
      <c r="B1067" t="s">
        <v>87</v>
      </c>
      <c r="C1067" t="s">
        <v>88</v>
      </c>
      <c r="D1067">
        <v>2023</v>
      </c>
      <c r="E1067" t="s">
        <v>101</v>
      </c>
      <c r="F1067">
        <v>90.7</v>
      </c>
      <c r="G1067" t="s">
        <v>350</v>
      </c>
      <c r="H1067">
        <f>electric_vehicles_dataset[[#This Row],[Battery_Capacity_kWh]]/electric_vehicles_dataset[[#This Row],[Range_km]]</f>
        <v>0.34486692015209125</v>
      </c>
      <c r="I1067">
        <v>263</v>
      </c>
      <c r="J1067" t="s">
        <v>358</v>
      </c>
      <c r="K1067">
        <v>1</v>
      </c>
      <c r="L1067" s="1">
        <v>57468.99</v>
      </c>
      <c r="M1067" s="1" t="str" cm="1">
        <f t="array" ref="M106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67" t="s">
        <v>62</v>
      </c>
      <c r="O1067" t="s">
        <v>236</v>
      </c>
      <c r="P1067" s="2" t="s">
        <v>394</v>
      </c>
      <c r="Q1067">
        <v>0</v>
      </c>
      <c r="R1067" t="s">
        <v>390</v>
      </c>
      <c r="S1067" s="1">
        <f>electric_vehicles_dataset[[#This Row],[Units_Sold_2024]]*electric_vehicles_dataset[[#This Row],[Price_USD]]</f>
        <v>807266902.52999997</v>
      </c>
      <c r="T1067">
        <v>5</v>
      </c>
      <c r="U1067">
        <v>14047</v>
      </c>
      <c r="V1067">
        <v>4</v>
      </c>
    </row>
    <row r="1068" spans="1:22" x14ac:dyDescent="0.35">
      <c r="A1068">
        <v>1067</v>
      </c>
      <c r="B1068" t="s">
        <v>94</v>
      </c>
      <c r="C1068" t="s">
        <v>99</v>
      </c>
      <c r="D1068">
        <v>2022</v>
      </c>
      <c r="E1068" t="s">
        <v>130</v>
      </c>
      <c r="F1068">
        <v>111</v>
      </c>
      <c r="G1068" t="s">
        <v>361</v>
      </c>
      <c r="H1068">
        <f>electric_vehicles_dataset[[#This Row],[Battery_Capacity_kWh]]/electric_vehicles_dataset[[#This Row],[Range_km]]</f>
        <v>0.36274509803921567</v>
      </c>
      <c r="I1068">
        <v>306</v>
      </c>
      <c r="J1068" t="s">
        <v>356</v>
      </c>
      <c r="K1068">
        <v>3</v>
      </c>
      <c r="L1068" s="1">
        <v>78610.16</v>
      </c>
      <c r="M1068" s="1" t="str" cm="1">
        <f t="array" ref="M106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68" t="s">
        <v>168</v>
      </c>
      <c r="O1068" t="s">
        <v>44</v>
      </c>
      <c r="P1068" s="2" t="s">
        <v>389</v>
      </c>
      <c r="Q1068">
        <v>0</v>
      </c>
      <c r="R1068" t="s">
        <v>390</v>
      </c>
      <c r="S1068" s="1">
        <f>electric_vehicles_dataset[[#This Row],[Units_Sold_2024]]*electric_vehicles_dataset[[#This Row],[Price_USD]]</f>
        <v>1392578984.4000001</v>
      </c>
      <c r="T1068">
        <v>4</v>
      </c>
      <c r="U1068">
        <v>17715</v>
      </c>
      <c r="V1068">
        <v>3</v>
      </c>
    </row>
    <row r="1069" spans="1:22" x14ac:dyDescent="0.35">
      <c r="A1069">
        <v>1068</v>
      </c>
      <c r="B1069" t="s">
        <v>200</v>
      </c>
      <c r="C1069" t="s">
        <v>338</v>
      </c>
      <c r="D1069">
        <v>2017</v>
      </c>
      <c r="E1069" t="s">
        <v>31</v>
      </c>
      <c r="F1069">
        <v>101.8</v>
      </c>
      <c r="G1069" t="s">
        <v>361</v>
      </c>
      <c r="H1069">
        <f>electric_vehicles_dataset[[#This Row],[Battery_Capacity_kWh]]/electric_vehicles_dataset[[#This Row],[Range_km]]</f>
        <v>0.38127340823970035</v>
      </c>
      <c r="I1069">
        <v>267</v>
      </c>
      <c r="J1069" t="s">
        <v>85</v>
      </c>
      <c r="K1069">
        <v>2</v>
      </c>
      <c r="L1069" s="1">
        <v>77202.81</v>
      </c>
      <c r="M1069" s="1" t="str" cm="1">
        <f t="array" ref="M10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69" t="s">
        <v>117</v>
      </c>
      <c r="O1069" t="s">
        <v>33</v>
      </c>
      <c r="P1069" s="2" t="s">
        <v>393</v>
      </c>
      <c r="Q1069">
        <v>0</v>
      </c>
      <c r="R1069" t="s">
        <v>390</v>
      </c>
      <c r="S1069" s="1">
        <f>electric_vehicles_dataset[[#This Row],[Units_Sold_2024]]*electric_vehicles_dataset[[#This Row],[Price_USD]]</f>
        <v>670120390.79999995</v>
      </c>
      <c r="T1069">
        <v>3</v>
      </c>
      <c r="U1069">
        <v>8680</v>
      </c>
      <c r="V1069">
        <v>4</v>
      </c>
    </row>
    <row r="1070" spans="1:22" x14ac:dyDescent="0.35">
      <c r="A1070">
        <v>1069</v>
      </c>
      <c r="B1070" t="s">
        <v>261</v>
      </c>
      <c r="C1070" t="s">
        <v>372</v>
      </c>
      <c r="D1070">
        <v>2016</v>
      </c>
      <c r="E1070" t="s">
        <v>47</v>
      </c>
      <c r="F1070">
        <v>104.7</v>
      </c>
      <c r="G1070" t="s">
        <v>361</v>
      </c>
      <c r="H1070">
        <f>electric_vehicles_dataset[[#This Row],[Battery_Capacity_kWh]]/electric_vehicles_dataset[[#This Row],[Range_km]]</f>
        <v>0.18082901554404146</v>
      </c>
      <c r="I1070">
        <v>579</v>
      </c>
      <c r="J1070" t="s">
        <v>85</v>
      </c>
      <c r="K1070">
        <v>1</v>
      </c>
      <c r="L1070" s="1">
        <v>98474.19</v>
      </c>
      <c r="M1070" s="1" t="str" cm="1">
        <f t="array" ref="M10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70" t="s">
        <v>146</v>
      </c>
      <c r="O1070" t="s">
        <v>182</v>
      </c>
      <c r="P1070" s="2" t="s">
        <v>394</v>
      </c>
      <c r="Q1070">
        <v>3</v>
      </c>
      <c r="R1070" t="s">
        <v>397</v>
      </c>
      <c r="S1070" s="1">
        <f>electric_vehicles_dataset[[#This Row],[Units_Sold_2024]]*electric_vehicles_dataset[[#This Row],[Price_USD]]</f>
        <v>1905770999.0699999</v>
      </c>
      <c r="T1070">
        <v>5</v>
      </c>
      <c r="U1070">
        <v>19353</v>
      </c>
      <c r="V1070">
        <v>5</v>
      </c>
    </row>
    <row r="1071" spans="1:22" x14ac:dyDescent="0.35">
      <c r="A1071">
        <v>1070</v>
      </c>
      <c r="B1071" t="s">
        <v>193</v>
      </c>
      <c r="C1071" t="s">
        <v>203</v>
      </c>
      <c r="D1071">
        <v>2019</v>
      </c>
      <c r="E1071" t="s">
        <v>31</v>
      </c>
      <c r="F1071">
        <v>75.900000000000006</v>
      </c>
      <c r="G1071" t="s">
        <v>351</v>
      </c>
      <c r="H1071">
        <f>electric_vehicles_dataset[[#This Row],[Battery_Capacity_kWh]]/electric_vehicles_dataset[[#This Row],[Range_km]]</f>
        <v>0.18467153284671534</v>
      </c>
      <c r="I1071">
        <v>411</v>
      </c>
      <c r="J1071" t="s">
        <v>54</v>
      </c>
      <c r="K1071">
        <v>10</v>
      </c>
      <c r="L1071" s="1">
        <v>134169.32</v>
      </c>
      <c r="M1071" s="1" t="str" cm="1">
        <f t="array" ref="M107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71" t="s">
        <v>177</v>
      </c>
      <c r="O1071" t="s">
        <v>150</v>
      </c>
      <c r="P1071" s="2" t="s">
        <v>389</v>
      </c>
      <c r="Q1071">
        <v>0</v>
      </c>
      <c r="R1071" t="s">
        <v>390</v>
      </c>
      <c r="S1071" s="1">
        <f>electric_vehicles_dataset[[#This Row],[Units_Sold_2024]]*electric_vehicles_dataset[[#This Row],[Price_USD]]</f>
        <v>1010294979.6</v>
      </c>
      <c r="T1071">
        <v>5</v>
      </c>
      <c r="U1071">
        <v>7530</v>
      </c>
      <c r="V1071">
        <v>5</v>
      </c>
    </row>
    <row r="1072" spans="1:22" x14ac:dyDescent="0.35">
      <c r="A1072">
        <v>1071</v>
      </c>
      <c r="B1072" t="s">
        <v>82</v>
      </c>
      <c r="C1072" t="s">
        <v>281</v>
      </c>
      <c r="D1072">
        <v>2024</v>
      </c>
      <c r="E1072" t="s">
        <v>17</v>
      </c>
      <c r="F1072">
        <v>109.9</v>
      </c>
      <c r="G1072" t="s">
        <v>361</v>
      </c>
      <c r="H1072">
        <f>electric_vehicles_dataset[[#This Row],[Battery_Capacity_kWh]]/electric_vehicles_dataset[[#This Row],[Range_km]]</f>
        <v>0.30612813370473541</v>
      </c>
      <c r="I1072">
        <v>359</v>
      </c>
      <c r="J1072" t="s">
        <v>54</v>
      </c>
      <c r="K1072">
        <v>8</v>
      </c>
      <c r="L1072" s="1">
        <v>65776.47</v>
      </c>
      <c r="M1072" s="1" t="str" cm="1">
        <f t="array" ref="M10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72" t="s">
        <v>160</v>
      </c>
      <c r="O1072" t="s">
        <v>50</v>
      </c>
      <c r="P1072" s="2" t="s">
        <v>396</v>
      </c>
      <c r="Q1072">
        <v>4</v>
      </c>
      <c r="R1072" t="s">
        <v>392</v>
      </c>
      <c r="S1072" s="1">
        <f>electric_vehicles_dataset[[#This Row],[Units_Sold_2024]]*electric_vehicles_dataset[[#This Row],[Price_USD]]</f>
        <v>181016845.44</v>
      </c>
      <c r="T1072">
        <v>5</v>
      </c>
      <c r="U1072">
        <v>2752</v>
      </c>
      <c r="V1072">
        <v>4</v>
      </c>
    </row>
    <row r="1073" spans="1:22" x14ac:dyDescent="0.35">
      <c r="A1073">
        <v>1072</v>
      </c>
      <c r="B1073" t="s">
        <v>243</v>
      </c>
      <c r="C1073" t="s">
        <v>371</v>
      </c>
      <c r="D1073">
        <v>2025</v>
      </c>
      <c r="E1073" t="s">
        <v>47</v>
      </c>
      <c r="F1073">
        <v>86</v>
      </c>
      <c r="G1073" t="s">
        <v>350</v>
      </c>
      <c r="H1073">
        <f>electric_vehicles_dataset[[#This Row],[Battery_Capacity_kWh]]/electric_vehicles_dataset[[#This Row],[Range_km]]</f>
        <v>0.14527027027027026</v>
      </c>
      <c r="I1073">
        <v>592</v>
      </c>
      <c r="J1073" t="s">
        <v>27</v>
      </c>
      <c r="K1073">
        <v>9</v>
      </c>
      <c r="L1073" s="1">
        <v>82968.67</v>
      </c>
      <c r="M1073" s="1" t="str" cm="1">
        <f t="array" ref="M107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73" t="s">
        <v>91</v>
      </c>
      <c r="O1073" t="s">
        <v>86</v>
      </c>
      <c r="P1073" s="2" t="s">
        <v>389</v>
      </c>
      <c r="Q1073">
        <v>4</v>
      </c>
      <c r="R1073" t="s">
        <v>392</v>
      </c>
      <c r="S1073" s="1">
        <f>electric_vehicles_dataset[[#This Row],[Units_Sold_2024]]*electric_vehicles_dataset[[#This Row],[Price_USD]]</f>
        <v>1466056398.8999999</v>
      </c>
      <c r="T1073">
        <v>3</v>
      </c>
      <c r="U1073">
        <v>17670</v>
      </c>
      <c r="V1073">
        <v>5</v>
      </c>
    </row>
    <row r="1074" spans="1:22" x14ac:dyDescent="0.35">
      <c r="A1074">
        <v>1073</v>
      </c>
      <c r="B1074" t="s">
        <v>120</v>
      </c>
      <c r="C1074" t="s">
        <v>252</v>
      </c>
      <c r="D1074">
        <v>2024</v>
      </c>
      <c r="E1074" t="s">
        <v>130</v>
      </c>
      <c r="F1074">
        <v>55.7</v>
      </c>
      <c r="G1074" t="s">
        <v>348</v>
      </c>
      <c r="H1074">
        <f>electric_vehicles_dataset[[#This Row],[Battery_Capacity_kWh]]/electric_vehicles_dataset[[#This Row],[Range_km]]</f>
        <v>0.11162324649298598</v>
      </c>
      <c r="I1074">
        <v>499</v>
      </c>
      <c r="J1074" t="s">
        <v>364</v>
      </c>
      <c r="K1074">
        <v>12</v>
      </c>
      <c r="L1074" s="1">
        <v>37617.730000000003</v>
      </c>
      <c r="M1074" s="1" t="str" cm="1">
        <f t="array" ref="M10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74" t="s">
        <v>238</v>
      </c>
      <c r="O1074" t="s">
        <v>40</v>
      </c>
      <c r="P1074" s="2" t="s">
        <v>395</v>
      </c>
      <c r="Q1074">
        <v>4</v>
      </c>
      <c r="R1074" t="s">
        <v>392</v>
      </c>
      <c r="S1074" s="1">
        <f>electric_vehicles_dataset[[#This Row],[Units_Sold_2024]]*electric_vehicles_dataset[[#This Row],[Price_USD]]</f>
        <v>708266620.44000006</v>
      </c>
      <c r="T1074">
        <v>5</v>
      </c>
      <c r="U1074">
        <v>18828</v>
      </c>
      <c r="V1074">
        <v>4</v>
      </c>
    </row>
    <row r="1075" spans="1:22" x14ac:dyDescent="0.35">
      <c r="A1075">
        <v>1074</v>
      </c>
      <c r="B1075" t="s">
        <v>140</v>
      </c>
      <c r="C1075" t="s">
        <v>256</v>
      </c>
      <c r="D1075">
        <v>2017</v>
      </c>
      <c r="E1075" t="s">
        <v>26</v>
      </c>
      <c r="F1075">
        <v>128.4</v>
      </c>
      <c r="G1075" t="s">
        <v>352</v>
      </c>
      <c r="H1075">
        <f>electric_vehicles_dataset[[#This Row],[Battery_Capacity_kWh]]/electric_vehicles_dataset[[#This Row],[Range_km]]</f>
        <v>0.48821292775665404</v>
      </c>
      <c r="I1075">
        <v>263</v>
      </c>
      <c r="J1075" t="s">
        <v>359</v>
      </c>
      <c r="K1075">
        <v>6</v>
      </c>
      <c r="L1075" s="1">
        <v>119971.74</v>
      </c>
      <c r="M1075" s="1" t="str" cm="1">
        <f t="array" ref="M10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75" t="s">
        <v>81</v>
      </c>
      <c r="O1075" t="s">
        <v>107</v>
      </c>
      <c r="P1075" s="2" t="s">
        <v>394</v>
      </c>
      <c r="Q1075">
        <v>4</v>
      </c>
      <c r="R1075" t="s">
        <v>392</v>
      </c>
      <c r="S1075" s="1">
        <f>electric_vehicles_dataset[[#This Row],[Units_Sold_2024]]*electric_vehicles_dataset[[#This Row],[Price_USD]]</f>
        <v>933500108.94000006</v>
      </c>
      <c r="T1075">
        <v>5</v>
      </c>
      <c r="U1075">
        <v>7781</v>
      </c>
      <c r="V1075">
        <v>4</v>
      </c>
    </row>
    <row r="1076" spans="1:22" x14ac:dyDescent="0.35">
      <c r="A1076">
        <v>1075</v>
      </c>
      <c r="B1076" t="s">
        <v>71</v>
      </c>
      <c r="C1076" t="s">
        <v>72</v>
      </c>
      <c r="D1076">
        <v>2019</v>
      </c>
      <c r="E1076" t="s">
        <v>53</v>
      </c>
      <c r="F1076">
        <v>23.9</v>
      </c>
      <c r="G1076" t="s">
        <v>357</v>
      </c>
      <c r="H1076">
        <f>electric_vehicles_dataset[[#This Row],[Battery_Capacity_kWh]]/electric_vehicles_dataset[[#This Row],[Range_km]]</f>
        <v>4.283154121863799E-2</v>
      </c>
      <c r="I1076">
        <v>558</v>
      </c>
      <c r="J1076" t="s">
        <v>149</v>
      </c>
      <c r="K1076">
        <v>9</v>
      </c>
      <c r="L1076" s="1">
        <v>76818.53</v>
      </c>
      <c r="M1076" s="1" t="str" cm="1">
        <f t="array" ref="M107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76" t="s">
        <v>254</v>
      </c>
      <c r="O1076" t="s">
        <v>118</v>
      </c>
      <c r="P1076" s="2" t="s">
        <v>389</v>
      </c>
      <c r="Q1076">
        <v>3</v>
      </c>
      <c r="R1076" t="s">
        <v>397</v>
      </c>
      <c r="S1076" s="1">
        <f>electric_vehicles_dataset[[#This Row],[Units_Sold_2024]]*electric_vehicles_dataset[[#This Row],[Price_USD]]</f>
        <v>314187787.69999999</v>
      </c>
      <c r="T1076">
        <v>4</v>
      </c>
      <c r="U1076">
        <v>4090</v>
      </c>
      <c r="V1076">
        <v>3</v>
      </c>
    </row>
    <row r="1077" spans="1:22" x14ac:dyDescent="0.35">
      <c r="A1077">
        <v>1076</v>
      </c>
      <c r="B1077" t="s">
        <v>122</v>
      </c>
      <c r="C1077" t="s">
        <v>250</v>
      </c>
      <c r="D1077">
        <v>2017</v>
      </c>
      <c r="E1077" t="s">
        <v>183</v>
      </c>
      <c r="F1077">
        <v>117</v>
      </c>
      <c r="G1077" t="s">
        <v>361</v>
      </c>
      <c r="H1077">
        <f>electric_vehicles_dataset[[#This Row],[Battery_Capacity_kWh]]/electric_vehicles_dataset[[#This Row],[Range_km]]</f>
        <v>0.21828358208955223</v>
      </c>
      <c r="I1077">
        <v>536</v>
      </c>
      <c r="J1077" t="s">
        <v>149</v>
      </c>
      <c r="K1077">
        <v>4</v>
      </c>
      <c r="L1077" s="1">
        <v>51906.720000000001</v>
      </c>
      <c r="M1077" s="1" t="str" cm="1">
        <f t="array" ref="M107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77" t="s">
        <v>212</v>
      </c>
      <c r="O1077" t="s">
        <v>164</v>
      </c>
      <c r="P1077" s="2" t="s">
        <v>394</v>
      </c>
      <c r="Q1077">
        <v>3</v>
      </c>
      <c r="R1077" t="s">
        <v>397</v>
      </c>
      <c r="S1077" s="1">
        <f>electric_vehicles_dataset[[#This Row],[Units_Sold_2024]]*electric_vehicles_dataset[[#This Row],[Price_USD]]</f>
        <v>500328874.07999998</v>
      </c>
      <c r="T1077">
        <v>5</v>
      </c>
      <c r="U1077">
        <v>9639</v>
      </c>
      <c r="V1077">
        <v>3</v>
      </c>
    </row>
    <row r="1078" spans="1:22" x14ac:dyDescent="0.35">
      <c r="A1078">
        <v>1077</v>
      </c>
      <c r="B1078" t="s">
        <v>16</v>
      </c>
      <c r="C1078" t="s">
        <v>347</v>
      </c>
      <c r="D1078">
        <v>2025</v>
      </c>
      <c r="E1078" t="s">
        <v>101</v>
      </c>
      <c r="F1078">
        <v>108.9</v>
      </c>
      <c r="G1078" t="s">
        <v>361</v>
      </c>
      <c r="H1078">
        <f>electric_vehicles_dataset[[#This Row],[Battery_Capacity_kWh]]/electric_vehicles_dataset[[#This Row],[Range_km]]</f>
        <v>0.22782426778242679</v>
      </c>
      <c r="I1078">
        <v>478</v>
      </c>
      <c r="J1078" t="s">
        <v>105</v>
      </c>
      <c r="K1078">
        <v>10</v>
      </c>
      <c r="L1078" s="1">
        <v>129637</v>
      </c>
      <c r="M1078" s="1" t="str" cm="1">
        <f t="array" ref="M10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78" t="s">
        <v>102</v>
      </c>
      <c r="O1078" t="s">
        <v>63</v>
      </c>
      <c r="P1078" s="2" t="s">
        <v>389</v>
      </c>
      <c r="Q1078">
        <v>4</v>
      </c>
      <c r="R1078" t="s">
        <v>392</v>
      </c>
      <c r="S1078" s="1">
        <f>electric_vehicles_dataset[[#This Row],[Units_Sold_2024]]*electric_vehicles_dataset[[#This Row],[Price_USD]]</f>
        <v>1107488891</v>
      </c>
      <c r="T1078">
        <v>3</v>
      </c>
      <c r="U1078">
        <v>8543</v>
      </c>
      <c r="V1078">
        <v>3</v>
      </c>
    </row>
    <row r="1079" spans="1:22" x14ac:dyDescent="0.35">
      <c r="A1079">
        <v>1078</v>
      </c>
      <c r="B1079" t="s">
        <v>94</v>
      </c>
      <c r="C1079" t="s">
        <v>360</v>
      </c>
      <c r="D1079">
        <v>2020</v>
      </c>
      <c r="E1079" t="s">
        <v>101</v>
      </c>
      <c r="F1079">
        <v>89.3</v>
      </c>
      <c r="G1079" t="s">
        <v>350</v>
      </c>
      <c r="H1079">
        <f>electric_vehicles_dataset[[#This Row],[Battery_Capacity_kWh]]/electric_vehicles_dataset[[#This Row],[Range_km]]</f>
        <v>0.32830882352941176</v>
      </c>
      <c r="I1079">
        <v>272</v>
      </c>
      <c r="J1079" t="s">
        <v>356</v>
      </c>
      <c r="K1079">
        <v>3</v>
      </c>
      <c r="L1079" s="1">
        <v>143402.93</v>
      </c>
      <c r="M1079" s="1" t="str" cm="1">
        <f t="array" ref="M107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79" t="s">
        <v>28</v>
      </c>
      <c r="O1079" t="s">
        <v>23</v>
      </c>
      <c r="P1079" s="2" t="s">
        <v>389</v>
      </c>
      <c r="Q1079">
        <v>1</v>
      </c>
      <c r="R1079" t="s">
        <v>391</v>
      </c>
      <c r="S1079" s="1">
        <f>electric_vehicles_dataset[[#This Row],[Units_Sold_2024]]*electric_vehicles_dataset[[#This Row],[Price_USD]]</f>
        <v>1044403539.1899999</v>
      </c>
      <c r="T1079">
        <v>5</v>
      </c>
      <c r="U1079">
        <v>7283</v>
      </c>
      <c r="V1079">
        <v>4</v>
      </c>
    </row>
    <row r="1080" spans="1:22" x14ac:dyDescent="0.35">
      <c r="A1080">
        <v>1079</v>
      </c>
      <c r="B1080" t="s">
        <v>207</v>
      </c>
      <c r="C1080" t="s">
        <v>208</v>
      </c>
      <c r="D1080">
        <v>2025</v>
      </c>
      <c r="E1080" t="s">
        <v>104</v>
      </c>
      <c r="F1080">
        <v>33.299999999999997</v>
      </c>
      <c r="G1080" t="s">
        <v>357</v>
      </c>
      <c r="H1080">
        <f>electric_vehicles_dataset[[#This Row],[Battery_Capacity_kWh]]/electric_vehicles_dataset[[#This Row],[Range_km]]</f>
        <v>6.1666666666666661E-2</v>
      </c>
      <c r="I1080">
        <v>540</v>
      </c>
      <c r="J1080" t="s">
        <v>48</v>
      </c>
      <c r="K1080">
        <v>7</v>
      </c>
      <c r="L1080" s="1">
        <v>76946.320000000007</v>
      </c>
      <c r="M1080" s="1" t="str" cm="1">
        <f t="array" ref="M108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80" t="s">
        <v>165</v>
      </c>
      <c r="O1080" t="s">
        <v>135</v>
      </c>
      <c r="P1080" s="2" t="s">
        <v>389</v>
      </c>
      <c r="Q1080">
        <v>3</v>
      </c>
      <c r="R1080" t="s">
        <v>397</v>
      </c>
      <c r="S1080" s="1">
        <f>electric_vehicles_dataset[[#This Row],[Units_Sold_2024]]*electric_vehicles_dataset[[#This Row],[Price_USD]]</f>
        <v>817862435.28000009</v>
      </c>
      <c r="T1080">
        <v>5</v>
      </c>
      <c r="U1080">
        <v>10629</v>
      </c>
      <c r="V1080">
        <v>3</v>
      </c>
    </row>
    <row r="1081" spans="1:22" x14ac:dyDescent="0.35">
      <c r="A1081">
        <v>1080</v>
      </c>
      <c r="B1081" t="s">
        <v>155</v>
      </c>
      <c r="C1081" t="s">
        <v>190</v>
      </c>
      <c r="D1081">
        <v>2022</v>
      </c>
      <c r="E1081" t="s">
        <v>183</v>
      </c>
      <c r="F1081">
        <v>108.4</v>
      </c>
      <c r="G1081" t="s">
        <v>361</v>
      </c>
      <c r="H1081">
        <f>electric_vehicles_dataset[[#This Row],[Battery_Capacity_kWh]]/electric_vehicles_dataset[[#This Row],[Range_km]]</f>
        <v>0.20766283524904217</v>
      </c>
      <c r="I1081">
        <v>522</v>
      </c>
      <c r="J1081" t="s">
        <v>105</v>
      </c>
      <c r="K1081">
        <v>3</v>
      </c>
      <c r="L1081" s="1">
        <v>53299.14</v>
      </c>
      <c r="M1081" s="1" t="str" cm="1">
        <f t="array" ref="M108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81" t="s">
        <v>238</v>
      </c>
      <c r="O1081" t="s">
        <v>118</v>
      </c>
      <c r="P1081" s="2" t="s">
        <v>389</v>
      </c>
      <c r="Q1081">
        <v>3</v>
      </c>
      <c r="R1081" t="s">
        <v>397</v>
      </c>
      <c r="S1081" s="1">
        <f>electric_vehicles_dataset[[#This Row],[Units_Sold_2024]]*electric_vehicles_dataset[[#This Row],[Price_USD]]</f>
        <v>130103200.73999999</v>
      </c>
      <c r="T1081">
        <v>5</v>
      </c>
      <c r="U1081">
        <v>2441</v>
      </c>
      <c r="V1081">
        <v>3</v>
      </c>
    </row>
    <row r="1082" spans="1:22" x14ac:dyDescent="0.35">
      <c r="A1082">
        <v>1081</v>
      </c>
      <c r="B1082" t="s">
        <v>173</v>
      </c>
      <c r="C1082" t="s">
        <v>306</v>
      </c>
      <c r="D1082">
        <v>2022</v>
      </c>
      <c r="E1082" t="s">
        <v>101</v>
      </c>
      <c r="F1082">
        <v>26.1</v>
      </c>
      <c r="G1082" t="s">
        <v>357</v>
      </c>
      <c r="H1082">
        <f>electric_vehicles_dataset[[#This Row],[Battery_Capacity_kWh]]/electric_vehicles_dataset[[#This Row],[Range_km]]</f>
        <v>7.1117166212534069E-2</v>
      </c>
      <c r="I1082">
        <v>367</v>
      </c>
      <c r="J1082" t="s">
        <v>38</v>
      </c>
      <c r="K1082">
        <v>7</v>
      </c>
      <c r="L1082" s="1">
        <v>62296.05</v>
      </c>
      <c r="M1082" s="1" t="str" cm="1">
        <f t="array" ref="M10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82" t="s">
        <v>210</v>
      </c>
      <c r="O1082" t="s">
        <v>20</v>
      </c>
      <c r="P1082" s="2" t="s">
        <v>389</v>
      </c>
      <c r="Q1082">
        <v>1</v>
      </c>
      <c r="R1082" t="s">
        <v>391</v>
      </c>
      <c r="S1082" s="1">
        <f>electric_vehicles_dataset[[#This Row],[Units_Sold_2024]]*electric_vehicles_dataset[[#This Row],[Price_USD]]</f>
        <v>599412593.10000002</v>
      </c>
      <c r="T1082">
        <v>4</v>
      </c>
      <c r="U1082">
        <v>9622</v>
      </c>
      <c r="V1082">
        <v>4</v>
      </c>
    </row>
    <row r="1083" spans="1:22" x14ac:dyDescent="0.35">
      <c r="A1083">
        <v>1082</v>
      </c>
      <c r="B1083" t="s">
        <v>184</v>
      </c>
      <c r="C1083" t="s">
        <v>251</v>
      </c>
      <c r="D1083">
        <v>2020</v>
      </c>
      <c r="E1083" t="s">
        <v>31</v>
      </c>
      <c r="F1083">
        <v>33.9</v>
      </c>
      <c r="G1083" t="s">
        <v>357</v>
      </c>
      <c r="H1083">
        <f>electric_vehicles_dataset[[#This Row],[Battery_Capacity_kWh]]/electric_vehicles_dataset[[#This Row],[Range_km]]</f>
        <v>7.1670190274841436E-2</v>
      </c>
      <c r="I1083">
        <v>473</v>
      </c>
      <c r="J1083" t="s">
        <v>85</v>
      </c>
      <c r="K1083">
        <v>5</v>
      </c>
      <c r="L1083" s="1">
        <v>136331.87</v>
      </c>
      <c r="M1083" s="1" t="str" cm="1">
        <f t="array" ref="M108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83" t="s">
        <v>257</v>
      </c>
      <c r="O1083" t="s">
        <v>169</v>
      </c>
      <c r="P1083" s="2" t="s">
        <v>394</v>
      </c>
      <c r="Q1083">
        <v>4</v>
      </c>
      <c r="R1083" t="s">
        <v>392</v>
      </c>
      <c r="S1083" s="1">
        <f>electric_vehicles_dataset[[#This Row],[Units_Sold_2024]]*electric_vehicles_dataset[[#This Row],[Price_USD]]</f>
        <v>1417442452.3899999</v>
      </c>
      <c r="T1083">
        <v>4</v>
      </c>
      <c r="U1083">
        <v>10397</v>
      </c>
      <c r="V1083">
        <v>3</v>
      </c>
    </row>
    <row r="1084" spans="1:22" x14ac:dyDescent="0.35">
      <c r="A1084">
        <v>1083</v>
      </c>
      <c r="B1084" t="s">
        <v>144</v>
      </c>
      <c r="C1084" t="s">
        <v>145</v>
      </c>
      <c r="D1084">
        <v>2017</v>
      </c>
      <c r="E1084" t="s">
        <v>17</v>
      </c>
      <c r="F1084">
        <v>132.4</v>
      </c>
      <c r="G1084" t="s">
        <v>352</v>
      </c>
      <c r="H1084">
        <f>electric_vehicles_dataset[[#This Row],[Battery_Capacity_kWh]]/electric_vehicles_dataset[[#This Row],[Range_km]]</f>
        <v>0.25960784313725493</v>
      </c>
      <c r="I1084">
        <v>510</v>
      </c>
      <c r="J1084" t="s">
        <v>48</v>
      </c>
      <c r="K1084">
        <v>4</v>
      </c>
      <c r="L1084" s="1">
        <v>122371.13</v>
      </c>
      <c r="M1084" s="1" t="str" cm="1">
        <f t="array" ref="M108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84" t="s">
        <v>143</v>
      </c>
      <c r="O1084" t="s">
        <v>95</v>
      </c>
      <c r="P1084" s="2" t="s">
        <v>394</v>
      </c>
      <c r="Q1084">
        <v>1</v>
      </c>
      <c r="R1084" t="s">
        <v>391</v>
      </c>
      <c r="S1084" s="1">
        <f>electric_vehicles_dataset[[#This Row],[Units_Sold_2024]]*electric_vehicles_dataset[[#This Row],[Price_USD]]</f>
        <v>2372653839.5700002</v>
      </c>
      <c r="T1084">
        <v>3</v>
      </c>
      <c r="U1084">
        <v>19389</v>
      </c>
      <c r="V1084">
        <v>5</v>
      </c>
    </row>
    <row r="1085" spans="1:22" x14ac:dyDescent="0.35">
      <c r="A1085">
        <v>1084</v>
      </c>
      <c r="B1085" t="s">
        <v>173</v>
      </c>
      <c r="C1085" t="s">
        <v>306</v>
      </c>
      <c r="D1085">
        <v>2015</v>
      </c>
      <c r="E1085" t="s">
        <v>90</v>
      </c>
      <c r="F1085">
        <v>115.2</v>
      </c>
      <c r="G1085" t="s">
        <v>361</v>
      </c>
      <c r="H1085">
        <f>electric_vehicles_dataset[[#This Row],[Battery_Capacity_kWh]]/electric_vehicles_dataset[[#This Row],[Range_km]]</f>
        <v>0.68982035928143715</v>
      </c>
      <c r="I1085">
        <v>167</v>
      </c>
      <c r="J1085" t="s">
        <v>356</v>
      </c>
      <c r="K1085">
        <v>1</v>
      </c>
      <c r="L1085" s="1">
        <v>73318.39</v>
      </c>
      <c r="M1085" s="1" t="str" cm="1">
        <f t="array" ref="M108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85" t="s">
        <v>100</v>
      </c>
      <c r="O1085" t="s">
        <v>206</v>
      </c>
      <c r="P1085" s="2" t="s">
        <v>394</v>
      </c>
      <c r="Q1085">
        <v>2</v>
      </c>
      <c r="R1085" t="s">
        <v>391</v>
      </c>
      <c r="S1085" s="1">
        <f>electric_vehicles_dataset[[#This Row],[Units_Sold_2024]]*electric_vehicles_dataset[[#This Row],[Price_USD]]</f>
        <v>1339160393.3499999</v>
      </c>
      <c r="T1085">
        <v>4</v>
      </c>
      <c r="U1085">
        <v>18265</v>
      </c>
      <c r="V1085">
        <v>4</v>
      </c>
    </row>
    <row r="1086" spans="1:22" x14ac:dyDescent="0.35">
      <c r="A1086">
        <v>1085</v>
      </c>
      <c r="B1086" t="s">
        <v>125</v>
      </c>
      <c r="C1086" t="s">
        <v>276</v>
      </c>
      <c r="D1086">
        <v>2020</v>
      </c>
      <c r="E1086" t="s">
        <v>26</v>
      </c>
      <c r="F1086">
        <v>120.5</v>
      </c>
      <c r="G1086" t="s">
        <v>352</v>
      </c>
      <c r="H1086">
        <f>electric_vehicles_dataset[[#This Row],[Battery_Capacity_kWh]]/electric_vehicles_dataset[[#This Row],[Range_km]]</f>
        <v>0.33565459610027853</v>
      </c>
      <c r="I1086">
        <v>359</v>
      </c>
      <c r="J1086" t="s">
        <v>358</v>
      </c>
      <c r="K1086">
        <v>10</v>
      </c>
      <c r="L1086" s="1">
        <v>83973.56</v>
      </c>
      <c r="M1086" s="1" t="str" cm="1">
        <f t="array" ref="M108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86" t="s">
        <v>172</v>
      </c>
      <c r="O1086" t="s">
        <v>134</v>
      </c>
      <c r="P1086" s="2" t="s">
        <v>389</v>
      </c>
      <c r="Q1086">
        <v>1</v>
      </c>
      <c r="R1086" t="s">
        <v>391</v>
      </c>
      <c r="S1086" s="1">
        <f>electric_vehicles_dataset[[#This Row],[Units_Sold_2024]]*electric_vehicles_dataset[[#This Row],[Price_USD]]</f>
        <v>928075785.12</v>
      </c>
      <c r="T1086">
        <v>5</v>
      </c>
      <c r="U1086">
        <v>11052</v>
      </c>
      <c r="V1086">
        <v>5</v>
      </c>
    </row>
    <row r="1087" spans="1:22" x14ac:dyDescent="0.35">
      <c r="A1087">
        <v>1086</v>
      </c>
      <c r="B1087" t="s">
        <v>68</v>
      </c>
      <c r="C1087" t="s">
        <v>69</v>
      </c>
      <c r="D1087">
        <v>2023</v>
      </c>
      <c r="E1087" t="s">
        <v>73</v>
      </c>
      <c r="F1087">
        <v>64.099999999999994</v>
      </c>
      <c r="G1087" t="s">
        <v>351</v>
      </c>
      <c r="H1087">
        <f>electric_vehicles_dataset[[#This Row],[Battery_Capacity_kWh]]/electric_vehicles_dataset[[#This Row],[Range_km]]</f>
        <v>0.1598503740648379</v>
      </c>
      <c r="I1087">
        <v>401</v>
      </c>
      <c r="J1087" t="s">
        <v>358</v>
      </c>
      <c r="K1087">
        <v>12</v>
      </c>
      <c r="L1087" s="1">
        <v>125592.29</v>
      </c>
      <c r="M1087" s="1" t="str" cm="1">
        <f t="array" ref="M108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87" t="s">
        <v>146</v>
      </c>
      <c r="O1087" t="s">
        <v>118</v>
      </c>
      <c r="P1087" s="2" t="s">
        <v>389</v>
      </c>
      <c r="Q1087">
        <v>4</v>
      </c>
      <c r="R1087" t="s">
        <v>392</v>
      </c>
      <c r="S1087" s="1">
        <f>electric_vehicles_dataset[[#This Row],[Units_Sold_2024]]*electric_vehicles_dataset[[#This Row],[Price_USD]]</f>
        <v>341485436.50999999</v>
      </c>
      <c r="T1087">
        <v>3</v>
      </c>
      <c r="U1087">
        <v>2719</v>
      </c>
      <c r="V1087">
        <v>5</v>
      </c>
    </row>
    <row r="1088" spans="1:22" x14ac:dyDescent="0.35">
      <c r="A1088">
        <v>1087</v>
      </c>
      <c r="B1088" t="s">
        <v>222</v>
      </c>
      <c r="C1088" t="s">
        <v>232</v>
      </c>
      <c r="D1088">
        <v>2015</v>
      </c>
      <c r="E1088" t="s">
        <v>101</v>
      </c>
      <c r="F1088">
        <v>141.19999999999999</v>
      </c>
      <c r="G1088" t="s">
        <v>386</v>
      </c>
      <c r="H1088">
        <f>electric_vehicles_dataset[[#This Row],[Battery_Capacity_kWh]]/electric_vehicles_dataset[[#This Row],[Range_km]]</f>
        <v>1.3708737864077669</v>
      </c>
      <c r="I1088">
        <v>103</v>
      </c>
      <c r="J1088" t="s">
        <v>27</v>
      </c>
      <c r="K1088">
        <v>1</v>
      </c>
      <c r="L1088" s="1">
        <v>126194.58</v>
      </c>
      <c r="M1088" s="1" t="str" cm="1">
        <f t="array" ref="M108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88" t="s">
        <v>165</v>
      </c>
      <c r="O1088" t="s">
        <v>159</v>
      </c>
      <c r="P1088" s="2" t="s">
        <v>389</v>
      </c>
      <c r="Q1088">
        <v>1</v>
      </c>
      <c r="R1088" t="s">
        <v>391</v>
      </c>
      <c r="S1088" s="1">
        <f>electric_vehicles_dataset[[#This Row],[Units_Sold_2024]]*electric_vehicles_dataset[[#This Row],[Price_USD]]</f>
        <v>478529847.36000001</v>
      </c>
      <c r="T1088">
        <v>5</v>
      </c>
      <c r="U1088">
        <v>3792</v>
      </c>
      <c r="V1088">
        <v>4</v>
      </c>
    </row>
    <row r="1089" spans="1:22" x14ac:dyDescent="0.35">
      <c r="A1089">
        <v>1088</v>
      </c>
      <c r="B1089" t="s">
        <v>56</v>
      </c>
      <c r="C1089" t="s">
        <v>57</v>
      </c>
      <c r="D1089">
        <v>2018</v>
      </c>
      <c r="E1089" t="s">
        <v>84</v>
      </c>
      <c r="F1089">
        <v>62.1</v>
      </c>
      <c r="G1089" t="s">
        <v>351</v>
      </c>
      <c r="H1089">
        <f>electric_vehicles_dataset[[#This Row],[Battery_Capacity_kWh]]/electric_vehicles_dataset[[#This Row],[Range_km]]</f>
        <v>0.17947976878612718</v>
      </c>
      <c r="I1089">
        <v>346</v>
      </c>
      <c r="J1089" t="s">
        <v>27</v>
      </c>
      <c r="K1089">
        <v>7</v>
      </c>
      <c r="L1089" s="1">
        <v>106010.14</v>
      </c>
      <c r="M1089" s="1" t="str" cm="1">
        <f t="array" ref="M10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89" t="s">
        <v>196</v>
      </c>
      <c r="O1089" t="s">
        <v>354</v>
      </c>
      <c r="P1089" s="2" t="s">
        <v>394</v>
      </c>
      <c r="Q1089">
        <v>5</v>
      </c>
      <c r="R1089" t="s">
        <v>392</v>
      </c>
      <c r="S1089" s="1">
        <f>electric_vehicles_dataset[[#This Row],[Units_Sold_2024]]*electric_vehicles_dataset[[#This Row],[Price_USD]]</f>
        <v>1822950367.4400001</v>
      </c>
      <c r="T1089">
        <v>5</v>
      </c>
      <c r="U1089">
        <v>17196</v>
      </c>
      <c r="V1089">
        <v>5</v>
      </c>
    </row>
    <row r="1090" spans="1:22" x14ac:dyDescent="0.35">
      <c r="A1090">
        <v>1089</v>
      </c>
      <c r="B1090" t="s">
        <v>24</v>
      </c>
      <c r="C1090" t="s">
        <v>344</v>
      </c>
      <c r="D1090">
        <v>2024</v>
      </c>
      <c r="E1090" t="s">
        <v>90</v>
      </c>
      <c r="F1090">
        <v>149.4</v>
      </c>
      <c r="G1090" t="s">
        <v>386</v>
      </c>
      <c r="H1090">
        <f>electric_vehicles_dataset[[#This Row],[Battery_Capacity_kWh]]/electric_vehicles_dataset[[#This Row],[Range_km]]</f>
        <v>0.42564102564102568</v>
      </c>
      <c r="I1090">
        <v>351</v>
      </c>
      <c r="J1090" t="s">
        <v>18</v>
      </c>
      <c r="K1090">
        <v>6</v>
      </c>
      <c r="L1090" s="1">
        <v>132041.04</v>
      </c>
      <c r="M1090" s="1" t="str" cm="1">
        <f t="array" ref="M109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90" t="s">
        <v>102</v>
      </c>
      <c r="O1090" t="s">
        <v>199</v>
      </c>
      <c r="P1090" s="2" t="s">
        <v>394</v>
      </c>
      <c r="Q1090">
        <v>5</v>
      </c>
      <c r="R1090" t="s">
        <v>392</v>
      </c>
      <c r="S1090" s="1">
        <f>electric_vehicles_dataset[[#This Row],[Units_Sold_2024]]*electric_vehicles_dataset[[#This Row],[Price_USD]]</f>
        <v>1788099763.6800001</v>
      </c>
      <c r="T1090">
        <v>4</v>
      </c>
      <c r="U1090">
        <v>13542</v>
      </c>
      <c r="V1090">
        <v>3</v>
      </c>
    </row>
    <row r="1091" spans="1:22" x14ac:dyDescent="0.35">
      <c r="A1091">
        <v>1090</v>
      </c>
      <c r="B1091" t="s">
        <v>269</v>
      </c>
      <c r="C1091" t="s">
        <v>307</v>
      </c>
      <c r="D1091">
        <v>2017</v>
      </c>
      <c r="E1091" t="s">
        <v>104</v>
      </c>
      <c r="F1091">
        <v>130</v>
      </c>
      <c r="G1091" t="s">
        <v>352</v>
      </c>
      <c r="H1091">
        <f>electric_vehicles_dataset[[#This Row],[Battery_Capacity_kWh]]/electric_vehicles_dataset[[#This Row],[Range_km]]</f>
        <v>0.27196652719665271</v>
      </c>
      <c r="I1091">
        <v>478</v>
      </c>
      <c r="J1091" t="s">
        <v>85</v>
      </c>
      <c r="K1091">
        <v>11</v>
      </c>
      <c r="L1091" s="1">
        <v>64549.59</v>
      </c>
      <c r="M1091" s="1" t="str" cm="1">
        <f t="array" ref="M109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91" t="s">
        <v>228</v>
      </c>
      <c r="O1091" t="s">
        <v>121</v>
      </c>
      <c r="P1091" s="2" t="s">
        <v>398</v>
      </c>
      <c r="Q1091">
        <v>1</v>
      </c>
      <c r="R1091" t="s">
        <v>391</v>
      </c>
      <c r="S1091" s="1">
        <f>electric_vehicles_dataset[[#This Row],[Units_Sold_2024]]*electric_vehicles_dataset[[#This Row],[Price_USD]]</f>
        <v>282791753.78999996</v>
      </c>
      <c r="T1091">
        <v>3</v>
      </c>
      <c r="U1091">
        <v>4381</v>
      </c>
      <c r="V1091">
        <v>3</v>
      </c>
    </row>
    <row r="1092" spans="1:22" x14ac:dyDescent="0.35">
      <c r="A1092">
        <v>1091</v>
      </c>
      <c r="B1092" t="s">
        <v>29</v>
      </c>
      <c r="C1092" t="s">
        <v>197</v>
      </c>
      <c r="D1092">
        <v>2018</v>
      </c>
      <c r="E1092" t="s">
        <v>90</v>
      </c>
      <c r="F1092">
        <v>38.6</v>
      </c>
      <c r="G1092" t="s">
        <v>357</v>
      </c>
      <c r="H1092">
        <f>electric_vehicles_dataset[[#This Row],[Battery_Capacity_kWh]]/electric_vehicles_dataset[[#This Row],[Range_km]]</f>
        <v>7.2830188679245289E-2</v>
      </c>
      <c r="I1092">
        <v>530</v>
      </c>
      <c r="J1092" t="s">
        <v>76</v>
      </c>
      <c r="K1092">
        <v>8</v>
      </c>
      <c r="L1092" s="1">
        <v>104888.14</v>
      </c>
      <c r="M1092" s="1" t="str" cm="1">
        <f t="array" ref="M109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092" t="s">
        <v>279</v>
      </c>
      <c r="O1092" t="s">
        <v>110</v>
      </c>
      <c r="P1092" s="2" t="s">
        <v>394</v>
      </c>
      <c r="Q1092">
        <v>0</v>
      </c>
      <c r="R1092" t="s">
        <v>390</v>
      </c>
      <c r="S1092" s="1">
        <f>electric_vehicles_dataset[[#This Row],[Units_Sold_2024]]*electric_vehicles_dataset[[#This Row],[Price_USD]]</f>
        <v>550348070.58000004</v>
      </c>
      <c r="T1092">
        <v>4</v>
      </c>
      <c r="U1092">
        <v>5247</v>
      </c>
      <c r="V1092">
        <v>3</v>
      </c>
    </row>
    <row r="1093" spans="1:22" x14ac:dyDescent="0.35">
      <c r="A1093">
        <v>1092</v>
      </c>
      <c r="B1093" t="s">
        <v>215</v>
      </c>
      <c r="C1093" t="s">
        <v>377</v>
      </c>
      <c r="D1093">
        <v>2020</v>
      </c>
      <c r="E1093" t="s">
        <v>84</v>
      </c>
      <c r="F1093">
        <v>89.2</v>
      </c>
      <c r="G1093" t="s">
        <v>350</v>
      </c>
      <c r="H1093">
        <f>electric_vehicles_dataset[[#This Row],[Battery_Capacity_kWh]]/electric_vehicles_dataset[[#This Row],[Range_km]]</f>
        <v>0.18130081300813009</v>
      </c>
      <c r="I1093">
        <v>492</v>
      </c>
      <c r="J1093" t="s">
        <v>356</v>
      </c>
      <c r="K1093">
        <v>5</v>
      </c>
      <c r="L1093" s="1">
        <v>114740</v>
      </c>
      <c r="M1093" s="1" t="str" cm="1">
        <f t="array" ref="M109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93" t="s">
        <v>117</v>
      </c>
      <c r="O1093" t="s">
        <v>40</v>
      </c>
      <c r="P1093" s="2" t="s">
        <v>395</v>
      </c>
      <c r="Q1093">
        <v>1</v>
      </c>
      <c r="R1093" t="s">
        <v>391</v>
      </c>
      <c r="S1093" s="1">
        <f>electric_vehicles_dataset[[#This Row],[Units_Sold_2024]]*electric_vehicles_dataset[[#This Row],[Price_USD]]</f>
        <v>978732200</v>
      </c>
      <c r="T1093">
        <v>4</v>
      </c>
      <c r="U1093">
        <v>8530</v>
      </c>
      <c r="V1093">
        <v>5</v>
      </c>
    </row>
    <row r="1094" spans="1:22" x14ac:dyDescent="0.35">
      <c r="A1094">
        <v>1093</v>
      </c>
      <c r="B1094" t="s">
        <v>187</v>
      </c>
      <c r="C1094" t="s">
        <v>318</v>
      </c>
      <c r="D1094">
        <v>2025</v>
      </c>
      <c r="E1094" t="s">
        <v>133</v>
      </c>
      <c r="F1094">
        <v>82.9</v>
      </c>
      <c r="G1094" t="s">
        <v>350</v>
      </c>
      <c r="H1094">
        <f>electric_vehicles_dataset[[#This Row],[Battery_Capacity_kWh]]/electric_vehicles_dataset[[#This Row],[Range_km]]</f>
        <v>0.28197278911564627</v>
      </c>
      <c r="I1094">
        <v>294</v>
      </c>
      <c r="J1094" t="s">
        <v>18</v>
      </c>
      <c r="K1094">
        <v>10</v>
      </c>
      <c r="L1094" s="1">
        <v>143056.53</v>
      </c>
      <c r="M1094" s="1" t="str" cm="1">
        <f t="array" ref="M10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94" t="s">
        <v>146</v>
      </c>
      <c r="O1094" t="s">
        <v>44</v>
      </c>
      <c r="P1094" s="2" t="s">
        <v>389</v>
      </c>
      <c r="Q1094">
        <v>4</v>
      </c>
      <c r="R1094" t="s">
        <v>392</v>
      </c>
      <c r="S1094" s="1">
        <f>electric_vehicles_dataset[[#This Row],[Units_Sold_2024]]*electric_vehicles_dataset[[#This Row],[Price_USD]]</f>
        <v>2126106148.8599999</v>
      </c>
      <c r="T1094">
        <v>5</v>
      </c>
      <c r="U1094">
        <v>14862</v>
      </c>
      <c r="V1094">
        <v>4</v>
      </c>
    </row>
    <row r="1095" spans="1:22" x14ac:dyDescent="0.35">
      <c r="A1095">
        <v>1094</v>
      </c>
      <c r="B1095" t="s">
        <v>68</v>
      </c>
      <c r="C1095" t="s">
        <v>289</v>
      </c>
      <c r="D1095">
        <v>2018</v>
      </c>
      <c r="E1095" t="s">
        <v>17</v>
      </c>
      <c r="F1095">
        <v>33.299999999999997</v>
      </c>
      <c r="G1095" t="s">
        <v>357</v>
      </c>
      <c r="H1095">
        <f>electric_vehicles_dataset[[#This Row],[Battery_Capacity_kWh]]/electric_vehicles_dataset[[#This Row],[Range_km]]</f>
        <v>0.26220472440944881</v>
      </c>
      <c r="I1095">
        <v>127</v>
      </c>
      <c r="J1095" t="s">
        <v>85</v>
      </c>
      <c r="K1095">
        <v>9</v>
      </c>
      <c r="L1095" s="1">
        <v>145242.07</v>
      </c>
      <c r="M1095" s="1" t="str" cm="1">
        <f t="array" ref="M109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95" t="s">
        <v>39</v>
      </c>
      <c r="O1095" t="s">
        <v>226</v>
      </c>
      <c r="P1095" s="2" t="s">
        <v>395</v>
      </c>
      <c r="Q1095">
        <v>3</v>
      </c>
      <c r="R1095" t="s">
        <v>397</v>
      </c>
      <c r="S1095" s="1">
        <f>electric_vehicles_dataset[[#This Row],[Units_Sold_2024]]*electric_vehicles_dataset[[#This Row],[Price_USD]]</f>
        <v>1033978296.33</v>
      </c>
      <c r="T1095">
        <v>5</v>
      </c>
      <c r="U1095">
        <v>7119</v>
      </c>
      <c r="V1095">
        <v>5</v>
      </c>
    </row>
    <row r="1096" spans="1:22" x14ac:dyDescent="0.35">
      <c r="A1096">
        <v>1095</v>
      </c>
      <c r="B1096" t="s">
        <v>224</v>
      </c>
      <c r="C1096" t="s">
        <v>297</v>
      </c>
      <c r="D1096">
        <v>2015</v>
      </c>
      <c r="E1096" t="s">
        <v>104</v>
      </c>
      <c r="F1096">
        <v>43.6</v>
      </c>
      <c r="G1096" t="s">
        <v>348</v>
      </c>
      <c r="H1096">
        <f>electric_vehicles_dataset[[#This Row],[Battery_Capacity_kWh]]/electric_vehicles_dataset[[#This Row],[Range_km]]</f>
        <v>0.24357541899441343</v>
      </c>
      <c r="I1096">
        <v>179</v>
      </c>
      <c r="J1096" t="s">
        <v>359</v>
      </c>
      <c r="K1096">
        <v>9</v>
      </c>
      <c r="L1096" s="1">
        <v>135787.04999999999</v>
      </c>
      <c r="M1096" s="1" t="str" cm="1">
        <f t="array" ref="M109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096" t="s">
        <v>175</v>
      </c>
      <c r="O1096" t="s">
        <v>199</v>
      </c>
      <c r="P1096" s="2" t="s">
        <v>394</v>
      </c>
      <c r="Q1096">
        <v>5</v>
      </c>
      <c r="R1096" t="s">
        <v>392</v>
      </c>
      <c r="S1096" s="1">
        <f>electric_vehicles_dataset[[#This Row],[Units_Sold_2024]]*electric_vehicles_dataset[[#This Row],[Price_USD]]</f>
        <v>1349044341.75</v>
      </c>
      <c r="T1096">
        <v>4</v>
      </c>
      <c r="U1096">
        <v>9935</v>
      </c>
      <c r="V1096">
        <v>3</v>
      </c>
    </row>
    <row r="1097" spans="1:22" x14ac:dyDescent="0.35">
      <c r="A1097">
        <v>1096</v>
      </c>
      <c r="B1097" t="s">
        <v>21</v>
      </c>
      <c r="C1097" t="s">
        <v>349</v>
      </c>
      <c r="D1097">
        <v>2018</v>
      </c>
      <c r="E1097" t="s">
        <v>53</v>
      </c>
      <c r="F1097">
        <v>41.7</v>
      </c>
      <c r="G1097" t="s">
        <v>348</v>
      </c>
      <c r="H1097">
        <f>electric_vehicles_dataset[[#This Row],[Battery_Capacity_kWh]]/electric_vehicles_dataset[[#This Row],[Range_km]]</f>
        <v>9.6082949308755772E-2</v>
      </c>
      <c r="I1097">
        <v>434</v>
      </c>
      <c r="J1097" t="s">
        <v>149</v>
      </c>
      <c r="K1097">
        <v>9</v>
      </c>
      <c r="L1097" s="1">
        <v>59342.54</v>
      </c>
      <c r="M1097" s="1" t="str" cm="1">
        <f t="array" ref="M10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97" t="s">
        <v>59</v>
      </c>
      <c r="O1097" t="s">
        <v>107</v>
      </c>
      <c r="P1097" s="2" t="s">
        <v>394</v>
      </c>
      <c r="Q1097">
        <v>4</v>
      </c>
      <c r="R1097" t="s">
        <v>392</v>
      </c>
      <c r="S1097" s="1">
        <f>electric_vehicles_dataset[[#This Row],[Units_Sold_2024]]*electric_vehicles_dataset[[#This Row],[Price_USD]]</f>
        <v>951023546.03999996</v>
      </c>
      <c r="T1097">
        <v>3</v>
      </c>
      <c r="U1097">
        <v>16026</v>
      </c>
      <c r="V1097">
        <v>5</v>
      </c>
    </row>
    <row r="1098" spans="1:22" x14ac:dyDescent="0.35">
      <c r="A1098">
        <v>1097</v>
      </c>
      <c r="B1098" t="s">
        <v>224</v>
      </c>
      <c r="C1098" t="s">
        <v>303</v>
      </c>
      <c r="D1098">
        <v>2022</v>
      </c>
      <c r="E1098" t="s">
        <v>31</v>
      </c>
      <c r="F1098">
        <v>41</v>
      </c>
      <c r="G1098" t="s">
        <v>348</v>
      </c>
      <c r="H1098">
        <f>electric_vehicles_dataset[[#This Row],[Battery_Capacity_kWh]]/electric_vehicles_dataset[[#This Row],[Range_km]]</f>
        <v>0.13621262458471761</v>
      </c>
      <c r="I1098">
        <v>301</v>
      </c>
      <c r="J1098" t="s">
        <v>54</v>
      </c>
      <c r="K1098">
        <v>3</v>
      </c>
      <c r="L1098" s="1">
        <v>32347.24</v>
      </c>
      <c r="M1098" s="1" t="str" cm="1">
        <f t="array" ref="M109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98" t="s">
        <v>219</v>
      </c>
      <c r="O1098" t="s">
        <v>161</v>
      </c>
      <c r="P1098" s="2" t="s">
        <v>389</v>
      </c>
      <c r="Q1098">
        <v>4</v>
      </c>
      <c r="R1098" t="s">
        <v>392</v>
      </c>
      <c r="S1098" s="1">
        <f>electric_vehicles_dataset[[#This Row],[Units_Sold_2024]]*electric_vehicles_dataset[[#This Row],[Price_USD]]</f>
        <v>123437067.84</v>
      </c>
      <c r="T1098">
        <v>5</v>
      </c>
      <c r="U1098">
        <v>3816</v>
      </c>
      <c r="V1098">
        <v>3</v>
      </c>
    </row>
    <row r="1099" spans="1:22" x14ac:dyDescent="0.35">
      <c r="A1099">
        <v>1098</v>
      </c>
      <c r="B1099" t="s">
        <v>96</v>
      </c>
      <c r="C1099" t="s">
        <v>97</v>
      </c>
      <c r="D1099">
        <v>2024</v>
      </c>
      <c r="E1099" t="s">
        <v>130</v>
      </c>
      <c r="F1099">
        <v>20.3</v>
      </c>
      <c r="G1099" t="s">
        <v>357</v>
      </c>
      <c r="H1099">
        <f>electric_vehicles_dataset[[#This Row],[Battery_Capacity_kWh]]/electric_vehicles_dataset[[#This Row],[Range_km]]</f>
        <v>5.1785714285714289E-2</v>
      </c>
      <c r="I1099">
        <v>392</v>
      </c>
      <c r="J1099" t="s">
        <v>85</v>
      </c>
      <c r="K1099">
        <v>6</v>
      </c>
      <c r="L1099" s="1">
        <v>49450.75</v>
      </c>
      <c r="M1099" s="1" t="str" cm="1">
        <f t="array" ref="M10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099" t="s">
        <v>219</v>
      </c>
      <c r="O1099" t="s">
        <v>78</v>
      </c>
      <c r="P1099" s="2" t="s">
        <v>389</v>
      </c>
      <c r="Q1099">
        <v>4</v>
      </c>
      <c r="R1099" t="s">
        <v>392</v>
      </c>
      <c r="S1099" s="1">
        <f>electric_vehicles_dataset[[#This Row],[Units_Sold_2024]]*electric_vehicles_dataset[[#This Row],[Price_USD]]</f>
        <v>182275464.5</v>
      </c>
      <c r="T1099">
        <v>4</v>
      </c>
      <c r="U1099">
        <v>3686</v>
      </c>
      <c r="V1099">
        <v>3</v>
      </c>
    </row>
    <row r="1100" spans="1:22" x14ac:dyDescent="0.35">
      <c r="A1100">
        <v>1099</v>
      </c>
      <c r="B1100" t="s">
        <v>262</v>
      </c>
      <c r="C1100" t="s">
        <v>373</v>
      </c>
      <c r="D1100">
        <v>2017</v>
      </c>
      <c r="E1100" t="s">
        <v>90</v>
      </c>
      <c r="F1100">
        <v>143.69999999999999</v>
      </c>
      <c r="G1100" t="s">
        <v>386</v>
      </c>
      <c r="H1100">
        <f>electric_vehicles_dataset[[#This Row],[Battery_Capacity_kWh]]/electric_vehicles_dataset[[#This Row],[Range_km]]</f>
        <v>0.24606164383561641</v>
      </c>
      <c r="I1100">
        <v>584</v>
      </c>
      <c r="J1100" t="s">
        <v>353</v>
      </c>
      <c r="K1100">
        <v>2</v>
      </c>
      <c r="L1100" s="1">
        <v>33369.410000000003</v>
      </c>
      <c r="M1100" s="1" t="str" cm="1">
        <f t="array" ref="M110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00" t="s">
        <v>106</v>
      </c>
      <c r="O1100" t="s">
        <v>93</v>
      </c>
      <c r="P1100" s="2" t="s">
        <v>389</v>
      </c>
      <c r="Q1100">
        <v>4</v>
      </c>
      <c r="R1100" t="s">
        <v>392</v>
      </c>
      <c r="S1100" s="1">
        <f>electric_vehicles_dataset[[#This Row],[Units_Sold_2024]]*electric_vehicles_dataset[[#This Row],[Price_USD]]</f>
        <v>59330810.980000004</v>
      </c>
      <c r="T1100">
        <v>5</v>
      </c>
      <c r="U1100">
        <v>1778</v>
      </c>
      <c r="V1100">
        <v>5</v>
      </c>
    </row>
    <row r="1101" spans="1:22" x14ac:dyDescent="0.35">
      <c r="A1101">
        <v>1100</v>
      </c>
      <c r="B1101" t="s">
        <v>112</v>
      </c>
      <c r="C1101" t="s">
        <v>138</v>
      </c>
      <c r="D1101">
        <v>2015</v>
      </c>
      <c r="E1101" t="s">
        <v>53</v>
      </c>
      <c r="F1101">
        <v>25.8</v>
      </c>
      <c r="G1101" t="s">
        <v>357</v>
      </c>
      <c r="H1101">
        <f>electric_vehicles_dataset[[#This Row],[Battery_Capacity_kWh]]/electric_vehicles_dataset[[#This Row],[Range_km]]</f>
        <v>5.2760736196319019E-2</v>
      </c>
      <c r="I1101">
        <v>489</v>
      </c>
      <c r="J1101" t="s">
        <v>356</v>
      </c>
      <c r="K1101">
        <v>8</v>
      </c>
      <c r="L1101" s="1">
        <v>142767.23000000001</v>
      </c>
      <c r="M1101" s="1" t="str" cm="1">
        <f t="array" ref="M11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01" t="s">
        <v>32</v>
      </c>
      <c r="O1101" t="s">
        <v>121</v>
      </c>
      <c r="P1101" s="2" t="s">
        <v>398</v>
      </c>
      <c r="Q1101">
        <v>4</v>
      </c>
      <c r="R1101" t="s">
        <v>392</v>
      </c>
      <c r="S1101" s="1">
        <f>electric_vehicles_dataset[[#This Row],[Units_Sold_2024]]*electric_vehicles_dataset[[#This Row],[Price_USD]]</f>
        <v>1741189137.0800002</v>
      </c>
      <c r="T1101">
        <v>5</v>
      </c>
      <c r="U1101">
        <v>12196</v>
      </c>
      <c r="V1101">
        <v>5</v>
      </c>
    </row>
    <row r="1102" spans="1:22" x14ac:dyDescent="0.35">
      <c r="A1102">
        <v>1101</v>
      </c>
      <c r="B1102" t="s">
        <v>140</v>
      </c>
      <c r="C1102" t="s">
        <v>141</v>
      </c>
      <c r="D1102">
        <v>2017</v>
      </c>
      <c r="E1102" t="s">
        <v>31</v>
      </c>
      <c r="F1102">
        <v>102.9</v>
      </c>
      <c r="G1102" t="s">
        <v>361</v>
      </c>
      <c r="H1102">
        <f>electric_vehicles_dataset[[#This Row],[Battery_Capacity_kWh]]/electric_vehicles_dataset[[#This Row],[Range_km]]</f>
        <v>0.3418604651162791</v>
      </c>
      <c r="I1102">
        <v>301</v>
      </c>
      <c r="J1102" t="s">
        <v>27</v>
      </c>
      <c r="K1102">
        <v>10</v>
      </c>
      <c r="L1102" s="1">
        <v>140705.69</v>
      </c>
      <c r="M1102" s="1" t="str" cm="1">
        <f t="array" ref="M110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02" t="s">
        <v>81</v>
      </c>
      <c r="O1102" t="s">
        <v>95</v>
      </c>
      <c r="P1102" s="2" t="s">
        <v>394</v>
      </c>
      <c r="Q1102">
        <v>2</v>
      </c>
      <c r="R1102" t="s">
        <v>391</v>
      </c>
      <c r="S1102" s="1">
        <f>electric_vehicles_dataset[[#This Row],[Units_Sold_2024]]*electric_vehicles_dataset[[#This Row],[Price_USD]]</f>
        <v>378076189.03000003</v>
      </c>
      <c r="T1102">
        <v>4</v>
      </c>
      <c r="U1102">
        <v>2687</v>
      </c>
      <c r="V1102">
        <v>5</v>
      </c>
    </row>
    <row r="1103" spans="1:22" x14ac:dyDescent="0.35">
      <c r="A1103">
        <v>1102</v>
      </c>
      <c r="B1103" t="s">
        <v>170</v>
      </c>
      <c r="C1103" t="s">
        <v>367</v>
      </c>
      <c r="D1103">
        <v>2020</v>
      </c>
      <c r="E1103" t="s">
        <v>58</v>
      </c>
      <c r="F1103">
        <v>79.8</v>
      </c>
      <c r="G1103" t="s">
        <v>351</v>
      </c>
      <c r="H1103">
        <f>electric_vehicles_dataset[[#This Row],[Battery_Capacity_kWh]]/electric_vehicles_dataset[[#This Row],[Range_km]]</f>
        <v>0.28808664259927796</v>
      </c>
      <c r="I1103">
        <v>277</v>
      </c>
      <c r="J1103" t="s">
        <v>85</v>
      </c>
      <c r="K1103">
        <v>12</v>
      </c>
      <c r="L1103" s="1">
        <v>134640.79</v>
      </c>
      <c r="M1103" s="1" t="str" cm="1">
        <f t="array" ref="M110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03" t="s">
        <v>59</v>
      </c>
      <c r="O1103" t="s">
        <v>20</v>
      </c>
      <c r="P1103" s="2" t="s">
        <v>389</v>
      </c>
      <c r="Q1103">
        <v>2</v>
      </c>
      <c r="R1103" t="s">
        <v>391</v>
      </c>
      <c r="S1103" s="1">
        <f>electric_vehicles_dataset[[#This Row],[Units_Sold_2024]]*electric_vehicles_dataset[[#This Row],[Price_USD]]</f>
        <v>2589142391.7000003</v>
      </c>
      <c r="T1103">
        <v>5</v>
      </c>
      <c r="U1103">
        <v>19230</v>
      </c>
      <c r="V1103">
        <v>5</v>
      </c>
    </row>
    <row r="1104" spans="1:22" x14ac:dyDescent="0.35">
      <c r="A1104">
        <v>1103</v>
      </c>
      <c r="B1104" t="s">
        <v>243</v>
      </c>
      <c r="C1104" t="s">
        <v>244</v>
      </c>
      <c r="D1104">
        <v>2016</v>
      </c>
      <c r="E1104" t="s">
        <v>133</v>
      </c>
      <c r="F1104">
        <v>45.8</v>
      </c>
      <c r="G1104" t="s">
        <v>348</v>
      </c>
      <c r="H1104">
        <f>electric_vehicles_dataset[[#This Row],[Battery_Capacity_kWh]]/electric_vehicles_dataset[[#This Row],[Range_km]]</f>
        <v>0.1900414937759336</v>
      </c>
      <c r="I1104">
        <v>241</v>
      </c>
      <c r="J1104" t="s">
        <v>359</v>
      </c>
      <c r="K1104">
        <v>1</v>
      </c>
      <c r="L1104" s="1">
        <v>128789.9</v>
      </c>
      <c r="M1104" s="1" t="str" cm="1">
        <f t="array" ref="M110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04" t="s">
        <v>22</v>
      </c>
      <c r="O1104" t="s">
        <v>182</v>
      </c>
      <c r="P1104" s="2" t="s">
        <v>394</v>
      </c>
      <c r="Q1104">
        <v>3</v>
      </c>
      <c r="R1104" t="s">
        <v>397</v>
      </c>
      <c r="S1104" s="1">
        <f>electric_vehicles_dataset[[#This Row],[Units_Sold_2024]]*electric_vehicles_dataset[[#This Row],[Price_USD]]</f>
        <v>392165245.5</v>
      </c>
      <c r="T1104">
        <v>4</v>
      </c>
      <c r="U1104">
        <v>3045</v>
      </c>
      <c r="V1104">
        <v>5</v>
      </c>
    </row>
    <row r="1105" spans="1:22" x14ac:dyDescent="0.35">
      <c r="A1105">
        <v>1104</v>
      </c>
      <c r="B1105" t="s">
        <v>64</v>
      </c>
      <c r="C1105" t="s">
        <v>65</v>
      </c>
      <c r="D1105">
        <v>2021</v>
      </c>
      <c r="E1105" t="s">
        <v>84</v>
      </c>
      <c r="F1105">
        <v>102.3</v>
      </c>
      <c r="G1105" t="s">
        <v>361</v>
      </c>
      <c r="H1105">
        <f>electric_vehicles_dataset[[#This Row],[Battery_Capacity_kWh]]/electric_vehicles_dataset[[#This Row],[Range_km]]</f>
        <v>0.21582278481012657</v>
      </c>
      <c r="I1105">
        <v>474</v>
      </c>
      <c r="J1105" t="s">
        <v>18</v>
      </c>
      <c r="K1105">
        <v>2</v>
      </c>
      <c r="L1105" s="1">
        <v>48888.55</v>
      </c>
      <c r="M1105" s="1" t="str" cm="1">
        <f t="array" ref="M11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05" t="s">
        <v>106</v>
      </c>
      <c r="O1105" t="s">
        <v>40</v>
      </c>
      <c r="P1105" s="2" t="s">
        <v>395</v>
      </c>
      <c r="Q1105">
        <v>5</v>
      </c>
      <c r="R1105" t="s">
        <v>392</v>
      </c>
      <c r="S1105" s="1">
        <f>electric_vehicles_dataset[[#This Row],[Units_Sold_2024]]*electric_vehicles_dataset[[#This Row],[Price_USD]]</f>
        <v>142950120.20000002</v>
      </c>
      <c r="T1105">
        <v>5</v>
      </c>
      <c r="U1105">
        <v>2924</v>
      </c>
      <c r="V1105">
        <v>3</v>
      </c>
    </row>
    <row r="1106" spans="1:22" x14ac:dyDescent="0.35">
      <c r="A1106">
        <v>1105</v>
      </c>
      <c r="B1106" t="s">
        <v>64</v>
      </c>
      <c r="C1106" t="s">
        <v>65</v>
      </c>
      <c r="D1106">
        <v>2021</v>
      </c>
      <c r="E1106" t="s">
        <v>58</v>
      </c>
      <c r="F1106">
        <v>36.799999999999997</v>
      </c>
      <c r="G1106" t="s">
        <v>357</v>
      </c>
      <c r="H1106">
        <f>electric_vehicles_dataset[[#This Row],[Battery_Capacity_kWh]]/electric_vehicles_dataset[[#This Row],[Range_km]]</f>
        <v>0.19166666666666665</v>
      </c>
      <c r="I1106">
        <v>192</v>
      </c>
      <c r="J1106" t="s">
        <v>27</v>
      </c>
      <c r="K1106">
        <v>2</v>
      </c>
      <c r="L1106" s="1">
        <v>116600.48</v>
      </c>
      <c r="M1106" s="1" t="str" cm="1">
        <f t="array" ref="M110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06" t="s">
        <v>172</v>
      </c>
      <c r="O1106" t="s">
        <v>150</v>
      </c>
      <c r="P1106" s="2" t="s">
        <v>389</v>
      </c>
      <c r="Q1106">
        <v>5</v>
      </c>
      <c r="R1106" t="s">
        <v>392</v>
      </c>
      <c r="S1106" s="1">
        <f>electric_vehicles_dataset[[#This Row],[Units_Sold_2024]]*electric_vehicles_dataset[[#This Row],[Price_USD]]</f>
        <v>950060711.03999996</v>
      </c>
      <c r="T1106">
        <v>4</v>
      </c>
      <c r="U1106">
        <v>8148</v>
      </c>
      <c r="V1106">
        <v>3</v>
      </c>
    </row>
    <row r="1107" spans="1:22" x14ac:dyDescent="0.35">
      <c r="A1107">
        <v>1106</v>
      </c>
      <c r="B1107" t="s">
        <v>155</v>
      </c>
      <c r="C1107" t="s">
        <v>156</v>
      </c>
      <c r="D1107">
        <v>2015</v>
      </c>
      <c r="E1107" t="s">
        <v>133</v>
      </c>
      <c r="F1107">
        <v>94.3</v>
      </c>
      <c r="G1107" t="s">
        <v>350</v>
      </c>
      <c r="H1107">
        <f>electric_vehicles_dataset[[#This Row],[Battery_Capacity_kWh]]/electric_vehicles_dataset[[#This Row],[Range_km]]</f>
        <v>0.29468749999999999</v>
      </c>
      <c r="I1107">
        <v>320</v>
      </c>
      <c r="J1107" t="s">
        <v>34</v>
      </c>
      <c r="K1107">
        <v>4</v>
      </c>
      <c r="L1107" s="1">
        <v>94337.82</v>
      </c>
      <c r="M1107" s="1" t="str" cm="1">
        <f t="array" ref="M11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07" t="s">
        <v>117</v>
      </c>
      <c r="O1107" t="s">
        <v>86</v>
      </c>
      <c r="P1107" s="2" t="s">
        <v>389</v>
      </c>
      <c r="Q1107">
        <v>5</v>
      </c>
      <c r="R1107" t="s">
        <v>392</v>
      </c>
      <c r="S1107" s="1">
        <f>electric_vehicles_dataset[[#This Row],[Units_Sold_2024]]*electric_vehicles_dataset[[#This Row],[Price_USD]]</f>
        <v>462538331.46000004</v>
      </c>
      <c r="T1107">
        <v>3</v>
      </c>
      <c r="U1107">
        <v>4903</v>
      </c>
      <c r="V1107">
        <v>4</v>
      </c>
    </row>
    <row r="1108" spans="1:22" x14ac:dyDescent="0.35">
      <c r="A1108">
        <v>1107</v>
      </c>
      <c r="B1108" t="s">
        <v>120</v>
      </c>
      <c r="C1108" t="s">
        <v>252</v>
      </c>
      <c r="D1108">
        <v>2016</v>
      </c>
      <c r="E1108" t="s">
        <v>133</v>
      </c>
      <c r="F1108">
        <v>23</v>
      </c>
      <c r="G1108" t="s">
        <v>357</v>
      </c>
      <c r="H1108">
        <f>electric_vehicles_dataset[[#This Row],[Battery_Capacity_kWh]]/electric_vehicles_dataset[[#This Row],[Range_km]]</f>
        <v>5.9740259740259739E-2</v>
      </c>
      <c r="I1108">
        <v>385</v>
      </c>
      <c r="J1108" t="s">
        <v>34</v>
      </c>
      <c r="K1108">
        <v>8</v>
      </c>
      <c r="L1108" s="1">
        <v>46873.35</v>
      </c>
      <c r="M1108" s="1" t="str" cm="1">
        <f t="array" ref="M110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08" t="s">
        <v>219</v>
      </c>
      <c r="O1108" t="s">
        <v>115</v>
      </c>
      <c r="P1108" s="2" t="s">
        <v>396</v>
      </c>
      <c r="Q1108">
        <v>2</v>
      </c>
      <c r="R1108" t="s">
        <v>391</v>
      </c>
      <c r="S1108" s="1">
        <f>electric_vehicles_dataset[[#This Row],[Units_Sold_2024]]*electric_vehicles_dataset[[#This Row],[Price_USD]]</f>
        <v>576823445.10000002</v>
      </c>
      <c r="T1108">
        <v>4</v>
      </c>
      <c r="U1108">
        <v>12306</v>
      </c>
      <c r="V1108">
        <v>3</v>
      </c>
    </row>
    <row r="1109" spans="1:22" x14ac:dyDescent="0.35">
      <c r="A1109">
        <v>1108</v>
      </c>
      <c r="B1109" t="s">
        <v>144</v>
      </c>
      <c r="C1109" t="s">
        <v>273</v>
      </c>
      <c r="D1109">
        <v>2020</v>
      </c>
      <c r="E1109" t="s">
        <v>104</v>
      </c>
      <c r="F1109">
        <v>113.8</v>
      </c>
      <c r="G1109" t="s">
        <v>361</v>
      </c>
      <c r="H1109">
        <f>electric_vehicles_dataset[[#This Row],[Battery_Capacity_kWh]]/electric_vehicles_dataset[[#This Row],[Range_km]]</f>
        <v>0.21512287334593572</v>
      </c>
      <c r="I1109">
        <v>529</v>
      </c>
      <c r="J1109" t="s">
        <v>364</v>
      </c>
      <c r="K1109">
        <v>10</v>
      </c>
      <c r="L1109" s="1">
        <v>118317.99</v>
      </c>
      <c r="M1109" s="1" t="str" cm="1">
        <f t="array" ref="M110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09" t="s">
        <v>22</v>
      </c>
      <c r="O1109" t="s">
        <v>124</v>
      </c>
      <c r="P1109" s="2" t="s">
        <v>389</v>
      </c>
      <c r="Q1109">
        <v>4</v>
      </c>
      <c r="R1109" t="s">
        <v>392</v>
      </c>
      <c r="S1109" s="1">
        <f>electric_vehicles_dataset[[#This Row],[Units_Sold_2024]]*electric_vehicles_dataset[[#This Row],[Price_USD]]</f>
        <v>2262003332.8200002</v>
      </c>
      <c r="T1109">
        <v>5</v>
      </c>
      <c r="U1109">
        <v>19118</v>
      </c>
      <c r="V1109">
        <v>4</v>
      </c>
    </row>
    <row r="1110" spans="1:22" x14ac:dyDescent="0.35">
      <c r="A1110">
        <v>1109</v>
      </c>
      <c r="B1110" t="s">
        <v>241</v>
      </c>
      <c r="C1110" t="s">
        <v>286</v>
      </c>
      <c r="D1110">
        <v>2016</v>
      </c>
      <c r="E1110" t="s">
        <v>31</v>
      </c>
      <c r="F1110">
        <v>146</v>
      </c>
      <c r="G1110" t="s">
        <v>386</v>
      </c>
      <c r="H1110">
        <f>electric_vehicles_dataset[[#This Row],[Battery_Capacity_kWh]]/electric_vehicles_dataset[[#This Row],[Range_km]]</f>
        <v>0.91249999999999998</v>
      </c>
      <c r="I1110">
        <v>160</v>
      </c>
      <c r="J1110" t="s">
        <v>18</v>
      </c>
      <c r="K1110">
        <v>4</v>
      </c>
      <c r="L1110" s="1">
        <v>80863.45</v>
      </c>
      <c r="M1110" s="1" t="str" cm="1">
        <f t="array" ref="M111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10" t="s">
        <v>91</v>
      </c>
      <c r="O1110" t="s">
        <v>354</v>
      </c>
      <c r="P1110" s="2" t="s">
        <v>394</v>
      </c>
      <c r="Q1110">
        <v>2</v>
      </c>
      <c r="R1110" t="s">
        <v>391</v>
      </c>
      <c r="S1110" s="1">
        <f>electric_vehicles_dataset[[#This Row],[Units_Sold_2024]]*electric_vehicles_dataset[[#This Row],[Price_USD]]</f>
        <v>561758387.14999998</v>
      </c>
      <c r="T1110">
        <v>3</v>
      </c>
      <c r="U1110">
        <v>6947</v>
      </c>
      <c r="V1110">
        <v>3</v>
      </c>
    </row>
    <row r="1111" spans="1:22" x14ac:dyDescent="0.35">
      <c r="A1111">
        <v>1110</v>
      </c>
      <c r="B1111" t="s">
        <v>180</v>
      </c>
      <c r="C1111" t="s">
        <v>285</v>
      </c>
      <c r="D1111">
        <v>2017</v>
      </c>
      <c r="E1111" t="s">
        <v>84</v>
      </c>
      <c r="F1111">
        <v>38.299999999999997</v>
      </c>
      <c r="G1111" t="s">
        <v>357</v>
      </c>
      <c r="H1111">
        <f>electric_vehicles_dataset[[#This Row],[Battery_Capacity_kWh]]/electric_vehicles_dataset[[#This Row],[Range_km]]</f>
        <v>0.1106936416184971</v>
      </c>
      <c r="I1111">
        <v>346</v>
      </c>
      <c r="J1111" t="s">
        <v>27</v>
      </c>
      <c r="K1111">
        <v>5</v>
      </c>
      <c r="L1111" s="1">
        <v>73418.710000000006</v>
      </c>
      <c r="M1111" s="1" t="str" cm="1">
        <f t="array" ref="M11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11" t="s">
        <v>177</v>
      </c>
      <c r="O1111" t="s">
        <v>226</v>
      </c>
      <c r="P1111" s="2" t="s">
        <v>395</v>
      </c>
      <c r="Q1111">
        <v>3</v>
      </c>
      <c r="R1111" t="s">
        <v>397</v>
      </c>
      <c r="S1111" s="1">
        <f>electric_vehicles_dataset[[#This Row],[Units_Sold_2024]]*electric_vehicles_dataset[[#This Row],[Price_USD]]</f>
        <v>147938700.65000001</v>
      </c>
      <c r="T1111">
        <v>5</v>
      </c>
      <c r="U1111">
        <v>2015</v>
      </c>
      <c r="V1111">
        <v>4</v>
      </c>
    </row>
    <row r="1112" spans="1:22" x14ac:dyDescent="0.35">
      <c r="A1112">
        <v>1111</v>
      </c>
      <c r="B1112" t="s">
        <v>259</v>
      </c>
      <c r="C1112" t="s">
        <v>311</v>
      </c>
      <c r="D1112">
        <v>2021</v>
      </c>
      <c r="E1112" t="s">
        <v>42</v>
      </c>
      <c r="F1112">
        <v>132.1</v>
      </c>
      <c r="G1112" t="s">
        <v>352</v>
      </c>
      <c r="H1112">
        <f>electric_vehicles_dataset[[#This Row],[Battery_Capacity_kWh]]/electric_vehicles_dataset[[#This Row],[Range_km]]</f>
        <v>1.1900900900900901</v>
      </c>
      <c r="I1112">
        <v>111</v>
      </c>
      <c r="J1112" t="s">
        <v>358</v>
      </c>
      <c r="K1112">
        <v>3</v>
      </c>
      <c r="L1112" s="1">
        <v>45177.93</v>
      </c>
      <c r="M1112" s="1" t="str" cm="1">
        <f t="array" ref="M111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12" t="s">
        <v>179</v>
      </c>
      <c r="O1112" t="s">
        <v>121</v>
      </c>
      <c r="P1112" s="2" t="s">
        <v>398</v>
      </c>
      <c r="Q1112">
        <v>0</v>
      </c>
      <c r="R1112" t="s">
        <v>390</v>
      </c>
      <c r="S1112" s="1">
        <f>electric_vehicles_dataset[[#This Row],[Units_Sold_2024]]*electric_vehicles_dataset[[#This Row],[Price_USD]]</f>
        <v>11204126.640000001</v>
      </c>
      <c r="T1112">
        <v>3</v>
      </c>
      <c r="U1112">
        <v>248</v>
      </c>
      <c r="V1112">
        <v>3</v>
      </c>
    </row>
    <row r="1113" spans="1:22" x14ac:dyDescent="0.35">
      <c r="A1113">
        <v>1112</v>
      </c>
      <c r="B1113" t="s">
        <v>136</v>
      </c>
      <c r="C1113" t="s">
        <v>137</v>
      </c>
      <c r="D1113">
        <v>2015</v>
      </c>
      <c r="E1113" t="s">
        <v>31</v>
      </c>
      <c r="F1113">
        <v>27.6</v>
      </c>
      <c r="G1113" t="s">
        <v>357</v>
      </c>
      <c r="H1113">
        <f>electric_vehicles_dataset[[#This Row],[Battery_Capacity_kWh]]/electric_vehicles_dataset[[#This Row],[Range_km]]</f>
        <v>0.25555555555555559</v>
      </c>
      <c r="I1113">
        <v>108</v>
      </c>
      <c r="J1113" t="s">
        <v>149</v>
      </c>
      <c r="K1113">
        <v>11</v>
      </c>
      <c r="L1113" s="1">
        <v>78664.800000000003</v>
      </c>
      <c r="M1113" s="1" t="str" cm="1">
        <f t="array" ref="M111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13" t="s">
        <v>214</v>
      </c>
      <c r="O1113" t="s">
        <v>182</v>
      </c>
      <c r="P1113" s="2" t="s">
        <v>394</v>
      </c>
      <c r="Q1113">
        <v>5</v>
      </c>
      <c r="R1113" t="s">
        <v>392</v>
      </c>
      <c r="S1113" s="1">
        <f>electric_vehicles_dataset[[#This Row],[Units_Sold_2024]]*electric_vehicles_dataset[[#This Row],[Price_USD]]</f>
        <v>167241364.80000001</v>
      </c>
      <c r="T1113">
        <v>4</v>
      </c>
      <c r="U1113">
        <v>2126</v>
      </c>
      <c r="V1113">
        <v>4</v>
      </c>
    </row>
    <row r="1114" spans="1:22" x14ac:dyDescent="0.35">
      <c r="A1114">
        <v>1113</v>
      </c>
      <c r="B1114" t="s">
        <v>96</v>
      </c>
      <c r="C1114" t="s">
        <v>97</v>
      </c>
      <c r="D1114">
        <v>2025</v>
      </c>
      <c r="E1114" t="s">
        <v>183</v>
      </c>
      <c r="F1114">
        <v>149.69999999999999</v>
      </c>
      <c r="G1114" t="s">
        <v>386</v>
      </c>
      <c r="H1114">
        <f>electric_vehicles_dataset[[#This Row],[Battery_Capacity_kWh]]/electric_vehicles_dataset[[#This Row],[Range_km]]</f>
        <v>0.51620689655172414</v>
      </c>
      <c r="I1114">
        <v>290</v>
      </c>
      <c r="J1114" t="s">
        <v>54</v>
      </c>
      <c r="K1114">
        <v>5</v>
      </c>
      <c r="L1114" s="1">
        <v>50697.9</v>
      </c>
      <c r="M1114" s="1" t="str" cm="1">
        <f t="array" ref="M111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14" t="s">
        <v>100</v>
      </c>
      <c r="O1114" t="s">
        <v>161</v>
      </c>
      <c r="P1114" s="2" t="s">
        <v>389</v>
      </c>
      <c r="Q1114">
        <v>0</v>
      </c>
      <c r="R1114" t="s">
        <v>390</v>
      </c>
      <c r="S1114" s="1">
        <f>electric_vehicles_dataset[[#This Row],[Units_Sold_2024]]*electric_vehicles_dataset[[#This Row],[Price_USD]]</f>
        <v>721279023.30000007</v>
      </c>
      <c r="T1114">
        <v>4</v>
      </c>
      <c r="U1114">
        <v>14227</v>
      </c>
      <c r="V1114">
        <v>3</v>
      </c>
    </row>
    <row r="1115" spans="1:22" x14ac:dyDescent="0.35">
      <c r="A1115">
        <v>1114</v>
      </c>
      <c r="B1115" t="s">
        <v>64</v>
      </c>
      <c r="C1115" t="s">
        <v>65</v>
      </c>
      <c r="D1115">
        <v>2023</v>
      </c>
      <c r="E1115" t="s">
        <v>84</v>
      </c>
      <c r="F1115">
        <v>120</v>
      </c>
      <c r="G1115" t="s">
        <v>361</v>
      </c>
      <c r="H1115">
        <f>electric_vehicles_dataset[[#This Row],[Battery_Capacity_kWh]]/electric_vehicles_dataset[[#This Row],[Range_km]]</f>
        <v>0.23622047244094488</v>
      </c>
      <c r="I1115">
        <v>508</v>
      </c>
      <c r="J1115" t="s">
        <v>48</v>
      </c>
      <c r="K1115">
        <v>1</v>
      </c>
      <c r="L1115" s="1">
        <v>33197.449999999997</v>
      </c>
      <c r="M1115" s="1" t="str" cm="1">
        <f t="array" ref="M111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15" t="s">
        <v>277</v>
      </c>
      <c r="O1115" t="s">
        <v>169</v>
      </c>
      <c r="P1115" s="2" t="s">
        <v>394</v>
      </c>
      <c r="Q1115">
        <v>0</v>
      </c>
      <c r="R1115" t="s">
        <v>390</v>
      </c>
      <c r="S1115" s="1">
        <f>electric_vehicles_dataset[[#This Row],[Units_Sold_2024]]*electric_vehicles_dataset[[#This Row],[Price_USD]]</f>
        <v>531922741.34999996</v>
      </c>
      <c r="T1115">
        <v>3</v>
      </c>
      <c r="U1115">
        <v>16023</v>
      </c>
      <c r="V1115">
        <v>3</v>
      </c>
    </row>
    <row r="1116" spans="1:22" x14ac:dyDescent="0.35">
      <c r="A1116">
        <v>1115</v>
      </c>
      <c r="B1116" t="s">
        <v>222</v>
      </c>
      <c r="C1116" t="s">
        <v>223</v>
      </c>
      <c r="D1116">
        <v>2023</v>
      </c>
      <c r="E1116" t="s">
        <v>84</v>
      </c>
      <c r="F1116">
        <v>87.2</v>
      </c>
      <c r="G1116" t="s">
        <v>350</v>
      </c>
      <c r="H1116">
        <f>electric_vehicles_dataset[[#This Row],[Battery_Capacity_kWh]]/electric_vehicles_dataset[[#This Row],[Range_km]]</f>
        <v>0.16932038834951457</v>
      </c>
      <c r="I1116">
        <v>515</v>
      </c>
      <c r="J1116" t="s">
        <v>149</v>
      </c>
      <c r="K1116">
        <v>6</v>
      </c>
      <c r="L1116" s="1">
        <v>47775.86</v>
      </c>
      <c r="M1116" s="1" t="str" cm="1">
        <f t="array" ref="M111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16" t="s">
        <v>301</v>
      </c>
      <c r="O1116" t="s">
        <v>93</v>
      </c>
      <c r="P1116" s="2" t="s">
        <v>389</v>
      </c>
      <c r="Q1116">
        <v>5</v>
      </c>
      <c r="R1116" t="s">
        <v>392</v>
      </c>
      <c r="S1116" s="1">
        <f>electric_vehicles_dataset[[#This Row],[Units_Sold_2024]]*electric_vehicles_dataset[[#This Row],[Price_USD]]</f>
        <v>795850275.88</v>
      </c>
      <c r="T1116">
        <v>4</v>
      </c>
      <c r="U1116">
        <v>16658</v>
      </c>
      <c r="V1116">
        <v>3</v>
      </c>
    </row>
    <row r="1117" spans="1:22" x14ac:dyDescent="0.35">
      <c r="A1117">
        <v>1116</v>
      </c>
      <c r="B1117" t="s">
        <v>125</v>
      </c>
      <c r="C1117" t="s">
        <v>126</v>
      </c>
      <c r="D1117">
        <v>2016</v>
      </c>
      <c r="E1117" t="s">
        <v>31</v>
      </c>
      <c r="F1117">
        <v>27</v>
      </c>
      <c r="G1117" t="s">
        <v>357</v>
      </c>
      <c r="H1117">
        <f>electric_vehicles_dataset[[#This Row],[Battery_Capacity_kWh]]/electric_vehicles_dataset[[#This Row],[Range_km]]</f>
        <v>5.8189655172413791E-2</v>
      </c>
      <c r="I1117">
        <v>464</v>
      </c>
      <c r="J1117" t="s">
        <v>353</v>
      </c>
      <c r="K1117">
        <v>4</v>
      </c>
      <c r="L1117" s="1">
        <v>146253.04</v>
      </c>
      <c r="M1117" s="1" t="str" cm="1">
        <f t="array" ref="M111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17" t="s">
        <v>257</v>
      </c>
      <c r="O1117" t="s">
        <v>265</v>
      </c>
      <c r="P1117" s="2" t="s">
        <v>389</v>
      </c>
      <c r="Q1117">
        <v>4</v>
      </c>
      <c r="R1117" t="s">
        <v>392</v>
      </c>
      <c r="S1117" s="1">
        <f>electric_vehicles_dataset[[#This Row],[Units_Sold_2024]]*electric_vehicles_dataset[[#This Row],[Price_USD]]</f>
        <v>1919863656.0800002</v>
      </c>
      <c r="T1117">
        <v>3</v>
      </c>
      <c r="U1117">
        <v>13127</v>
      </c>
      <c r="V1117">
        <v>3</v>
      </c>
    </row>
    <row r="1118" spans="1:22" x14ac:dyDescent="0.35">
      <c r="A1118">
        <v>1117</v>
      </c>
      <c r="B1118" t="s">
        <v>64</v>
      </c>
      <c r="C1118" t="s">
        <v>65</v>
      </c>
      <c r="D1118">
        <v>2015</v>
      </c>
      <c r="E1118" t="s">
        <v>84</v>
      </c>
      <c r="F1118">
        <v>93.5</v>
      </c>
      <c r="G1118" t="s">
        <v>350</v>
      </c>
      <c r="H1118">
        <f>electric_vehicles_dataset[[#This Row],[Battery_Capacity_kWh]]/electric_vehicles_dataset[[#This Row],[Range_km]]</f>
        <v>0.4844559585492228</v>
      </c>
      <c r="I1118">
        <v>193</v>
      </c>
      <c r="J1118" t="s">
        <v>149</v>
      </c>
      <c r="K1118">
        <v>7</v>
      </c>
      <c r="L1118" s="1">
        <v>93374.68</v>
      </c>
      <c r="M1118" s="1" t="str" cm="1">
        <f t="array" ref="M111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18" t="s">
        <v>91</v>
      </c>
      <c r="O1118" t="s">
        <v>236</v>
      </c>
      <c r="P1118" s="2" t="s">
        <v>394</v>
      </c>
      <c r="Q1118">
        <v>3</v>
      </c>
      <c r="R1118" t="s">
        <v>397</v>
      </c>
      <c r="S1118" s="1">
        <f>electric_vehicles_dataset[[#This Row],[Units_Sold_2024]]*electric_vehicles_dataset[[#This Row],[Price_USD]]</f>
        <v>368643236.63999999</v>
      </c>
      <c r="T1118">
        <v>3</v>
      </c>
      <c r="U1118">
        <v>3948</v>
      </c>
      <c r="V1118">
        <v>5</v>
      </c>
    </row>
    <row r="1119" spans="1:22" x14ac:dyDescent="0.35">
      <c r="A1119">
        <v>1118</v>
      </c>
      <c r="B1119" t="s">
        <v>79</v>
      </c>
      <c r="C1119" t="s">
        <v>299</v>
      </c>
      <c r="D1119">
        <v>2018</v>
      </c>
      <c r="E1119" t="s">
        <v>73</v>
      </c>
      <c r="F1119">
        <v>124.5</v>
      </c>
      <c r="G1119" t="s">
        <v>352</v>
      </c>
      <c r="H1119">
        <f>electric_vehicles_dataset[[#This Row],[Battery_Capacity_kWh]]/electric_vehicles_dataset[[#This Row],[Range_km]]</f>
        <v>0.25050301810865189</v>
      </c>
      <c r="I1119">
        <v>497</v>
      </c>
      <c r="J1119" t="s">
        <v>359</v>
      </c>
      <c r="K1119">
        <v>8</v>
      </c>
      <c r="L1119" s="1">
        <v>48790.14</v>
      </c>
      <c r="M1119" s="1" t="str" cm="1">
        <f t="array" ref="M11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19" t="s">
        <v>271</v>
      </c>
      <c r="O1119" t="s">
        <v>236</v>
      </c>
      <c r="P1119" s="2" t="s">
        <v>394</v>
      </c>
      <c r="Q1119">
        <v>3</v>
      </c>
      <c r="R1119" t="s">
        <v>397</v>
      </c>
      <c r="S1119" s="1">
        <f>electric_vehicles_dataset[[#This Row],[Units_Sold_2024]]*electric_vehicles_dataset[[#This Row],[Price_USD]]</f>
        <v>126171302.03999999</v>
      </c>
      <c r="T1119">
        <v>3</v>
      </c>
      <c r="U1119">
        <v>2586</v>
      </c>
      <c r="V1119">
        <v>4</v>
      </c>
    </row>
    <row r="1120" spans="1:22" x14ac:dyDescent="0.35">
      <c r="A1120">
        <v>1119</v>
      </c>
      <c r="B1120" t="s">
        <v>41</v>
      </c>
      <c r="C1120" t="s">
        <v>380</v>
      </c>
      <c r="D1120">
        <v>2023</v>
      </c>
      <c r="E1120" t="s">
        <v>31</v>
      </c>
      <c r="F1120">
        <v>128</v>
      </c>
      <c r="G1120" t="s">
        <v>352</v>
      </c>
      <c r="H1120">
        <f>electric_vehicles_dataset[[#This Row],[Battery_Capacity_kWh]]/electric_vehicles_dataset[[#This Row],[Range_km]]</f>
        <v>0.27947598253275108</v>
      </c>
      <c r="I1120">
        <v>458</v>
      </c>
      <c r="J1120" t="s">
        <v>356</v>
      </c>
      <c r="K1120">
        <v>1</v>
      </c>
      <c r="L1120" s="1">
        <v>36909.71</v>
      </c>
      <c r="M1120" s="1" t="str" cm="1">
        <f t="array" ref="M112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20" t="s">
        <v>49</v>
      </c>
      <c r="O1120" t="s">
        <v>164</v>
      </c>
      <c r="P1120" s="2" t="s">
        <v>394</v>
      </c>
      <c r="Q1120">
        <v>0</v>
      </c>
      <c r="R1120" t="s">
        <v>390</v>
      </c>
      <c r="S1120" s="1">
        <f>electric_vehicles_dataset[[#This Row],[Units_Sold_2024]]*electric_vehicles_dataset[[#This Row],[Price_USD]]</f>
        <v>30155233.07</v>
      </c>
      <c r="T1120">
        <v>5</v>
      </c>
      <c r="U1120">
        <v>817</v>
      </c>
      <c r="V1120">
        <v>3</v>
      </c>
    </row>
    <row r="1121" spans="1:22" x14ac:dyDescent="0.35">
      <c r="A1121">
        <v>1120</v>
      </c>
      <c r="B1121" t="s">
        <v>170</v>
      </c>
      <c r="C1121" t="s">
        <v>334</v>
      </c>
      <c r="D1121">
        <v>2015</v>
      </c>
      <c r="E1121" t="s">
        <v>130</v>
      </c>
      <c r="F1121">
        <v>96.5</v>
      </c>
      <c r="G1121" t="s">
        <v>350</v>
      </c>
      <c r="H1121">
        <f>electric_vehicles_dataset[[#This Row],[Battery_Capacity_kWh]]/electric_vehicles_dataset[[#This Row],[Range_km]]</f>
        <v>0.21882086167800455</v>
      </c>
      <c r="I1121">
        <v>441</v>
      </c>
      <c r="J1121" t="s">
        <v>345</v>
      </c>
      <c r="K1121">
        <v>2</v>
      </c>
      <c r="L1121" s="1">
        <v>60277.99</v>
      </c>
      <c r="M1121" s="1" t="str" cm="1">
        <f t="array" ref="M112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21" t="s">
        <v>301</v>
      </c>
      <c r="O1121" t="s">
        <v>161</v>
      </c>
      <c r="P1121" s="2" t="s">
        <v>389</v>
      </c>
      <c r="Q1121">
        <v>4</v>
      </c>
      <c r="R1121" t="s">
        <v>392</v>
      </c>
      <c r="S1121" s="1">
        <f>electric_vehicles_dataset[[#This Row],[Units_Sold_2024]]*electric_vehicles_dataset[[#This Row],[Price_USD]]</f>
        <v>1111827525.55</v>
      </c>
      <c r="T1121">
        <v>5</v>
      </c>
      <c r="U1121">
        <v>18445</v>
      </c>
      <c r="V1121">
        <v>5</v>
      </c>
    </row>
    <row r="1122" spans="1:22" x14ac:dyDescent="0.35">
      <c r="A1122">
        <v>1121</v>
      </c>
      <c r="B1122" t="s">
        <v>215</v>
      </c>
      <c r="C1122" t="s">
        <v>377</v>
      </c>
      <c r="D1122">
        <v>2024</v>
      </c>
      <c r="E1122" t="s">
        <v>84</v>
      </c>
      <c r="F1122">
        <v>61</v>
      </c>
      <c r="G1122" t="s">
        <v>351</v>
      </c>
      <c r="H1122">
        <f>electric_vehicles_dataset[[#This Row],[Battery_Capacity_kWh]]/electric_vehicles_dataset[[#This Row],[Range_km]]</f>
        <v>0.1383219954648526</v>
      </c>
      <c r="I1122">
        <v>441</v>
      </c>
      <c r="J1122" t="s">
        <v>364</v>
      </c>
      <c r="K1122">
        <v>4</v>
      </c>
      <c r="L1122" s="1">
        <v>50654.47</v>
      </c>
      <c r="M1122" s="1" t="str" cm="1">
        <f t="array" ref="M112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22" t="s">
        <v>189</v>
      </c>
      <c r="O1122" t="s">
        <v>118</v>
      </c>
      <c r="P1122" s="2" t="s">
        <v>389</v>
      </c>
      <c r="Q1122">
        <v>0</v>
      </c>
      <c r="R1122" t="s">
        <v>390</v>
      </c>
      <c r="S1122" s="1">
        <f>electric_vehicles_dataset[[#This Row],[Units_Sold_2024]]*electric_vehicles_dataset[[#This Row],[Price_USD]]</f>
        <v>824756080.53999996</v>
      </c>
      <c r="T1122">
        <v>5</v>
      </c>
      <c r="U1122">
        <v>16282</v>
      </c>
      <c r="V1122">
        <v>4</v>
      </c>
    </row>
    <row r="1123" spans="1:22" x14ac:dyDescent="0.35">
      <c r="A1123">
        <v>1122</v>
      </c>
      <c r="B1123" t="s">
        <v>170</v>
      </c>
      <c r="C1123" t="s">
        <v>367</v>
      </c>
      <c r="D1123">
        <v>2023</v>
      </c>
      <c r="E1123" t="s">
        <v>130</v>
      </c>
      <c r="F1123">
        <v>103.1</v>
      </c>
      <c r="G1123" t="s">
        <v>361</v>
      </c>
      <c r="H1123">
        <f>electric_vehicles_dataset[[#This Row],[Battery_Capacity_kWh]]/electric_vehicles_dataset[[#This Row],[Range_km]]</f>
        <v>0.23921113689095128</v>
      </c>
      <c r="I1123">
        <v>431</v>
      </c>
      <c r="J1123" t="s">
        <v>364</v>
      </c>
      <c r="K1123">
        <v>3</v>
      </c>
      <c r="L1123" s="1">
        <v>100838.06</v>
      </c>
      <c r="M1123" s="1" t="str" cm="1">
        <f t="array" ref="M112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23" t="s">
        <v>106</v>
      </c>
      <c r="O1123" t="s">
        <v>147</v>
      </c>
      <c r="P1123" s="2" t="s">
        <v>396</v>
      </c>
      <c r="Q1123">
        <v>3</v>
      </c>
      <c r="R1123" t="s">
        <v>397</v>
      </c>
      <c r="S1123" s="1">
        <f>electric_vehicles_dataset[[#This Row],[Units_Sold_2024]]*electric_vehicles_dataset[[#This Row],[Price_USD]]</f>
        <v>1357582801.78</v>
      </c>
      <c r="T1123">
        <v>3</v>
      </c>
      <c r="U1123">
        <v>13463</v>
      </c>
      <c r="V1123">
        <v>4</v>
      </c>
    </row>
    <row r="1124" spans="1:22" x14ac:dyDescent="0.35">
      <c r="A1124">
        <v>1123</v>
      </c>
      <c r="B1124" t="s">
        <v>184</v>
      </c>
      <c r="C1124" t="s">
        <v>213</v>
      </c>
      <c r="D1124">
        <v>2018</v>
      </c>
      <c r="E1124" t="s">
        <v>130</v>
      </c>
      <c r="F1124">
        <v>57.3</v>
      </c>
      <c r="G1124" t="s">
        <v>348</v>
      </c>
      <c r="H1124">
        <f>electric_vehicles_dataset[[#This Row],[Battery_Capacity_kWh]]/electric_vehicles_dataset[[#This Row],[Range_km]]</f>
        <v>0.45839999999999997</v>
      </c>
      <c r="I1124">
        <v>125</v>
      </c>
      <c r="J1124" t="s">
        <v>356</v>
      </c>
      <c r="K1124">
        <v>6</v>
      </c>
      <c r="L1124" s="1">
        <v>61940.89</v>
      </c>
      <c r="M1124" s="1" t="str" cm="1">
        <f t="array" ref="M112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24" t="s">
        <v>102</v>
      </c>
      <c r="O1124" t="s">
        <v>86</v>
      </c>
      <c r="P1124" s="2" t="s">
        <v>389</v>
      </c>
      <c r="Q1124">
        <v>3</v>
      </c>
      <c r="R1124" t="s">
        <v>397</v>
      </c>
      <c r="S1124" s="1">
        <f>electric_vehicles_dataset[[#This Row],[Units_Sold_2024]]*electric_vehicles_dataset[[#This Row],[Price_USD]]</f>
        <v>1199485334.8499999</v>
      </c>
      <c r="T1124">
        <v>5</v>
      </c>
      <c r="U1124">
        <v>19365</v>
      </c>
      <c r="V1124">
        <v>5</v>
      </c>
    </row>
    <row r="1125" spans="1:22" x14ac:dyDescent="0.35">
      <c r="A1125">
        <v>1124</v>
      </c>
      <c r="B1125" t="s">
        <v>176</v>
      </c>
      <c r="C1125" t="s">
        <v>326</v>
      </c>
      <c r="D1125">
        <v>2024</v>
      </c>
      <c r="E1125" t="s">
        <v>130</v>
      </c>
      <c r="F1125">
        <v>124.9</v>
      </c>
      <c r="G1125" t="s">
        <v>352</v>
      </c>
      <c r="H1125">
        <f>electric_vehicles_dataset[[#This Row],[Battery_Capacity_kWh]]/electric_vehicles_dataset[[#This Row],[Range_km]]</f>
        <v>0.93208955223880596</v>
      </c>
      <c r="I1125">
        <v>134</v>
      </c>
      <c r="J1125" t="s">
        <v>105</v>
      </c>
      <c r="K1125">
        <v>2</v>
      </c>
      <c r="L1125" s="1">
        <v>81694.44</v>
      </c>
      <c r="M1125" s="1" t="str" cm="1">
        <f t="array" ref="M112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25" t="s">
        <v>117</v>
      </c>
      <c r="O1125" t="s">
        <v>150</v>
      </c>
      <c r="P1125" s="2" t="s">
        <v>389</v>
      </c>
      <c r="Q1125">
        <v>3</v>
      </c>
      <c r="R1125" t="s">
        <v>397</v>
      </c>
      <c r="S1125" s="1">
        <f>electric_vehicles_dataset[[#This Row],[Units_Sold_2024]]*electric_vehicles_dataset[[#This Row],[Price_USD]]</f>
        <v>459122752.80000001</v>
      </c>
      <c r="T1125">
        <v>5</v>
      </c>
      <c r="U1125">
        <v>5620</v>
      </c>
      <c r="V1125">
        <v>3</v>
      </c>
    </row>
    <row r="1126" spans="1:22" x14ac:dyDescent="0.35">
      <c r="A1126">
        <v>1125</v>
      </c>
      <c r="B1126" t="s">
        <v>200</v>
      </c>
      <c r="C1126" t="s">
        <v>368</v>
      </c>
      <c r="D1126">
        <v>2015</v>
      </c>
      <c r="E1126" t="s">
        <v>26</v>
      </c>
      <c r="F1126">
        <v>40.6</v>
      </c>
      <c r="G1126" t="s">
        <v>348</v>
      </c>
      <c r="H1126">
        <f>electric_vehicles_dataset[[#This Row],[Battery_Capacity_kWh]]/electric_vehicles_dataset[[#This Row],[Range_km]]</f>
        <v>9.227272727272727E-2</v>
      </c>
      <c r="I1126">
        <v>440</v>
      </c>
      <c r="J1126" t="s">
        <v>76</v>
      </c>
      <c r="K1126">
        <v>8</v>
      </c>
      <c r="L1126" s="1">
        <v>109252.82</v>
      </c>
      <c r="M1126" s="1" t="str" cm="1">
        <f t="array" ref="M112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26" t="s">
        <v>189</v>
      </c>
      <c r="O1126" t="s">
        <v>93</v>
      </c>
      <c r="P1126" s="2" t="s">
        <v>389</v>
      </c>
      <c r="Q1126">
        <v>4</v>
      </c>
      <c r="R1126" t="s">
        <v>392</v>
      </c>
      <c r="S1126" s="1">
        <f>electric_vehicles_dataset[[#This Row],[Units_Sold_2024]]*electric_vehicles_dataset[[#This Row],[Price_USD]]</f>
        <v>1322286880.46</v>
      </c>
      <c r="T1126">
        <v>3</v>
      </c>
      <c r="U1126">
        <v>12103</v>
      </c>
      <c r="V1126">
        <v>5</v>
      </c>
    </row>
    <row r="1127" spans="1:22" x14ac:dyDescent="0.35">
      <c r="A1127">
        <v>1126</v>
      </c>
      <c r="B1127" t="s">
        <v>136</v>
      </c>
      <c r="C1127" t="s">
        <v>137</v>
      </c>
      <c r="D1127">
        <v>2017</v>
      </c>
      <c r="E1127" t="s">
        <v>53</v>
      </c>
      <c r="F1127">
        <v>34.6</v>
      </c>
      <c r="G1127" t="s">
        <v>357</v>
      </c>
      <c r="H1127">
        <f>electric_vehicles_dataset[[#This Row],[Battery_Capacity_kWh]]/electric_vehicles_dataset[[#This Row],[Range_km]]</f>
        <v>5.7762938230383976E-2</v>
      </c>
      <c r="I1127">
        <v>599</v>
      </c>
      <c r="J1127" t="s">
        <v>345</v>
      </c>
      <c r="K1127">
        <v>12</v>
      </c>
      <c r="L1127" s="1">
        <v>117714.81</v>
      </c>
      <c r="M1127" s="1" t="str" cm="1">
        <f t="array" ref="M112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27" t="s">
        <v>19</v>
      </c>
      <c r="O1127" t="s">
        <v>206</v>
      </c>
      <c r="P1127" s="2" t="s">
        <v>394</v>
      </c>
      <c r="Q1127">
        <v>2</v>
      </c>
      <c r="R1127" t="s">
        <v>391</v>
      </c>
      <c r="S1127" s="1">
        <f>electric_vehicles_dataset[[#This Row],[Units_Sold_2024]]*electric_vehicles_dataset[[#This Row],[Price_USD]]</f>
        <v>2108389961.9099998</v>
      </c>
      <c r="T1127">
        <v>3</v>
      </c>
      <c r="U1127">
        <v>17911</v>
      </c>
      <c r="V1127">
        <v>4</v>
      </c>
    </row>
    <row r="1128" spans="1:22" x14ac:dyDescent="0.35">
      <c r="A1128">
        <v>1127</v>
      </c>
      <c r="B1128" t="s">
        <v>180</v>
      </c>
      <c r="C1128" t="s">
        <v>181</v>
      </c>
      <c r="D1128">
        <v>2023</v>
      </c>
      <c r="E1128" t="s">
        <v>101</v>
      </c>
      <c r="F1128">
        <v>40.9</v>
      </c>
      <c r="G1128" t="s">
        <v>348</v>
      </c>
      <c r="H1128">
        <f>electric_vehicles_dataset[[#This Row],[Battery_Capacity_kWh]]/electric_vehicles_dataset[[#This Row],[Range_km]]</f>
        <v>0.25403726708074531</v>
      </c>
      <c r="I1128">
        <v>161</v>
      </c>
      <c r="J1128" t="s">
        <v>345</v>
      </c>
      <c r="K1128">
        <v>11</v>
      </c>
      <c r="L1128" s="1">
        <v>136012.96</v>
      </c>
      <c r="M1128" s="1" t="str" cm="1">
        <f t="array" ref="M11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28" t="s">
        <v>212</v>
      </c>
      <c r="O1128" t="s">
        <v>206</v>
      </c>
      <c r="P1128" s="2" t="s">
        <v>394</v>
      </c>
      <c r="Q1128">
        <v>1</v>
      </c>
      <c r="R1128" t="s">
        <v>391</v>
      </c>
      <c r="S1128" s="1">
        <f>electric_vehicles_dataset[[#This Row],[Units_Sold_2024]]*electric_vehicles_dataset[[#This Row],[Price_USD]]</f>
        <v>1665886734.0799999</v>
      </c>
      <c r="T1128">
        <v>5</v>
      </c>
      <c r="U1128">
        <v>12248</v>
      </c>
      <c r="V1128">
        <v>4</v>
      </c>
    </row>
    <row r="1129" spans="1:22" x14ac:dyDescent="0.35">
      <c r="A1129">
        <v>1128</v>
      </c>
      <c r="B1129" t="s">
        <v>79</v>
      </c>
      <c r="C1129" t="s">
        <v>151</v>
      </c>
      <c r="D1129">
        <v>2017</v>
      </c>
      <c r="E1129" t="s">
        <v>84</v>
      </c>
      <c r="F1129">
        <v>125.5</v>
      </c>
      <c r="G1129" t="s">
        <v>352</v>
      </c>
      <c r="H1129">
        <f>electric_vehicles_dataset[[#This Row],[Battery_Capacity_kWh]]/electric_vehicles_dataset[[#This Row],[Range_km]]</f>
        <v>0.54094827586206895</v>
      </c>
      <c r="I1129">
        <v>232</v>
      </c>
      <c r="J1129" t="s">
        <v>27</v>
      </c>
      <c r="K1129">
        <v>5</v>
      </c>
      <c r="L1129" s="1">
        <v>68423.78</v>
      </c>
      <c r="M1129" s="1" t="str" cm="1">
        <f t="array" ref="M11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29" t="s">
        <v>117</v>
      </c>
      <c r="O1129" t="s">
        <v>20</v>
      </c>
      <c r="P1129" s="2" t="s">
        <v>389</v>
      </c>
      <c r="Q1129">
        <v>1</v>
      </c>
      <c r="R1129" t="s">
        <v>391</v>
      </c>
      <c r="S1129" s="1">
        <f>electric_vehicles_dataset[[#This Row],[Units_Sold_2024]]*electric_vehicles_dataset[[#This Row],[Price_USD]]</f>
        <v>671579400.70000005</v>
      </c>
      <c r="T1129">
        <v>3</v>
      </c>
      <c r="U1129">
        <v>9815</v>
      </c>
      <c r="V1129">
        <v>5</v>
      </c>
    </row>
    <row r="1130" spans="1:22" x14ac:dyDescent="0.35">
      <c r="A1130">
        <v>1129</v>
      </c>
      <c r="B1130" t="s">
        <v>36</v>
      </c>
      <c r="C1130" t="s">
        <v>245</v>
      </c>
      <c r="D1130">
        <v>2025</v>
      </c>
      <c r="E1130" t="s">
        <v>73</v>
      </c>
      <c r="F1130">
        <v>30.9</v>
      </c>
      <c r="G1130" t="s">
        <v>357</v>
      </c>
      <c r="H1130">
        <f>electric_vehicles_dataset[[#This Row],[Battery_Capacity_kWh]]/electric_vehicles_dataset[[#This Row],[Range_km]]</f>
        <v>0.17166666666666666</v>
      </c>
      <c r="I1130">
        <v>180</v>
      </c>
      <c r="J1130" t="s">
        <v>356</v>
      </c>
      <c r="K1130">
        <v>8</v>
      </c>
      <c r="L1130" s="1">
        <v>100851.59</v>
      </c>
      <c r="M1130" s="1" t="str" cm="1">
        <f t="array" ref="M113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30" t="s">
        <v>81</v>
      </c>
      <c r="O1130" t="s">
        <v>23</v>
      </c>
      <c r="P1130" s="2" t="s">
        <v>389</v>
      </c>
      <c r="Q1130">
        <v>3</v>
      </c>
      <c r="R1130" t="s">
        <v>397</v>
      </c>
      <c r="S1130" s="1">
        <f>electric_vehicles_dataset[[#This Row],[Units_Sold_2024]]*electric_vehicles_dataset[[#This Row],[Price_USD]]</f>
        <v>1295741228.3199999</v>
      </c>
      <c r="T1130">
        <v>4</v>
      </c>
      <c r="U1130">
        <v>12848</v>
      </c>
      <c r="V1130">
        <v>5</v>
      </c>
    </row>
    <row r="1131" spans="1:22" x14ac:dyDescent="0.35">
      <c r="A1131">
        <v>1130</v>
      </c>
      <c r="B1131" t="s">
        <v>68</v>
      </c>
      <c r="C1131" t="s">
        <v>69</v>
      </c>
      <c r="D1131">
        <v>2025</v>
      </c>
      <c r="E1131" t="s">
        <v>73</v>
      </c>
      <c r="F1131">
        <v>26.5</v>
      </c>
      <c r="G1131" t="s">
        <v>357</v>
      </c>
      <c r="H1131">
        <f>electric_vehicles_dataset[[#This Row],[Battery_Capacity_kWh]]/electric_vehicles_dataset[[#This Row],[Range_km]]</f>
        <v>0.21721311475409835</v>
      </c>
      <c r="I1131">
        <v>122</v>
      </c>
      <c r="J1131" t="s">
        <v>149</v>
      </c>
      <c r="K1131">
        <v>3</v>
      </c>
      <c r="L1131" s="1">
        <v>44149.68</v>
      </c>
      <c r="M1131" s="1" t="str" cm="1">
        <f t="array" ref="M113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31" t="s">
        <v>81</v>
      </c>
      <c r="O1131" t="s">
        <v>20</v>
      </c>
      <c r="P1131" s="2" t="s">
        <v>389</v>
      </c>
      <c r="Q1131">
        <v>3</v>
      </c>
      <c r="R1131" t="s">
        <v>397</v>
      </c>
      <c r="S1131" s="1">
        <f>electric_vehicles_dataset[[#This Row],[Units_Sold_2024]]*electric_vehicles_dataset[[#This Row],[Price_USD]]</f>
        <v>798314513.75999999</v>
      </c>
      <c r="T1131">
        <v>4</v>
      </c>
      <c r="U1131">
        <v>18082</v>
      </c>
      <c r="V1131">
        <v>5</v>
      </c>
    </row>
    <row r="1132" spans="1:22" x14ac:dyDescent="0.35">
      <c r="A1132">
        <v>1131</v>
      </c>
      <c r="B1132" t="s">
        <v>87</v>
      </c>
      <c r="C1132" t="s">
        <v>191</v>
      </c>
      <c r="D1132">
        <v>2022</v>
      </c>
      <c r="E1132" t="s">
        <v>133</v>
      </c>
      <c r="F1132">
        <v>107.6</v>
      </c>
      <c r="G1132" t="s">
        <v>361</v>
      </c>
      <c r="H1132">
        <f>electric_vehicles_dataset[[#This Row],[Battery_Capacity_kWh]]/electric_vehicles_dataset[[#This Row],[Range_km]]</f>
        <v>0.2097465886939571</v>
      </c>
      <c r="I1132">
        <v>513</v>
      </c>
      <c r="J1132" t="s">
        <v>353</v>
      </c>
      <c r="K1132">
        <v>4</v>
      </c>
      <c r="L1132" s="1">
        <v>75286.42</v>
      </c>
      <c r="M1132" s="1" t="str" cm="1">
        <f t="array" ref="M11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32" t="s">
        <v>175</v>
      </c>
      <c r="O1132" t="s">
        <v>40</v>
      </c>
      <c r="P1132" s="2" t="s">
        <v>395</v>
      </c>
      <c r="Q1132">
        <v>5</v>
      </c>
      <c r="R1132" t="s">
        <v>392</v>
      </c>
      <c r="S1132" s="1">
        <f>electric_vehicles_dataset[[#This Row],[Units_Sold_2024]]*electric_vehicles_dataset[[#This Row],[Price_USD]]</f>
        <v>111423901.59999999</v>
      </c>
      <c r="T1132">
        <v>4</v>
      </c>
      <c r="U1132">
        <v>1480</v>
      </c>
      <c r="V1132">
        <v>5</v>
      </c>
    </row>
    <row r="1133" spans="1:22" x14ac:dyDescent="0.35">
      <c r="A1133">
        <v>1132</v>
      </c>
      <c r="B1133" t="s">
        <v>125</v>
      </c>
      <c r="C1133" t="s">
        <v>163</v>
      </c>
      <c r="D1133">
        <v>2024</v>
      </c>
      <c r="E1133" t="s">
        <v>42</v>
      </c>
      <c r="F1133">
        <v>69.900000000000006</v>
      </c>
      <c r="G1133" t="s">
        <v>351</v>
      </c>
      <c r="H1133">
        <f>electric_vehicles_dataset[[#This Row],[Battery_Capacity_kWh]]/electric_vehicles_dataset[[#This Row],[Range_km]]</f>
        <v>0.30792951541850222</v>
      </c>
      <c r="I1133">
        <v>227</v>
      </c>
      <c r="J1133" t="s">
        <v>105</v>
      </c>
      <c r="K1133">
        <v>11</v>
      </c>
      <c r="L1133" s="1">
        <v>81516.990000000005</v>
      </c>
      <c r="M1133" s="1" t="str" cm="1">
        <f t="array" ref="M113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33" t="s">
        <v>49</v>
      </c>
      <c r="O1133" t="s">
        <v>236</v>
      </c>
      <c r="P1133" s="2" t="s">
        <v>394</v>
      </c>
      <c r="Q1133">
        <v>1</v>
      </c>
      <c r="R1133" t="s">
        <v>391</v>
      </c>
      <c r="S1133" s="1">
        <f>electric_vehicles_dataset[[#This Row],[Units_Sold_2024]]*electric_vehicles_dataset[[#This Row],[Price_USD]]</f>
        <v>1498037725.23</v>
      </c>
      <c r="T1133">
        <v>4</v>
      </c>
      <c r="U1133">
        <v>18377</v>
      </c>
      <c r="V1133">
        <v>4</v>
      </c>
    </row>
    <row r="1134" spans="1:22" x14ac:dyDescent="0.35">
      <c r="A1134">
        <v>1133</v>
      </c>
      <c r="B1134" t="s">
        <v>184</v>
      </c>
      <c r="C1134" t="s">
        <v>309</v>
      </c>
      <c r="D1134">
        <v>2017</v>
      </c>
      <c r="E1134" t="s">
        <v>101</v>
      </c>
      <c r="F1134">
        <v>147.6</v>
      </c>
      <c r="G1134" t="s">
        <v>386</v>
      </c>
      <c r="H1134">
        <f>electric_vehicles_dataset[[#This Row],[Battery_Capacity_kWh]]/electric_vehicles_dataset[[#This Row],[Range_km]]</f>
        <v>0.52340425531914891</v>
      </c>
      <c r="I1134">
        <v>282</v>
      </c>
      <c r="J1134" t="s">
        <v>353</v>
      </c>
      <c r="K1134">
        <v>10</v>
      </c>
      <c r="L1134" s="1">
        <v>78795.710000000006</v>
      </c>
      <c r="M1134" s="1" t="str" cm="1">
        <f t="array" ref="M11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34" t="s">
        <v>19</v>
      </c>
      <c r="O1134" t="s">
        <v>107</v>
      </c>
      <c r="P1134" s="2" t="s">
        <v>394</v>
      </c>
      <c r="Q1134">
        <v>1</v>
      </c>
      <c r="R1134" t="s">
        <v>391</v>
      </c>
      <c r="S1134" s="1">
        <f>electric_vehicles_dataset[[#This Row],[Units_Sold_2024]]*electric_vehicles_dataset[[#This Row],[Price_USD]]</f>
        <v>686547021.23000002</v>
      </c>
      <c r="T1134">
        <v>3</v>
      </c>
      <c r="U1134">
        <v>8713</v>
      </c>
      <c r="V1134">
        <v>5</v>
      </c>
    </row>
    <row r="1135" spans="1:22" x14ac:dyDescent="0.35">
      <c r="A1135">
        <v>1134</v>
      </c>
      <c r="B1135" t="s">
        <v>36</v>
      </c>
      <c r="C1135" t="s">
        <v>324</v>
      </c>
      <c r="D1135">
        <v>2023</v>
      </c>
      <c r="E1135" t="s">
        <v>31</v>
      </c>
      <c r="F1135">
        <v>99.8</v>
      </c>
      <c r="G1135" t="s">
        <v>350</v>
      </c>
      <c r="H1135">
        <f>electric_vehicles_dataset[[#This Row],[Battery_Capacity_kWh]]/electric_vehicles_dataset[[#This Row],[Range_km]]</f>
        <v>0.18145454545454545</v>
      </c>
      <c r="I1135">
        <v>550</v>
      </c>
      <c r="J1135" t="s">
        <v>358</v>
      </c>
      <c r="K1135">
        <v>2</v>
      </c>
      <c r="L1135" s="1">
        <v>61023.79</v>
      </c>
      <c r="M1135" s="1" t="str" cm="1">
        <f t="array" ref="M11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35" t="s">
        <v>152</v>
      </c>
      <c r="O1135" t="s">
        <v>44</v>
      </c>
      <c r="P1135" s="2" t="s">
        <v>389</v>
      </c>
      <c r="Q1135">
        <v>4</v>
      </c>
      <c r="R1135" t="s">
        <v>392</v>
      </c>
      <c r="S1135" s="1">
        <f>electric_vehicles_dataset[[#This Row],[Units_Sold_2024]]*electric_vehicles_dataset[[#This Row],[Price_USD]]</f>
        <v>44059176.380000003</v>
      </c>
      <c r="T1135">
        <v>4</v>
      </c>
      <c r="U1135">
        <v>722</v>
      </c>
      <c r="V1135">
        <v>5</v>
      </c>
    </row>
    <row r="1136" spans="1:22" x14ac:dyDescent="0.35">
      <c r="A1136">
        <v>1135</v>
      </c>
      <c r="B1136" t="s">
        <v>29</v>
      </c>
      <c r="C1136" t="s">
        <v>30</v>
      </c>
      <c r="D1136">
        <v>2019</v>
      </c>
      <c r="E1136" t="s">
        <v>58</v>
      </c>
      <c r="F1136">
        <v>47.9</v>
      </c>
      <c r="G1136" t="s">
        <v>348</v>
      </c>
      <c r="H1136">
        <f>electric_vehicles_dataset[[#This Row],[Battery_Capacity_kWh]]/electric_vehicles_dataset[[#This Row],[Range_km]]</f>
        <v>9.1412213740458007E-2</v>
      </c>
      <c r="I1136">
        <v>524</v>
      </c>
      <c r="J1136" t="s">
        <v>48</v>
      </c>
      <c r="K1136">
        <v>7</v>
      </c>
      <c r="L1136" s="1">
        <v>120802.63</v>
      </c>
      <c r="M1136" s="1" t="str" cm="1">
        <f t="array" ref="M113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36" t="s">
        <v>254</v>
      </c>
      <c r="O1136" t="s">
        <v>78</v>
      </c>
      <c r="P1136" s="2" t="s">
        <v>389</v>
      </c>
      <c r="Q1136">
        <v>4</v>
      </c>
      <c r="R1136" t="s">
        <v>392</v>
      </c>
      <c r="S1136" s="1">
        <f>electric_vehicles_dataset[[#This Row],[Units_Sold_2024]]*electric_vehicles_dataset[[#This Row],[Price_USD]]</f>
        <v>1612594307.8700001</v>
      </c>
      <c r="T1136">
        <v>3</v>
      </c>
      <c r="U1136">
        <v>13349</v>
      </c>
      <c r="V1136">
        <v>3</v>
      </c>
    </row>
    <row r="1137" spans="1:22" x14ac:dyDescent="0.35">
      <c r="A1137">
        <v>1136</v>
      </c>
      <c r="B1137" t="s">
        <v>128</v>
      </c>
      <c r="C1137" t="s">
        <v>268</v>
      </c>
      <c r="D1137">
        <v>2022</v>
      </c>
      <c r="E1137" t="s">
        <v>17</v>
      </c>
      <c r="F1137">
        <v>73</v>
      </c>
      <c r="G1137" t="s">
        <v>351</v>
      </c>
      <c r="H1137">
        <f>electric_vehicles_dataset[[#This Row],[Battery_Capacity_kWh]]/electric_vehicles_dataset[[#This Row],[Range_km]]</f>
        <v>0.73</v>
      </c>
      <c r="I1137">
        <v>100</v>
      </c>
      <c r="J1137" t="s">
        <v>38</v>
      </c>
      <c r="K1137">
        <v>3</v>
      </c>
      <c r="L1137" s="1">
        <v>59835.040000000001</v>
      </c>
      <c r="M1137" s="1" t="str" cm="1">
        <f t="array" ref="M11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37" t="s">
        <v>189</v>
      </c>
      <c r="O1137" t="s">
        <v>89</v>
      </c>
      <c r="P1137" s="2" t="s">
        <v>389</v>
      </c>
      <c r="Q1137">
        <v>0</v>
      </c>
      <c r="R1137" t="s">
        <v>390</v>
      </c>
      <c r="S1137" s="1">
        <f>electric_vehicles_dataset[[#This Row],[Units_Sold_2024]]*electric_vehicles_dataset[[#This Row],[Price_USD]]</f>
        <v>42961558.719999999</v>
      </c>
      <c r="T1137">
        <v>5</v>
      </c>
      <c r="U1137">
        <v>718</v>
      </c>
      <c r="V1137">
        <v>3</v>
      </c>
    </row>
    <row r="1138" spans="1:22" x14ac:dyDescent="0.35">
      <c r="A1138">
        <v>1137</v>
      </c>
      <c r="B1138" t="s">
        <v>187</v>
      </c>
      <c r="C1138" t="s">
        <v>319</v>
      </c>
      <c r="D1138">
        <v>2019</v>
      </c>
      <c r="E1138" t="s">
        <v>130</v>
      </c>
      <c r="F1138">
        <v>38.799999999999997</v>
      </c>
      <c r="G1138" t="s">
        <v>357</v>
      </c>
      <c r="H1138">
        <f>electric_vehicles_dataset[[#This Row],[Battery_Capacity_kWh]]/electric_vehicles_dataset[[#This Row],[Range_km]]</f>
        <v>0.23803680981595091</v>
      </c>
      <c r="I1138">
        <v>163</v>
      </c>
      <c r="J1138" t="s">
        <v>48</v>
      </c>
      <c r="K1138">
        <v>5</v>
      </c>
      <c r="L1138" s="1">
        <v>108034.29</v>
      </c>
      <c r="M1138" s="1" t="str" cm="1">
        <f t="array" ref="M113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38" t="s">
        <v>55</v>
      </c>
      <c r="O1138" t="s">
        <v>265</v>
      </c>
      <c r="P1138" s="2" t="s">
        <v>389</v>
      </c>
      <c r="Q1138">
        <v>4</v>
      </c>
      <c r="R1138" t="s">
        <v>392</v>
      </c>
      <c r="S1138" s="1">
        <f>electric_vehicles_dataset[[#This Row],[Units_Sold_2024]]*electric_vehicles_dataset[[#This Row],[Price_USD]]</f>
        <v>1714180079.4299998</v>
      </c>
      <c r="T1138">
        <v>4</v>
      </c>
      <c r="U1138">
        <v>15867</v>
      </c>
      <c r="V1138">
        <v>5</v>
      </c>
    </row>
    <row r="1139" spans="1:22" x14ac:dyDescent="0.35">
      <c r="A1139">
        <v>1138</v>
      </c>
      <c r="B1139" t="s">
        <v>29</v>
      </c>
      <c r="C1139" t="s">
        <v>378</v>
      </c>
      <c r="D1139">
        <v>2017</v>
      </c>
      <c r="E1139" t="s">
        <v>17</v>
      </c>
      <c r="F1139">
        <v>53.6</v>
      </c>
      <c r="G1139" t="s">
        <v>348</v>
      </c>
      <c r="H1139">
        <f>electric_vehicles_dataset[[#This Row],[Battery_Capacity_kWh]]/electric_vehicles_dataset[[#This Row],[Range_km]]</f>
        <v>0.14293333333333333</v>
      </c>
      <c r="I1139">
        <v>375</v>
      </c>
      <c r="J1139" t="s">
        <v>27</v>
      </c>
      <c r="K1139">
        <v>7</v>
      </c>
      <c r="L1139" s="1">
        <v>144771.13</v>
      </c>
      <c r="M1139" s="1" t="str" cm="1">
        <f t="array" ref="M113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39" t="s">
        <v>254</v>
      </c>
      <c r="O1139" t="s">
        <v>115</v>
      </c>
      <c r="P1139" s="2" t="s">
        <v>396</v>
      </c>
      <c r="Q1139">
        <v>3</v>
      </c>
      <c r="R1139" t="s">
        <v>397</v>
      </c>
      <c r="S1139" s="1">
        <f>electric_vehicles_dataset[[#This Row],[Units_Sold_2024]]*electric_vehicles_dataset[[#This Row],[Price_USD]]</f>
        <v>377563107.04000002</v>
      </c>
      <c r="T1139">
        <v>4</v>
      </c>
      <c r="U1139">
        <v>2608</v>
      </c>
      <c r="V1139">
        <v>4</v>
      </c>
    </row>
    <row r="1140" spans="1:22" x14ac:dyDescent="0.35">
      <c r="A1140">
        <v>1139</v>
      </c>
      <c r="B1140" t="s">
        <v>122</v>
      </c>
      <c r="C1140" t="s">
        <v>123</v>
      </c>
      <c r="D1140">
        <v>2023</v>
      </c>
      <c r="E1140" t="s">
        <v>26</v>
      </c>
      <c r="F1140">
        <v>149.4</v>
      </c>
      <c r="G1140" t="s">
        <v>386</v>
      </c>
      <c r="H1140">
        <f>electric_vehicles_dataset[[#This Row],[Battery_Capacity_kWh]]/electric_vehicles_dataset[[#This Row],[Range_km]]</f>
        <v>0.2970178926441352</v>
      </c>
      <c r="I1140">
        <v>503</v>
      </c>
      <c r="J1140" t="s">
        <v>353</v>
      </c>
      <c r="K1140">
        <v>10</v>
      </c>
      <c r="L1140" s="1">
        <v>104705.7</v>
      </c>
      <c r="M1140" s="1" t="str" cm="1">
        <f t="array" ref="M114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40" t="s">
        <v>253</v>
      </c>
      <c r="O1140" t="s">
        <v>110</v>
      </c>
      <c r="P1140" s="2" t="s">
        <v>394</v>
      </c>
      <c r="Q1140">
        <v>4</v>
      </c>
      <c r="R1140" t="s">
        <v>392</v>
      </c>
      <c r="S1140" s="1">
        <f>electric_vehicles_dataset[[#This Row],[Units_Sold_2024]]*electric_vehicles_dataset[[#This Row],[Price_USD]]</f>
        <v>854189100.60000002</v>
      </c>
      <c r="T1140">
        <v>5</v>
      </c>
      <c r="U1140">
        <v>8158</v>
      </c>
      <c r="V1140">
        <v>5</v>
      </c>
    </row>
    <row r="1141" spans="1:22" x14ac:dyDescent="0.35">
      <c r="A1141">
        <v>1140</v>
      </c>
      <c r="B1141" t="s">
        <v>41</v>
      </c>
      <c r="C1141" t="s">
        <v>355</v>
      </c>
      <c r="D1141">
        <v>2024</v>
      </c>
      <c r="E1141" t="s">
        <v>47</v>
      </c>
      <c r="F1141">
        <v>77.2</v>
      </c>
      <c r="G1141" t="s">
        <v>351</v>
      </c>
      <c r="H1141">
        <f>electric_vehicles_dataset[[#This Row],[Battery_Capacity_kWh]]/electric_vehicles_dataset[[#This Row],[Range_km]]</f>
        <v>0.13402777777777777</v>
      </c>
      <c r="I1141">
        <v>576</v>
      </c>
      <c r="J1141" t="s">
        <v>34</v>
      </c>
      <c r="K1141">
        <v>7</v>
      </c>
      <c r="L1141" s="1">
        <v>112642.7</v>
      </c>
      <c r="M1141" s="1" t="str" cm="1">
        <f t="array" ref="M114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41" t="s">
        <v>143</v>
      </c>
      <c r="O1141" t="s">
        <v>89</v>
      </c>
      <c r="P1141" s="2" t="s">
        <v>389</v>
      </c>
      <c r="Q1141">
        <v>2</v>
      </c>
      <c r="R1141" t="s">
        <v>391</v>
      </c>
      <c r="S1141" s="1">
        <f>electric_vehicles_dataset[[#This Row],[Units_Sold_2024]]*electric_vehicles_dataset[[#This Row],[Price_USD]]</f>
        <v>408329787.5</v>
      </c>
      <c r="T1141">
        <v>3</v>
      </c>
      <c r="U1141">
        <v>3625</v>
      </c>
      <c r="V1141">
        <v>3</v>
      </c>
    </row>
    <row r="1142" spans="1:22" x14ac:dyDescent="0.35">
      <c r="A1142">
        <v>1141</v>
      </c>
      <c r="B1142" t="s">
        <v>155</v>
      </c>
      <c r="C1142" t="s">
        <v>156</v>
      </c>
      <c r="D1142">
        <v>2024</v>
      </c>
      <c r="E1142" t="s">
        <v>73</v>
      </c>
      <c r="F1142">
        <v>43.5</v>
      </c>
      <c r="G1142" t="s">
        <v>348</v>
      </c>
      <c r="H1142">
        <f>electric_vehicles_dataset[[#This Row],[Battery_Capacity_kWh]]/electric_vehicles_dataset[[#This Row],[Range_km]]</f>
        <v>8.1766917293233085E-2</v>
      </c>
      <c r="I1142">
        <v>532</v>
      </c>
      <c r="J1142" t="s">
        <v>356</v>
      </c>
      <c r="K1142">
        <v>12</v>
      </c>
      <c r="L1142" s="1">
        <v>59567.58</v>
      </c>
      <c r="M1142" s="1" t="str" cm="1">
        <f t="array" ref="M114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42" t="s">
        <v>28</v>
      </c>
      <c r="O1142" t="s">
        <v>95</v>
      </c>
      <c r="P1142" s="2" t="s">
        <v>394</v>
      </c>
      <c r="Q1142">
        <v>0</v>
      </c>
      <c r="R1142" t="s">
        <v>390</v>
      </c>
      <c r="S1142" s="1">
        <f>electric_vehicles_dataset[[#This Row],[Units_Sold_2024]]*electric_vehicles_dataset[[#This Row],[Price_USD]]</f>
        <v>120743484.66</v>
      </c>
      <c r="T1142">
        <v>5</v>
      </c>
      <c r="U1142">
        <v>2027</v>
      </c>
      <c r="V1142">
        <v>3</v>
      </c>
    </row>
    <row r="1143" spans="1:22" x14ac:dyDescent="0.35">
      <c r="A1143">
        <v>1142</v>
      </c>
      <c r="B1143" t="s">
        <v>157</v>
      </c>
      <c r="C1143" t="s">
        <v>375</v>
      </c>
      <c r="D1143">
        <v>2023</v>
      </c>
      <c r="E1143" t="s">
        <v>183</v>
      </c>
      <c r="F1143">
        <v>71.3</v>
      </c>
      <c r="G1143" t="s">
        <v>351</v>
      </c>
      <c r="H1143">
        <f>electric_vehicles_dataset[[#This Row],[Battery_Capacity_kWh]]/electric_vehicles_dataset[[#This Row],[Range_km]]</f>
        <v>0.22634920634920633</v>
      </c>
      <c r="I1143">
        <v>315</v>
      </c>
      <c r="J1143" t="s">
        <v>38</v>
      </c>
      <c r="K1143">
        <v>3</v>
      </c>
      <c r="L1143" s="1">
        <v>147103.71</v>
      </c>
      <c r="M1143" s="1" t="str" cm="1">
        <f t="array" ref="M114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43" t="s">
        <v>39</v>
      </c>
      <c r="O1143" t="s">
        <v>150</v>
      </c>
      <c r="P1143" s="2" t="s">
        <v>389</v>
      </c>
      <c r="Q1143">
        <v>0</v>
      </c>
      <c r="R1143" t="s">
        <v>390</v>
      </c>
      <c r="S1143" s="1">
        <f>electric_vehicles_dataset[[#This Row],[Units_Sold_2024]]*electric_vehicles_dataset[[#This Row],[Price_USD]]</f>
        <v>268905581.88</v>
      </c>
      <c r="T1143">
        <v>5</v>
      </c>
      <c r="U1143">
        <v>1828</v>
      </c>
      <c r="V1143">
        <v>4</v>
      </c>
    </row>
    <row r="1144" spans="1:22" x14ac:dyDescent="0.35">
      <c r="A1144">
        <v>1143</v>
      </c>
      <c r="B1144" t="s">
        <v>262</v>
      </c>
      <c r="C1144" t="s">
        <v>263</v>
      </c>
      <c r="D1144">
        <v>2015</v>
      </c>
      <c r="E1144" t="s">
        <v>84</v>
      </c>
      <c r="F1144">
        <v>97.2</v>
      </c>
      <c r="G1144" t="s">
        <v>350</v>
      </c>
      <c r="H1144">
        <f>electric_vehicles_dataset[[#This Row],[Battery_Capacity_kWh]]/electric_vehicles_dataset[[#This Row],[Range_km]]</f>
        <v>0.22448036951501155</v>
      </c>
      <c r="I1144">
        <v>433</v>
      </c>
      <c r="J1144" t="s">
        <v>54</v>
      </c>
      <c r="K1144">
        <v>10</v>
      </c>
      <c r="L1144" s="1">
        <v>65845.61</v>
      </c>
      <c r="M1144" s="1" t="str" cm="1">
        <f t="array" ref="M114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44" t="s">
        <v>98</v>
      </c>
      <c r="O1144" t="s">
        <v>161</v>
      </c>
      <c r="P1144" s="2" t="s">
        <v>389</v>
      </c>
      <c r="Q1144">
        <v>2</v>
      </c>
      <c r="R1144" t="s">
        <v>391</v>
      </c>
      <c r="S1144" s="1">
        <f>electric_vehicles_dataset[[#This Row],[Units_Sold_2024]]*electric_vehicles_dataset[[#This Row],[Price_USD]]</f>
        <v>591096040.97000003</v>
      </c>
      <c r="T1144">
        <v>5</v>
      </c>
      <c r="U1144">
        <v>8977</v>
      </c>
      <c r="V1144">
        <v>5</v>
      </c>
    </row>
    <row r="1145" spans="1:22" x14ac:dyDescent="0.35">
      <c r="A1145">
        <v>1144</v>
      </c>
      <c r="B1145" t="s">
        <v>21</v>
      </c>
      <c r="C1145" t="s">
        <v>363</v>
      </c>
      <c r="D1145">
        <v>2021</v>
      </c>
      <c r="E1145" t="s">
        <v>130</v>
      </c>
      <c r="F1145">
        <v>73.400000000000006</v>
      </c>
      <c r="G1145" t="s">
        <v>351</v>
      </c>
      <c r="H1145">
        <f>electric_vehicles_dataset[[#This Row],[Battery_Capacity_kWh]]/electric_vehicles_dataset[[#This Row],[Range_km]]</f>
        <v>0.27490636704119853</v>
      </c>
      <c r="I1145">
        <v>267</v>
      </c>
      <c r="J1145" t="s">
        <v>358</v>
      </c>
      <c r="K1145">
        <v>4</v>
      </c>
      <c r="L1145" s="1">
        <v>31722.61</v>
      </c>
      <c r="M1145" s="1" t="str" cm="1">
        <f t="array" ref="M114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45" t="s">
        <v>81</v>
      </c>
      <c r="O1145" t="s">
        <v>111</v>
      </c>
      <c r="P1145" s="2" t="s">
        <v>389</v>
      </c>
      <c r="Q1145">
        <v>2</v>
      </c>
      <c r="R1145" t="s">
        <v>391</v>
      </c>
      <c r="S1145" s="1">
        <f>electric_vehicles_dataset[[#This Row],[Units_Sold_2024]]*electric_vehicles_dataset[[#This Row],[Price_USD]]</f>
        <v>30326815.16</v>
      </c>
      <c r="T1145">
        <v>5</v>
      </c>
      <c r="U1145">
        <v>956</v>
      </c>
      <c r="V1145">
        <v>5</v>
      </c>
    </row>
    <row r="1146" spans="1:22" x14ac:dyDescent="0.35">
      <c r="A1146">
        <v>1145</v>
      </c>
      <c r="B1146" t="s">
        <v>96</v>
      </c>
      <c r="C1146" t="s">
        <v>116</v>
      </c>
      <c r="D1146">
        <v>2020</v>
      </c>
      <c r="E1146" t="s">
        <v>31</v>
      </c>
      <c r="F1146">
        <v>45</v>
      </c>
      <c r="G1146" t="s">
        <v>348</v>
      </c>
      <c r="H1146">
        <f>electric_vehicles_dataset[[#This Row],[Battery_Capacity_kWh]]/electric_vehicles_dataset[[#This Row],[Range_km]]</f>
        <v>0.12534818941504178</v>
      </c>
      <c r="I1146">
        <v>359</v>
      </c>
      <c r="J1146" t="s">
        <v>76</v>
      </c>
      <c r="K1146">
        <v>5</v>
      </c>
      <c r="L1146" s="1">
        <v>59102</v>
      </c>
      <c r="M1146" s="1" t="str" cm="1">
        <f t="array" ref="M11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46" t="s">
        <v>81</v>
      </c>
      <c r="O1146" t="s">
        <v>33</v>
      </c>
      <c r="P1146" s="2" t="s">
        <v>393</v>
      </c>
      <c r="Q1146">
        <v>3</v>
      </c>
      <c r="R1146" t="s">
        <v>397</v>
      </c>
      <c r="S1146" s="1">
        <f>electric_vehicles_dataset[[#This Row],[Units_Sold_2024]]*electric_vehicles_dataset[[#This Row],[Price_USD]]</f>
        <v>356916978</v>
      </c>
      <c r="T1146">
        <v>5</v>
      </c>
      <c r="U1146">
        <v>6039</v>
      </c>
      <c r="V1146">
        <v>4</v>
      </c>
    </row>
    <row r="1147" spans="1:22" x14ac:dyDescent="0.35">
      <c r="A1147">
        <v>1146</v>
      </c>
      <c r="B1147" t="s">
        <v>313</v>
      </c>
      <c r="C1147" t="s">
        <v>314</v>
      </c>
      <c r="D1147">
        <v>2015</v>
      </c>
      <c r="E1147" t="s">
        <v>58</v>
      </c>
      <c r="F1147">
        <v>71.5</v>
      </c>
      <c r="G1147" t="s">
        <v>351</v>
      </c>
      <c r="H1147">
        <f>electric_vehicles_dataset[[#This Row],[Battery_Capacity_kWh]]/electric_vehicles_dataset[[#This Row],[Range_km]]</f>
        <v>0.26383763837638374</v>
      </c>
      <c r="I1147">
        <v>271</v>
      </c>
      <c r="J1147" t="s">
        <v>149</v>
      </c>
      <c r="K1147">
        <v>3</v>
      </c>
      <c r="L1147" s="1">
        <v>36443.89</v>
      </c>
      <c r="M1147" s="1" t="str" cm="1">
        <f t="array" ref="M114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47" t="s">
        <v>35</v>
      </c>
      <c r="O1147" t="s">
        <v>199</v>
      </c>
      <c r="P1147" s="2" t="s">
        <v>394</v>
      </c>
      <c r="Q1147">
        <v>1</v>
      </c>
      <c r="R1147" t="s">
        <v>391</v>
      </c>
      <c r="S1147" s="1">
        <f>electric_vehicles_dataset[[#This Row],[Units_Sold_2024]]*electric_vehicles_dataset[[#This Row],[Price_USD]]</f>
        <v>539661123.12</v>
      </c>
      <c r="T1147">
        <v>3</v>
      </c>
      <c r="U1147">
        <v>14808</v>
      </c>
      <c r="V1147">
        <v>4</v>
      </c>
    </row>
    <row r="1148" spans="1:22" x14ac:dyDescent="0.35">
      <c r="A1148">
        <v>1147</v>
      </c>
      <c r="B1148" t="s">
        <v>173</v>
      </c>
      <c r="C1148" t="s">
        <v>306</v>
      </c>
      <c r="D1148">
        <v>2025</v>
      </c>
      <c r="E1148" t="s">
        <v>130</v>
      </c>
      <c r="F1148">
        <v>60.4</v>
      </c>
      <c r="G1148" t="s">
        <v>351</v>
      </c>
      <c r="H1148">
        <f>electric_vehicles_dataset[[#This Row],[Battery_Capacity_kWh]]/electric_vehicles_dataset[[#This Row],[Range_km]]</f>
        <v>0.35952380952380952</v>
      </c>
      <c r="I1148">
        <v>168</v>
      </c>
      <c r="J1148" t="s">
        <v>38</v>
      </c>
      <c r="K1148">
        <v>8</v>
      </c>
      <c r="L1148" s="1">
        <v>76817.22</v>
      </c>
      <c r="M1148" s="1" t="str" cm="1">
        <f t="array" ref="M114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48" t="s">
        <v>175</v>
      </c>
      <c r="O1148" t="s">
        <v>20</v>
      </c>
      <c r="P1148" s="2" t="s">
        <v>389</v>
      </c>
      <c r="Q1148">
        <v>5</v>
      </c>
      <c r="R1148" t="s">
        <v>392</v>
      </c>
      <c r="S1148" s="1">
        <f>electric_vehicles_dataset[[#This Row],[Units_Sold_2024]]*electric_vehicles_dataset[[#This Row],[Price_USD]]</f>
        <v>1267023226.6800001</v>
      </c>
      <c r="T1148">
        <v>4</v>
      </c>
      <c r="U1148">
        <v>16494</v>
      </c>
      <c r="V1148">
        <v>4</v>
      </c>
    </row>
    <row r="1149" spans="1:22" x14ac:dyDescent="0.35">
      <c r="A1149">
        <v>1148</v>
      </c>
      <c r="B1149" t="s">
        <v>82</v>
      </c>
      <c r="C1149" t="s">
        <v>281</v>
      </c>
      <c r="D1149">
        <v>2015</v>
      </c>
      <c r="E1149" t="s">
        <v>84</v>
      </c>
      <c r="F1149">
        <v>118.9</v>
      </c>
      <c r="G1149" t="s">
        <v>361</v>
      </c>
      <c r="H1149">
        <f>electric_vehicles_dataset[[#This Row],[Battery_Capacity_kWh]]/electric_vehicles_dataset[[#This Row],[Range_km]]</f>
        <v>0.31791443850267381</v>
      </c>
      <c r="I1149">
        <v>374</v>
      </c>
      <c r="J1149" t="s">
        <v>76</v>
      </c>
      <c r="K1149">
        <v>2</v>
      </c>
      <c r="L1149" s="1">
        <v>100657.19</v>
      </c>
      <c r="M1149" s="1" t="str" cm="1">
        <f t="array" ref="M114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49" t="s">
        <v>253</v>
      </c>
      <c r="O1149" t="s">
        <v>226</v>
      </c>
      <c r="P1149" s="2" t="s">
        <v>395</v>
      </c>
      <c r="Q1149">
        <v>4</v>
      </c>
      <c r="R1149" t="s">
        <v>392</v>
      </c>
      <c r="S1149" s="1">
        <f>electric_vehicles_dataset[[#This Row],[Units_Sold_2024]]*electric_vehicles_dataset[[#This Row],[Price_USD]]</f>
        <v>1905843235.46</v>
      </c>
      <c r="T1149">
        <v>3</v>
      </c>
      <c r="U1149">
        <v>18934</v>
      </c>
      <c r="V1149">
        <v>5</v>
      </c>
    </row>
    <row r="1150" spans="1:22" x14ac:dyDescent="0.35">
      <c r="A1150">
        <v>1149</v>
      </c>
      <c r="B1150" t="s">
        <v>243</v>
      </c>
      <c r="C1150" t="s">
        <v>371</v>
      </c>
      <c r="D1150">
        <v>2015</v>
      </c>
      <c r="E1150" t="s">
        <v>53</v>
      </c>
      <c r="F1150">
        <v>124.2</v>
      </c>
      <c r="G1150" t="s">
        <v>352</v>
      </c>
      <c r="H1150">
        <f>electric_vehicles_dataset[[#This Row],[Battery_Capacity_kWh]]/electric_vehicles_dataset[[#This Row],[Range_km]]</f>
        <v>0.37865853658536586</v>
      </c>
      <c r="I1150">
        <v>328</v>
      </c>
      <c r="J1150" t="s">
        <v>18</v>
      </c>
      <c r="K1150">
        <v>12</v>
      </c>
      <c r="L1150" s="1">
        <v>79025.84</v>
      </c>
      <c r="M1150" s="1" t="str" cm="1">
        <f t="array" ref="M11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50" t="s">
        <v>189</v>
      </c>
      <c r="O1150" t="s">
        <v>23</v>
      </c>
      <c r="P1150" s="2" t="s">
        <v>389</v>
      </c>
      <c r="Q1150">
        <v>3</v>
      </c>
      <c r="R1150" t="s">
        <v>397</v>
      </c>
      <c r="S1150" s="1">
        <f>electric_vehicles_dataset[[#This Row],[Units_Sold_2024]]*electric_vehicles_dataset[[#This Row],[Price_USD]]</f>
        <v>138453271.68000001</v>
      </c>
      <c r="T1150">
        <v>3</v>
      </c>
      <c r="U1150">
        <v>1752</v>
      </c>
      <c r="V1150">
        <v>3</v>
      </c>
    </row>
    <row r="1151" spans="1:22" x14ac:dyDescent="0.35">
      <c r="A1151">
        <v>1150</v>
      </c>
      <c r="B1151" t="s">
        <v>207</v>
      </c>
      <c r="C1151" t="s">
        <v>287</v>
      </c>
      <c r="D1151">
        <v>2018</v>
      </c>
      <c r="E1151" t="s">
        <v>17</v>
      </c>
      <c r="F1151">
        <v>118.8</v>
      </c>
      <c r="G1151" t="s">
        <v>361</v>
      </c>
      <c r="H1151">
        <f>electric_vehicles_dataset[[#This Row],[Battery_Capacity_kWh]]/electric_vehicles_dataset[[#This Row],[Range_km]]</f>
        <v>0.34434782608695652</v>
      </c>
      <c r="I1151">
        <v>345</v>
      </c>
      <c r="J1151" t="s">
        <v>38</v>
      </c>
      <c r="K1151">
        <v>3</v>
      </c>
      <c r="L1151" s="1">
        <v>71486.31</v>
      </c>
      <c r="M1151" s="1" t="str" cm="1">
        <f t="array" ref="M115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51" t="s">
        <v>98</v>
      </c>
      <c r="O1151" t="s">
        <v>110</v>
      </c>
      <c r="P1151" s="2" t="s">
        <v>394</v>
      </c>
      <c r="Q1151">
        <v>4</v>
      </c>
      <c r="R1151" t="s">
        <v>392</v>
      </c>
      <c r="S1151" s="1">
        <f>electric_vehicles_dataset[[#This Row],[Units_Sold_2024]]*electric_vehicles_dataset[[#This Row],[Price_USD]]</f>
        <v>395390780.61000001</v>
      </c>
      <c r="T1151">
        <v>5</v>
      </c>
      <c r="U1151">
        <v>5531</v>
      </c>
      <c r="V1151">
        <v>4</v>
      </c>
    </row>
    <row r="1152" spans="1:22" x14ac:dyDescent="0.35">
      <c r="A1152">
        <v>1151</v>
      </c>
      <c r="B1152" t="s">
        <v>180</v>
      </c>
      <c r="C1152" t="s">
        <v>379</v>
      </c>
      <c r="D1152">
        <v>2017</v>
      </c>
      <c r="E1152" t="s">
        <v>133</v>
      </c>
      <c r="F1152">
        <v>36.6</v>
      </c>
      <c r="G1152" t="s">
        <v>357</v>
      </c>
      <c r="H1152">
        <f>electric_vehicles_dataset[[#This Row],[Battery_Capacity_kWh]]/electric_vehicles_dataset[[#This Row],[Range_km]]</f>
        <v>8.2618510158013553E-2</v>
      </c>
      <c r="I1152">
        <v>443</v>
      </c>
      <c r="J1152" t="s">
        <v>353</v>
      </c>
      <c r="K1152">
        <v>6</v>
      </c>
      <c r="L1152" s="1">
        <v>135437.99</v>
      </c>
      <c r="M1152" s="1" t="str" cm="1">
        <f t="array" ref="M115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52" t="s">
        <v>165</v>
      </c>
      <c r="O1152" t="s">
        <v>134</v>
      </c>
      <c r="P1152" s="2" t="s">
        <v>389</v>
      </c>
      <c r="Q1152">
        <v>4</v>
      </c>
      <c r="R1152" t="s">
        <v>392</v>
      </c>
      <c r="S1152" s="1">
        <f>electric_vehicles_dataset[[#This Row],[Units_Sold_2024]]*electric_vehicles_dataset[[#This Row],[Price_USD]]</f>
        <v>1630537961.6099999</v>
      </c>
      <c r="T1152">
        <v>4</v>
      </c>
      <c r="U1152">
        <v>12039</v>
      </c>
      <c r="V1152">
        <v>4</v>
      </c>
    </row>
    <row r="1153" spans="1:22" x14ac:dyDescent="0.35">
      <c r="A1153">
        <v>1152</v>
      </c>
      <c r="B1153" t="s">
        <v>224</v>
      </c>
      <c r="C1153" t="s">
        <v>303</v>
      </c>
      <c r="D1153">
        <v>2020</v>
      </c>
      <c r="E1153" t="s">
        <v>17</v>
      </c>
      <c r="F1153">
        <v>38.9</v>
      </c>
      <c r="G1153" t="s">
        <v>357</v>
      </c>
      <c r="H1153">
        <f>electric_vehicles_dataset[[#This Row],[Battery_Capacity_kWh]]/electric_vehicles_dataset[[#This Row],[Range_km]]</f>
        <v>0.19450000000000001</v>
      </c>
      <c r="I1153">
        <v>200</v>
      </c>
      <c r="J1153" t="s">
        <v>364</v>
      </c>
      <c r="K1153">
        <v>2</v>
      </c>
      <c r="L1153" s="1">
        <v>143335.72</v>
      </c>
      <c r="M1153" s="1" t="str" cm="1">
        <f t="array" ref="M11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53" t="s">
        <v>240</v>
      </c>
      <c r="O1153" t="s">
        <v>236</v>
      </c>
      <c r="P1153" s="2" t="s">
        <v>394</v>
      </c>
      <c r="Q1153">
        <v>4</v>
      </c>
      <c r="R1153" t="s">
        <v>392</v>
      </c>
      <c r="S1153" s="1">
        <f>electric_vehicles_dataset[[#This Row],[Units_Sold_2024]]*electric_vehicles_dataset[[#This Row],[Price_USD]]</f>
        <v>398473301.60000002</v>
      </c>
      <c r="T1153">
        <v>4</v>
      </c>
      <c r="U1153">
        <v>2780</v>
      </c>
      <c r="V1153">
        <v>4</v>
      </c>
    </row>
    <row r="1154" spans="1:22" x14ac:dyDescent="0.35">
      <c r="A1154">
        <v>1153</v>
      </c>
      <c r="B1154" t="s">
        <v>96</v>
      </c>
      <c r="C1154" t="s">
        <v>116</v>
      </c>
      <c r="D1154">
        <v>2018</v>
      </c>
      <c r="E1154" t="s">
        <v>31</v>
      </c>
      <c r="F1154">
        <v>106.4</v>
      </c>
      <c r="G1154" t="s">
        <v>361</v>
      </c>
      <c r="H1154">
        <f>electric_vehicles_dataset[[#This Row],[Battery_Capacity_kWh]]/electric_vehicles_dataset[[#This Row],[Range_km]]</f>
        <v>0.24744186046511629</v>
      </c>
      <c r="I1154">
        <v>430</v>
      </c>
      <c r="J1154" t="s">
        <v>85</v>
      </c>
      <c r="K1154">
        <v>6</v>
      </c>
      <c r="L1154" s="1">
        <v>33684.61</v>
      </c>
      <c r="M1154" s="1" t="str" cm="1">
        <f t="array" ref="M11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54" t="s">
        <v>142</v>
      </c>
      <c r="O1154" t="s">
        <v>354</v>
      </c>
      <c r="P1154" s="2" t="s">
        <v>394</v>
      </c>
      <c r="Q1154">
        <v>5</v>
      </c>
      <c r="R1154" t="s">
        <v>392</v>
      </c>
      <c r="S1154" s="1">
        <f>electric_vehicles_dataset[[#This Row],[Units_Sold_2024]]*electric_vehicles_dataset[[#This Row],[Price_USD]]</f>
        <v>523997793.16000003</v>
      </c>
      <c r="T1154">
        <v>4</v>
      </c>
      <c r="U1154">
        <v>15556</v>
      </c>
      <c r="V1154">
        <v>4</v>
      </c>
    </row>
    <row r="1155" spans="1:22" x14ac:dyDescent="0.35">
      <c r="A1155">
        <v>1154</v>
      </c>
      <c r="B1155" t="s">
        <v>215</v>
      </c>
      <c r="C1155" t="s">
        <v>216</v>
      </c>
      <c r="D1155">
        <v>2025</v>
      </c>
      <c r="E1155" t="s">
        <v>47</v>
      </c>
      <c r="F1155">
        <v>27.9</v>
      </c>
      <c r="G1155" t="s">
        <v>357</v>
      </c>
      <c r="H1155">
        <f>electric_vehicles_dataset[[#This Row],[Battery_Capacity_kWh]]/electric_vehicles_dataset[[#This Row],[Range_km]]</f>
        <v>5.2345215759849906E-2</v>
      </c>
      <c r="I1155">
        <v>533</v>
      </c>
      <c r="J1155" t="s">
        <v>364</v>
      </c>
      <c r="K1155">
        <v>8</v>
      </c>
      <c r="L1155" s="1">
        <v>76442.98</v>
      </c>
      <c r="M1155" s="1" t="str" cm="1">
        <f t="array" ref="M115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55" t="s">
        <v>100</v>
      </c>
      <c r="O1155" t="s">
        <v>95</v>
      </c>
      <c r="P1155" s="2" t="s">
        <v>394</v>
      </c>
      <c r="Q1155">
        <v>5</v>
      </c>
      <c r="R1155" t="s">
        <v>392</v>
      </c>
      <c r="S1155" s="1">
        <f>electric_vehicles_dataset[[#This Row],[Units_Sold_2024]]*electric_vehicles_dataset[[#This Row],[Price_USD]]</f>
        <v>1525113893.98</v>
      </c>
      <c r="T1155">
        <v>4</v>
      </c>
      <c r="U1155">
        <v>19951</v>
      </c>
      <c r="V1155">
        <v>3</v>
      </c>
    </row>
    <row r="1156" spans="1:22" x14ac:dyDescent="0.35">
      <c r="A1156">
        <v>1155</v>
      </c>
      <c r="B1156" t="s">
        <v>56</v>
      </c>
      <c r="C1156" t="s">
        <v>57</v>
      </c>
      <c r="D1156">
        <v>2019</v>
      </c>
      <c r="E1156" t="s">
        <v>90</v>
      </c>
      <c r="F1156">
        <v>136.19999999999999</v>
      </c>
      <c r="G1156" t="s">
        <v>352</v>
      </c>
      <c r="H1156">
        <f>electric_vehicles_dataset[[#This Row],[Battery_Capacity_kWh]]/electric_vehicles_dataset[[#This Row],[Range_km]]</f>
        <v>0.50631970260223047</v>
      </c>
      <c r="I1156">
        <v>269</v>
      </c>
      <c r="J1156" t="s">
        <v>353</v>
      </c>
      <c r="K1156">
        <v>11</v>
      </c>
      <c r="L1156" s="1">
        <v>31417.84</v>
      </c>
      <c r="M1156" s="1" t="str" cm="1">
        <f t="array" ref="M115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56" t="s">
        <v>77</v>
      </c>
      <c r="O1156" t="s">
        <v>93</v>
      </c>
      <c r="P1156" s="2" t="s">
        <v>389</v>
      </c>
      <c r="Q1156">
        <v>5</v>
      </c>
      <c r="R1156" t="s">
        <v>392</v>
      </c>
      <c r="S1156" s="1">
        <f>electric_vehicles_dataset[[#This Row],[Units_Sold_2024]]*electric_vehicles_dataset[[#This Row],[Price_USD]]</f>
        <v>295044935.44</v>
      </c>
      <c r="T1156">
        <v>5</v>
      </c>
      <c r="U1156">
        <v>9391</v>
      </c>
      <c r="V1156">
        <v>5</v>
      </c>
    </row>
    <row r="1157" spans="1:22" x14ac:dyDescent="0.35">
      <c r="A1157">
        <v>1156</v>
      </c>
      <c r="B1157" t="s">
        <v>29</v>
      </c>
      <c r="C1157" t="s">
        <v>323</v>
      </c>
      <c r="D1157">
        <v>2020</v>
      </c>
      <c r="E1157" t="s">
        <v>101</v>
      </c>
      <c r="F1157">
        <v>56.3</v>
      </c>
      <c r="G1157" t="s">
        <v>348</v>
      </c>
      <c r="H1157">
        <f>electric_vehicles_dataset[[#This Row],[Battery_Capacity_kWh]]/electric_vehicles_dataset[[#This Row],[Range_km]]</f>
        <v>0.24478260869565216</v>
      </c>
      <c r="I1157">
        <v>230</v>
      </c>
      <c r="J1157" t="s">
        <v>149</v>
      </c>
      <c r="K1157">
        <v>4</v>
      </c>
      <c r="L1157" s="1">
        <v>81299.7</v>
      </c>
      <c r="M1157" s="1" t="str" cm="1">
        <f t="array" ref="M115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57" t="s">
        <v>257</v>
      </c>
      <c r="O1157" t="s">
        <v>107</v>
      </c>
      <c r="P1157" s="2" t="s">
        <v>394</v>
      </c>
      <c r="Q1157">
        <v>4</v>
      </c>
      <c r="R1157" t="s">
        <v>392</v>
      </c>
      <c r="S1157" s="1">
        <f>electric_vehicles_dataset[[#This Row],[Units_Sold_2024]]*electric_vehicles_dataset[[#This Row],[Price_USD]]</f>
        <v>1605750374.7</v>
      </c>
      <c r="T1157">
        <v>4</v>
      </c>
      <c r="U1157">
        <v>19751</v>
      </c>
      <c r="V1157">
        <v>5</v>
      </c>
    </row>
    <row r="1158" spans="1:22" x14ac:dyDescent="0.35">
      <c r="A1158">
        <v>1157</v>
      </c>
      <c r="B1158" t="s">
        <v>192</v>
      </c>
      <c r="C1158" t="s">
        <v>198</v>
      </c>
      <c r="D1158">
        <v>2023</v>
      </c>
      <c r="E1158" t="s">
        <v>58</v>
      </c>
      <c r="F1158">
        <v>22</v>
      </c>
      <c r="G1158" t="s">
        <v>357</v>
      </c>
      <c r="H1158">
        <f>electric_vehicles_dataset[[#This Row],[Battery_Capacity_kWh]]/electric_vehicles_dataset[[#This Row],[Range_km]]</f>
        <v>4.878048780487805E-2</v>
      </c>
      <c r="I1158">
        <v>451</v>
      </c>
      <c r="J1158" t="s">
        <v>38</v>
      </c>
      <c r="K1158">
        <v>3</v>
      </c>
      <c r="L1158" s="1">
        <v>101490.77</v>
      </c>
      <c r="M1158" s="1" t="str" cm="1">
        <f t="array" ref="M115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58" t="s">
        <v>240</v>
      </c>
      <c r="O1158" t="s">
        <v>107</v>
      </c>
      <c r="P1158" s="2" t="s">
        <v>394</v>
      </c>
      <c r="Q1158">
        <v>4</v>
      </c>
      <c r="R1158" t="s">
        <v>392</v>
      </c>
      <c r="S1158" s="1">
        <f>electric_vehicles_dataset[[#This Row],[Units_Sold_2024]]*electric_vehicles_dataset[[#This Row],[Price_USD]]</f>
        <v>1283655258.96</v>
      </c>
      <c r="T1158">
        <v>5</v>
      </c>
      <c r="U1158">
        <v>12648</v>
      </c>
      <c r="V1158">
        <v>5</v>
      </c>
    </row>
    <row r="1159" spans="1:22" x14ac:dyDescent="0.35">
      <c r="A1159">
        <v>1158</v>
      </c>
      <c r="B1159" t="s">
        <v>261</v>
      </c>
      <c r="C1159" t="s">
        <v>370</v>
      </c>
      <c r="D1159">
        <v>2021</v>
      </c>
      <c r="E1159" t="s">
        <v>90</v>
      </c>
      <c r="F1159">
        <v>88.6</v>
      </c>
      <c r="G1159" t="s">
        <v>350</v>
      </c>
      <c r="H1159">
        <f>electric_vehicles_dataset[[#This Row],[Battery_Capacity_kWh]]/electric_vehicles_dataset[[#This Row],[Range_km]]</f>
        <v>0.17826961770623742</v>
      </c>
      <c r="I1159">
        <v>497</v>
      </c>
      <c r="J1159" t="s">
        <v>18</v>
      </c>
      <c r="K1159">
        <v>11</v>
      </c>
      <c r="L1159" s="1">
        <v>121720.1</v>
      </c>
      <c r="M1159" s="1" t="str" cm="1">
        <f t="array" ref="M115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59" t="s">
        <v>160</v>
      </c>
      <c r="O1159" t="s">
        <v>67</v>
      </c>
      <c r="P1159" s="2" t="s">
        <v>394</v>
      </c>
      <c r="Q1159">
        <v>2</v>
      </c>
      <c r="R1159" t="s">
        <v>391</v>
      </c>
      <c r="S1159" s="1">
        <f>electric_vehicles_dataset[[#This Row],[Units_Sold_2024]]*electric_vehicles_dataset[[#This Row],[Price_USD]]</f>
        <v>417378222.90000004</v>
      </c>
      <c r="T1159">
        <v>4</v>
      </c>
      <c r="U1159">
        <v>3429</v>
      </c>
      <c r="V1159">
        <v>4</v>
      </c>
    </row>
    <row r="1160" spans="1:22" x14ac:dyDescent="0.35">
      <c r="A1160">
        <v>1159</v>
      </c>
      <c r="B1160" t="s">
        <v>96</v>
      </c>
      <c r="C1160" t="s">
        <v>97</v>
      </c>
      <c r="D1160">
        <v>2017</v>
      </c>
      <c r="E1160" t="s">
        <v>133</v>
      </c>
      <c r="F1160">
        <v>69</v>
      </c>
      <c r="G1160" t="s">
        <v>351</v>
      </c>
      <c r="H1160">
        <f>electric_vehicles_dataset[[#This Row],[Battery_Capacity_kWh]]/electric_vehicles_dataset[[#This Row],[Range_km]]</f>
        <v>0.5847457627118644</v>
      </c>
      <c r="I1160">
        <v>118</v>
      </c>
      <c r="J1160" t="s">
        <v>364</v>
      </c>
      <c r="K1160">
        <v>10</v>
      </c>
      <c r="L1160" s="1">
        <v>148379.48000000001</v>
      </c>
      <c r="M1160" s="1" t="str" cm="1">
        <f t="array" ref="M116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60" t="s">
        <v>19</v>
      </c>
      <c r="O1160" t="s">
        <v>110</v>
      </c>
      <c r="P1160" s="2" t="s">
        <v>394</v>
      </c>
      <c r="Q1160">
        <v>1</v>
      </c>
      <c r="R1160" t="s">
        <v>391</v>
      </c>
      <c r="S1160" s="1">
        <f>electric_vehicles_dataset[[#This Row],[Units_Sold_2024]]*electric_vehicles_dataset[[#This Row],[Price_USD]]</f>
        <v>1100678982.6400001</v>
      </c>
      <c r="T1160">
        <v>5</v>
      </c>
      <c r="U1160">
        <v>7418</v>
      </c>
      <c r="V1160">
        <v>5</v>
      </c>
    </row>
    <row r="1161" spans="1:22" x14ac:dyDescent="0.35">
      <c r="A1161">
        <v>1160</v>
      </c>
      <c r="B1161" t="s">
        <v>96</v>
      </c>
      <c r="C1161" t="s">
        <v>292</v>
      </c>
      <c r="D1161">
        <v>2023</v>
      </c>
      <c r="E1161" t="s">
        <v>31</v>
      </c>
      <c r="F1161">
        <v>51</v>
      </c>
      <c r="G1161" t="s">
        <v>348</v>
      </c>
      <c r="H1161">
        <f>electric_vehicles_dataset[[#This Row],[Battery_Capacity_kWh]]/electric_vehicles_dataset[[#This Row],[Range_km]]</f>
        <v>0.100990099009901</v>
      </c>
      <c r="I1161">
        <v>505</v>
      </c>
      <c r="J1161" t="s">
        <v>48</v>
      </c>
      <c r="K1161">
        <v>2</v>
      </c>
      <c r="L1161" s="1">
        <v>43527.55</v>
      </c>
      <c r="M1161" s="1" t="str" cm="1">
        <f t="array" ref="M116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61" t="s">
        <v>39</v>
      </c>
      <c r="O1161" t="s">
        <v>354</v>
      </c>
      <c r="P1161" s="2" t="s">
        <v>394</v>
      </c>
      <c r="Q1161">
        <v>3</v>
      </c>
      <c r="R1161" t="s">
        <v>397</v>
      </c>
      <c r="S1161" s="1">
        <f>electric_vehicles_dataset[[#This Row],[Units_Sold_2024]]*electric_vehicles_dataset[[#This Row],[Price_USD]]</f>
        <v>299643654.20000005</v>
      </c>
      <c r="T1161">
        <v>5</v>
      </c>
      <c r="U1161">
        <v>6884</v>
      </c>
      <c r="V1161">
        <v>3</v>
      </c>
    </row>
    <row r="1162" spans="1:22" x14ac:dyDescent="0.35">
      <c r="A1162">
        <v>1161</v>
      </c>
      <c r="B1162" t="s">
        <v>207</v>
      </c>
      <c r="C1162" t="s">
        <v>208</v>
      </c>
      <c r="D1162">
        <v>2015</v>
      </c>
      <c r="E1162" t="s">
        <v>17</v>
      </c>
      <c r="F1162">
        <v>95.1</v>
      </c>
      <c r="G1162" t="s">
        <v>350</v>
      </c>
      <c r="H1162">
        <f>electric_vehicles_dataset[[#This Row],[Battery_Capacity_kWh]]/electric_vehicles_dataset[[#This Row],[Range_km]]</f>
        <v>0.16596858638743456</v>
      </c>
      <c r="I1162">
        <v>573</v>
      </c>
      <c r="J1162" t="s">
        <v>359</v>
      </c>
      <c r="K1162">
        <v>2</v>
      </c>
      <c r="L1162" s="1">
        <v>44535.19</v>
      </c>
      <c r="M1162" s="1" t="str" cm="1">
        <f t="array" ref="M116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62" t="s">
        <v>257</v>
      </c>
      <c r="O1162" t="s">
        <v>147</v>
      </c>
      <c r="P1162" s="2" t="s">
        <v>396</v>
      </c>
      <c r="Q1162">
        <v>3</v>
      </c>
      <c r="R1162" t="s">
        <v>397</v>
      </c>
      <c r="S1162" s="1">
        <f>electric_vehicles_dataset[[#This Row],[Units_Sold_2024]]*electric_vehicles_dataset[[#This Row],[Price_USD]]</f>
        <v>91965167.350000009</v>
      </c>
      <c r="T1162">
        <v>3</v>
      </c>
      <c r="U1162">
        <v>2065</v>
      </c>
      <c r="V1162">
        <v>5</v>
      </c>
    </row>
    <row r="1163" spans="1:22" x14ac:dyDescent="0.35">
      <c r="A1163">
        <v>1162</v>
      </c>
      <c r="B1163" t="s">
        <v>207</v>
      </c>
      <c r="C1163" t="s">
        <v>287</v>
      </c>
      <c r="D1163">
        <v>2022</v>
      </c>
      <c r="E1163" t="s">
        <v>42</v>
      </c>
      <c r="F1163">
        <v>69.3</v>
      </c>
      <c r="G1163" t="s">
        <v>351</v>
      </c>
      <c r="H1163">
        <f>electric_vehicles_dataset[[#This Row],[Battery_Capacity_kWh]]/electric_vehicles_dataset[[#This Row],[Range_km]]</f>
        <v>0.56341463414634141</v>
      </c>
      <c r="I1163">
        <v>123</v>
      </c>
      <c r="J1163" t="s">
        <v>76</v>
      </c>
      <c r="K1163">
        <v>6</v>
      </c>
      <c r="L1163" s="1">
        <v>105765.49</v>
      </c>
      <c r="M1163" s="1" t="str" cm="1">
        <f t="array" ref="M116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63" t="s">
        <v>117</v>
      </c>
      <c r="O1163" t="s">
        <v>354</v>
      </c>
      <c r="P1163" s="2" t="s">
        <v>394</v>
      </c>
      <c r="Q1163">
        <v>5</v>
      </c>
      <c r="R1163" t="s">
        <v>392</v>
      </c>
      <c r="S1163" s="1">
        <f>electric_vehicles_dataset[[#This Row],[Units_Sold_2024]]*electric_vehicles_dataset[[#This Row],[Price_USD]]</f>
        <v>1898279014.52</v>
      </c>
      <c r="T1163">
        <v>3</v>
      </c>
      <c r="U1163">
        <v>17948</v>
      </c>
      <c r="V1163">
        <v>3</v>
      </c>
    </row>
    <row r="1164" spans="1:22" x14ac:dyDescent="0.35">
      <c r="A1164">
        <v>1163</v>
      </c>
      <c r="B1164" t="s">
        <v>241</v>
      </c>
      <c r="C1164" t="s">
        <v>242</v>
      </c>
      <c r="D1164">
        <v>2018</v>
      </c>
      <c r="E1164" t="s">
        <v>104</v>
      </c>
      <c r="F1164">
        <v>69.900000000000006</v>
      </c>
      <c r="G1164" t="s">
        <v>351</v>
      </c>
      <c r="H1164">
        <f>electric_vehicles_dataset[[#This Row],[Battery_Capacity_kWh]]/electric_vehicles_dataset[[#This Row],[Range_km]]</f>
        <v>0.47551020408163269</v>
      </c>
      <c r="I1164">
        <v>147</v>
      </c>
      <c r="J1164" t="s">
        <v>54</v>
      </c>
      <c r="K1164">
        <v>1</v>
      </c>
      <c r="L1164" s="1">
        <v>116940.71</v>
      </c>
      <c r="M1164" s="1" t="str" cm="1">
        <f t="array" ref="M11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64" t="s">
        <v>114</v>
      </c>
      <c r="O1164" t="s">
        <v>265</v>
      </c>
      <c r="P1164" s="2" t="s">
        <v>389</v>
      </c>
      <c r="Q1164">
        <v>5</v>
      </c>
      <c r="R1164" t="s">
        <v>392</v>
      </c>
      <c r="S1164" s="1">
        <f>electric_vehicles_dataset[[#This Row],[Units_Sold_2024]]*electric_vehicles_dataset[[#This Row],[Price_USD]]</f>
        <v>1955482552.6200001</v>
      </c>
      <c r="T1164">
        <v>5</v>
      </c>
      <c r="U1164">
        <v>16722</v>
      </c>
      <c r="V1164">
        <v>3</v>
      </c>
    </row>
    <row r="1165" spans="1:22" x14ac:dyDescent="0.35">
      <c r="A1165">
        <v>1164</v>
      </c>
      <c r="B1165" t="s">
        <v>170</v>
      </c>
      <c r="C1165" t="s">
        <v>275</v>
      </c>
      <c r="D1165">
        <v>2019</v>
      </c>
      <c r="E1165" t="s">
        <v>42</v>
      </c>
      <c r="F1165">
        <v>121.8</v>
      </c>
      <c r="G1165" t="s">
        <v>352</v>
      </c>
      <c r="H1165">
        <f>electric_vehicles_dataset[[#This Row],[Battery_Capacity_kWh]]/electric_vehicles_dataset[[#This Row],[Range_km]]</f>
        <v>0.2475609756097561</v>
      </c>
      <c r="I1165">
        <v>492</v>
      </c>
      <c r="J1165" t="s">
        <v>18</v>
      </c>
      <c r="K1165">
        <v>3</v>
      </c>
      <c r="L1165" s="1">
        <v>67119.600000000006</v>
      </c>
      <c r="M1165" s="1" t="str" cm="1">
        <f t="array" ref="M116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65" t="s">
        <v>98</v>
      </c>
      <c r="O1165" t="s">
        <v>89</v>
      </c>
      <c r="P1165" s="2" t="s">
        <v>389</v>
      </c>
      <c r="Q1165">
        <v>0</v>
      </c>
      <c r="R1165" t="s">
        <v>390</v>
      </c>
      <c r="S1165" s="1">
        <f>electric_vehicles_dataset[[#This Row],[Units_Sold_2024]]*electric_vehicles_dataset[[#This Row],[Price_USD]]</f>
        <v>1005183129.6000001</v>
      </c>
      <c r="T1165">
        <v>3</v>
      </c>
      <c r="U1165">
        <v>14976</v>
      </c>
      <c r="V1165">
        <v>4</v>
      </c>
    </row>
    <row r="1166" spans="1:22" x14ac:dyDescent="0.35">
      <c r="A1166">
        <v>1165</v>
      </c>
      <c r="B1166" t="s">
        <v>120</v>
      </c>
      <c r="C1166" t="s">
        <v>252</v>
      </c>
      <c r="D1166">
        <v>2020</v>
      </c>
      <c r="E1166" t="s">
        <v>26</v>
      </c>
      <c r="F1166">
        <v>126</v>
      </c>
      <c r="G1166" t="s">
        <v>352</v>
      </c>
      <c r="H1166">
        <f>electric_vehicles_dataset[[#This Row],[Battery_Capacity_kWh]]/electric_vehicles_dataset[[#This Row],[Range_km]]</f>
        <v>0.21612349914236706</v>
      </c>
      <c r="I1166">
        <v>583</v>
      </c>
      <c r="J1166" t="s">
        <v>38</v>
      </c>
      <c r="K1166">
        <v>12</v>
      </c>
      <c r="L1166" s="1">
        <v>100599.16</v>
      </c>
      <c r="M1166" s="1" t="str" cm="1">
        <f t="array" ref="M116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66" t="s">
        <v>172</v>
      </c>
      <c r="O1166" t="s">
        <v>92</v>
      </c>
      <c r="P1166" s="2" t="s">
        <v>394</v>
      </c>
      <c r="Q1166">
        <v>5</v>
      </c>
      <c r="R1166" t="s">
        <v>392</v>
      </c>
      <c r="S1166" s="1">
        <f>electric_vehicles_dataset[[#This Row],[Units_Sold_2024]]*electric_vehicles_dataset[[#This Row],[Price_USD]]</f>
        <v>1285355467.3199999</v>
      </c>
      <c r="T1166">
        <v>5</v>
      </c>
      <c r="U1166">
        <v>12777</v>
      </c>
      <c r="V1166">
        <v>4</v>
      </c>
    </row>
    <row r="1167" spans="1:22" x14ac:dyDescent="0.35">
      <c r="A1167">
        <v>1166</v>
      </c>
      <c r="B1167" t="s">
        <v>122</v>
      </c>
      <c r="C1167" t="s">
        <v>186</v>
      </c>
      <c r="D1167">
        <v>2016</v>
      </c>
      <c r="E1167" t="s">
        <v>84</v>
      </c>
      <c r="F1167">
        <v>137.6</v>
      </c>
      <c r="G1167" t="s">
        <v>352</v>
      </c>
      <c r="H1167">
        <f>electric_vehicles_dataset[[#This Row],[Battery_Capacity_kWh]]/electric_vehicles_dataset[[#This Row],[Range_km]]</f>
        <v>0.45714285714285713</v>
      </c>
      <c r="I1167">
        <v>301</v>
      </c>
      <c r="J1167" t="s">
        <v>149</v>
      </c>
      <c r="K1167">
        <v>4</v>
      </c>
      <c r="L1167" s="1">
        <v>40385.01</v>
      </c>
      <c r="M1167" s="1" t="str" cm="1">
        <f t="array" ref="M116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67" t="s">
        <v>143</v>
      </c>
      <c r="O1167" t="s">
        <v>159</v>
      </c>
      <c r="P1167" s="2" t="s">
        <v>389</v>
      </c>
      <c r="Q1167">
        <v>0</v>
      </c>
      <c r="R1167" t="s">
        <v>390</v>
      </c>
      <c r="S1167" s="1">
        <f>electric_vehicles_dataset[[#This Row],[Units_Sold_2024]]*electric_vehicles_dataset[[#This Row],[Price_USD]]</f>
        <v>527751310.68000001</v>
      </c>
      <c r="T1167">
        <v>3</v>
      </c>
      <c r="U1167">
        <v>13068</v>
      </c>
      <c r="V1167">
        <v>5</v>
      </c>
    </row>
    <row r="1168" spans="1:22" x14ac:dyDescent="0.35">
      <c r="A1168">
        <v>1167</v>
      </c>
      <c r="B1168" t="s">
        <v>241</v>
      </c>
      <c r="C1168" t="s">
        <v>247</v>
      </c>
      <c r="D1168">
        <v>2019</v>
      </c>
      <c r="E1168" t="s">
        <v>183</v>
      </c>
      <c r="F1168">
        <v>100.4</v>
      </c>
      <c r="G1168" t="s">
        <v>361</v>
      </c>
      <c r="H1168">
        <f>electric_vehicles_dataset[[#This Row],[Battery_Capacity_kWh]]/electric_vehicles_dataset[[#This Row],[Range_km]]</f>
        <v>0.82975206611570251</v>
      </c>
      <c r="I1168">
        <v>121</v>
      </c>
      <c r="J1168" t="s">
        <v>76</v>
      </c>
      <c r="K1168">
        <v>5</v>
      </c>
      <c r="L1168" s="1">
        <v>97403.74</v>
      </c>
      <c r="M1168" s="1" t="str" cm="1">
        <f t="array" ref="M116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68" t="s">
        <v>55</v>
      </c>
      <c r="O1168" t="s">
        <v>199</v>
      </c>
      <c r="P1168" s="2" t="s">
        <v>394</v>
      </c>
      <c r="Q1168">
        <v>1</v>
      </c>
      <c r="R1168" t="s">
        <v>391</v>
      </c>
      <c r="S1168" s="1">
        <f>electric_vehicles_dataset[[#This Row],[Units_Sold_2024]]*electric_vehicles_dataset[[#This Row],[Price_USD]]</f>
        <v>1811125141.5600002</v>
      </c>
      <c r="T1168">
        <v>5</v>
      </c>
      <c r="U1168">
        <v>18594</v>
      </c>
      <c r="V1168">
        <v>5</v>
      </c>
    </row>
    <row r="1169" spans="1:22" x14ac:dyDescent="0.35">
      <c r="A1169">
        <v>1168</v>
      </c>
      <c r="B1169" t="s">
        <v>155</v>
      </c>
      <c r="C1169" t="s">
        <v>190</v>
      </c>
      <c r="D1169">
        <v>2017</v>
      </c>
      <c r="E1169" t="s">
        <v>42</v>
      </c>
      <c r="F1169">
        <v>98.9</v>
      </c>
      <c r="G1169" t="s">
        <v>350</v>
      </c>
      <c r="H1169">
        <f>electric_vehicles_dataset[[#This Row],[Battery_Capacity_kWh]]/electric_vehicles_dataset[[#This Row],[Range_km]]</f>
        <v>0.19740518962075848</v>
      </c>
      <c r="I1169">
        <v>501</v>
      </c>
      <c r="J1169" t="s">
        <v>76</v>
      </c>
      <c r="K1169">
        <v>7</v>
      </c>
      <c r="L1169" s="1">
        <v>94792.27</v>
      </c>
      <c r="M1169" s="1" t="str" cm="1">
        <f t="array" ref="M11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69" t="s">
        <v>114</v>
      </c>
      <c r="O1169" t="s">
        <v>354</v>
      </c>
      <c r="P1169" s="2" t="s">
        <v>394</v>
      </c>
      <c r="Q1169">
        <v>5</v>
      </c>
      <c r="R1169" t="s">
        <v>392</v>
      </c>
      <c r="S1169" s="1">
        <f>electric_vehicles_dataset[[#This Row],[Units_Sold_2024]]*electric_vehicles_dataset[[#This Row],[Price_USD]]</f>
        <v>1507386677.54</v>
      </c>
      <c r="T1169">
        <v>5</v>
      </c>
      <c r="U1169">
        <v>15902</v>
      </c>
      <c r="V1169">
        <v>5</v>
      </c>
    </row>
    <row r="1170" spans="1:22" x14ac:dyDescent="0.35">
      <c r="A1170">
        <v>1169</v>
      </c>
      <c r="B1170" t="s">
        <v>29</v>
      </c>
      <c r="C1170" t="s">
        <v>331</v>
      </c>
      <c r="D1170">
        <v>2015</v>
      </c>
      <c r="E1170" t="s">
        <v>104</v>
      </c>
      <c r="F1170">
        <v>124.4</v>
      </c>
      <c r="G1170" t="s">
        <v>352</v>
      </c>
      <c r="H1170">
        <f>electric_vehicles_dataset[[#This Row],[Battery_Capacity_kWh]]/electric_vehicles_dataset[[#This Row],[Range_km]]</f>
        <v>0.38996865203761755</v>
      </c>
      <c r="I1170">
        <v>319</v>
      </c>
      <c r="J1170" t="s">
        <v>85</v>
      </c>
      <c r="K1170">
        <v>5</v>
      </c>
      <c r="L1170" s="1">
        <v>131267.15</v>
      </c>
      <c r="M1170" s="1" t="str" cm="1">
        <f t="array" ref="M117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70" t="s">
        <v>59</v>
      </c>
      <c r="O1170" t="s">
        <v>40</v>
      </c>
      <c r="P1170" s="2" t="s">
        <v>395</v>
      </c>
      <c r="Q1170">
        <v>0</v>
      </c>
      <c r="R1170" t="s">
        <v>390</v>
      </c>
      <c r="S1170" s="1">
        <f>electric_vehicles_dataset[[#This Row],[Units_Sold_2024]]*electric_vehicles_dataset[[#This Row],[Price_USD]]</f>
        <v>374111377.5</v>
      </c>
      <c r="T1170">
        <v>3</v>
      </c>
      <c r="U1170">
        <v>2850</v>
      </c>
      <c r="V1170">
        <v>3</v>
      </c>
    </row>
    <row r="1171" spans="1:22" x14ac:dyDescent="0.35">
      <c r="A1171">
        <v>1170</v>
      </c>
      <c r="B1171" t="s">
        <v>222</v>
      </c>
      <c r="C1171" t="s">
        <v>232</v>
      </c>
      <c r="D1171">
        <v>2022</v>
      </c>
      <c r="E1171" t="s">
        <v>26</v>
      </c>
      <c r="F1171">
        <v>145.19999999999999</v>
      </c>
      <c r="G1171" t="s">
        <v>386</v>
      </c>
      <c r="H1171">
        <f>electric_vehicles_dataset[[#This Row],[Battery_Capacity_kWh]]/electric_vehicles_dataset[[#This Row],[Range_km]]</f>
        <v>0.3956403269754768</v>
      </c>
      <c r="I1171">
        <v>367</v>
      </c>
      <c r="J1171" t="s">
        <v>85</v>
      </c>
      <c r="K1171">
        <v>5</v>
      </c>
      <c r="L1171" s="1">
        <v>66327.08</v>
      </c>
      <c r="M1171" s="1" t="str" cm="1">
        <f t="array" ref="M117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71" t="s">
        <v>143</v>
      </c>
      <c r="O1171" t="s">
        <v>354</v>
      </c>
      <c r="P1171" s="2" t="s">
        <v>394</v>
      </c>
      <c r="Q1171">
        <v>4</v>
      </c>
      <c r="R1171" t="s">
        <v>392</v>
      </c>
      <c r="S1171" s="1">
        <f>electric_vehicles_dataset[[#This Row],[Units_Sold_2024]]*electric_vehicles_dataset[[#This Row],[Price_USD]]</f>
        <v>1001870543.4</v>
      </c>
      <c r="T1171">
        <v>3</v>
      </c>
      <c r="U1171">
        <v>15105</v>
      </c>
      <c r="V1171">
        <v>4</v>
      </c>
    </row>
    <row r="1172" spans="1:22" x14ac:dyDescent="0.35">
      <c r="A1172">
        <v>1171</v>
      </c>
      <c r="B1172" t="s">
        <v>313</v>
      </c>
      <c r="C1172" t="s">
        <v>314</v>
      </c>
      <c r="D1172">
        <v>2016</v>
      </c>
      <c r="E1172" t="s">
        <v>130</v>
      </c>
      <c r="F1172">
        <v>83.3</v>
      </c>
      <c r="G1172" t="s">
        <v>350</v>
      </c>
      <c r="H1172">
        <f>electric_vehicles_dataset[[#This Row],[Battery_Capacity_kWh]]/electric_vehicles_dataset[[#This Row],[Range_km]]</f>
        <v>0.33588709677419354</v>
      </c>
      <c r="I1172">
        <v>248</v>
      </c>
      <c r="J1172" t="s">
        <v>364</v>
      </c>
      <c r="K1172">
        <v>8</v>
      </c>
      <c r="L1172" s="1">
        <v>46556.37</v>
      </c>
      <c r="M1172" s="1" t="str" cm="1">
        <f t="array" ref="M11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72" t="s">
        <v>179</v>
      </c>
      <c r="O1172" t="s">
        <v>110</v>
      </c>
      <c r="P1172" s="2" t="s">
        <v>394</v>
      </c>
      <c r="Q1172">
        <v>0</v>
      </c>
      <c r="R1172" t="s">
        <v>390</v>
      </c>
      <c r="S1172" s="1">
        <f>electric_vehicles_dataset[[#This Row],[Units_Sold_2024]]*electric_vehicles_dataset[[#This Row],[Price_USD]]</f>
        <v>841227049.53000009</v>
      </c>
      <c r="T1172">
        <v>5</v>
      </c>
      <c r="U1172">
        <v>18069</v>
      </c>
      <c r="V1172">
        <v>3</v>
      </c>
    </row>
    <row r="1173" spans="1:22" x14ac:dyDescent="0.35">
      <c r="A1173">
        <v>1172</v>
      </c>
      <c r="B1173" t="s">
        <v>122</v>
      </c>
      <c r="C1173" t="s">
        <v>186</v>
      </c>
      <c r="D1173">
        <v>2024</v>
      </c>
      <c r="E1173" t="s">
        <v>17</v>
      </c>
      <c r="F1173">
        <v>97</v>
      </c>
      <c r="G1173" t="s">
        <v>350</v>
      </c>
      <c r="H1173">
        <f>electric_vehicles_dataset[[#This Row],[Battery_Capacity_kWh]]/electric_vehicles_dataset[[#This Row],[Range_km]]</f>
        <v>0.16695352839931152</v>
      </c>
      <c r="I1173">
        <v>581</v>
      </c>
      <c r="J1173" t="s">
        <v>18</v>
      </c>
      <c r="K1173">
        <v>6</v>
      </c>
      <c r="L1173" s="1">
        <v>51243.14</v>
      </c>
      <c r="M1173" s="1" t="str" cm="1">
        <f t="array" ref="M117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73" t="s">
        <v>240</v>
      </c>
      <c r="O1173" t="s">
        <v>139</v>
      </c>
      <c r="P1173" s="2" t="s">
        <v>389</v>
      </c>
      <c r="Q1173">
        <v>2</v>
      </c>
      <c r="R1173" t="s">
        <v>391</v>
      </c>
      <c r="S1173" s="1">
        <f>electric_vehicles_dataset[[#This Row],[Units_Sold_2024]]*electric_vehicles_dataset[[#This Row],[Price_USD]]</f>
        <v>89624251.859999999</v>
      </c>
      <c r="T1173">
        <v>4</v>
      </c>
      <c r="U1173">
        <v>1749</v>
      </c>
      <c r="V1173">
        <v>5</v>
      </c>
    </row>
    <row r="1174" spans="1:22" x14ac:dyDescent="0.35">
      <c r="A1174">
        <v>1173</v>
      </c>
      <c r="B1174" t="s">
        <v>180</v>
      </c>
      <c r="C1174" t="s">
        <v>379</v>
      </c>
      <c r="D1174">
        <v>2020</v>
      </c>
      <c r="E1174" t="s">
        <v>133</v>
      </c>
      <c r="F1174">
        <v>139.1</v>
      </c>
      <c r="G1174" t="s">
        <v>352</v>
      </c>
      <c r="H1174">
        <f>electric_vehicles_dataset[[#This Row],[Battery_Capacity_kWh]]/electric_vehicles_dataset[[#This Row],[Range_km]]</f>
        <v>0.90915032679738561</v>
      </c>
      <c r="I1174">
        <v>153</v>
      </c>
      <c r="J1174" t="s">
        <v>149</v>
      </c>
      <c r="K1174">
        <v>8</v>
      </c>
      <c r="L1174" s="1">
        <v>74741.81</v>
      </c>
      <c r="M1174" s="1" t="str" cm="1">
        <f t="array" ref="M117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74" t="s">
        <v>142</v>
      </c>
      <c r="O1174" t="s">
        <v>95</v>
      </c>
      <c r="P1174" s="2" t="s">
        <v>394</v>
      </c>
      <c r="Q1174">
        <v>4</v>
      </c>
      <c r="R1174" t="s">
        <v>392</v>
      </c>
      <c r="S1174" s="1">
        <f>electric_vehicles_dataset[[#This Row],[Units_Sold_2024]]*electric_vehicles_dataset[[#This Row],[Price_USD]]</f>
        <v>309356351.58999997</v>
      </c>
      <c r="T1174">
        <v>3</v>
      </c>
      <c r="U1174">
        <v>4139</v>
      </c>
      <c r="V1174">
        <v>4</v>
      </c>
    </row>
    <row r="1175" spans="1:22" x14ac:dyDescent="0.35">
      <c r="A1175">
        <v>1174</v>
      </c>
      <c r="B1175" t="s">
        <v>262</v>
      </c>
      <c r="C1175" t="s">
        <v>263</v>
      </c>
      <c r="D1175">
        <v>2024</v>
      </c>
      <c r="E1175" t="s">
        <v>84</v>
      </c>
      <c r="F1175">
        <v>142</v>
      </c>
      <c r="G1175" t="s">
        <v>386</v>
      </c>
      <c r="H1175">
        <f>electric_vehicles_dataset[[#This Row],[Battery_Capacity_kWh]]/electric_vehicles_dataset[[#This Row],[Range_km]]</f>
        <v>1.1359999999999999</v>
      </c>
      <c r="I1175">
        <v>125</v>
      </c>
      <c r="J1175" t="s">
        <v>364</v>
      </c>
      <c r="K1175">
        <v>8</v>
      </c>
      <c r="L1175" s="1">
        <v>56346.879999999997</v>
      </c>
      <c r="M1175" s="1" t="str" cm="1">
        <f t="array" ref="M117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75" t="s">
        <v>66</v>
      </c>
      <c r="O1175" t="s">
        <v>50</v>
      </c>
      <c r="P1175" s="2" t="s">
        <v>396</v>
      </c>
      <c r="Q1175">
        <v>0</v>
      </c>
      <c r="R1175" t="s">
        <v>390</v>
      </c>
      <c r="S1175" s="1">
        <f>electric_vehicles_dataset[[#This Row],[Units_Sold_2024]]*electric_vehicles_dataset[[#This Row],[Price_USD]]</f>
        <v>514108933.12</v>
      </c>
      <c r="T1175">
        <v>3</v>
      </c>
      <c r="U1175">
        <v>9124</v>
      </c>
      <c r="V1175">
        <v>4</v>
      </c>
    </row>
    <row r="1176" spans="1:22" x14ac:dyDescent="0.35">
      <c r="A1176">
        <v>1175</v>
      </c>
      <c r="B1176" t="s">
        <v>120</v>
      </c>
      <c r="C1176" t="s">
        <v>288</v>
      </c>
      <c r="D1176">
        <v>2023</v>
      </c>
      <c r="E1176" t="s">
        <v>90</v>
      </c>
      <c r="F1176">
        <v>62.7</v>
      </c>
      <c r="G1176" t="s">
        <v>351</v>
      </c>
      <c r="H1176">
        <f>electric_vehicles_dataset[[#This Row],[Battery_Capacity_kWh]]/electric_vehicles_dataset[[#This Row],[Range_km]]</f>
        <v>0.13368869936034117</v>
      </c>
      <c r="I1176">
        <v>469</v>
      </c>
      <c r="J1176" t="s">
        <v>105</v>
      </c>
      <c r="K1176">
        <v>1</v>
      </c>
      <c r="L1176" s="1">
        <v>40675.129999999997</v>
      </c>
      <c r="M1176" s="1" t="str" cm="1">
        <f t="array" ref="M117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76" t="s">
        <v>212</v>
      </c>
      <c r="O1176" t="s">
        <v>121</v>
      </c>
      <c r="P1176" s="2" t="s">
        <v>398</v>
      </c>
      <c r="Q1176">
        <v>5</v>
      </c>
      <c r="R1176" t="s">
        <v>392</v>
      </c>
      <c r="S1176" s="1">
        <f>electric_vehicles_dataset[[#This Row],[Units_Sold_2024]]*electric_vehicles_dataset[[#This Row],[Price_USD]]</f>
        <v>181573780.31999999</v>
      </c>
      <c r="T1176">
        <v>3</v>
      </c>
      <c r="U1176">
        <v>4464</v>
      </c>
      <c r="V1176">
        <v>4</v>
      </c>
    </row>
    <row r="1177" spans="1:22" x14ac:dyDescent="0.35">
      <c r="A1177">
        <v>1176</v>
      </c>
      <c r="B1177" t="s">
        <v>29</v>
      </c>
      <c r="C1177" t="s">
        <v>323</v>
      </c>
      <c r="D1177">
        <v>2023</v>
      </c>
      <c r="E1177" t="s">
        <v>53</v>
      </c>
      <c r="F1177">
        <v>141.1</v>
      </c>
      <c r="G1177" t="s">
        <v>386</v>
      </c>
      <c r="H1177">
        <f>electric_vehicles_dataset[[#This Row],[Battery_Capacity_kWh]]/electric_vehicles_dataset[[#This Row],[Range_km]]</f>
        <v>0.28505050505050505</v>
      </c>
      <c r="I1177">
        <v>495</v>
      </c>
      <c r="J1177" t="s">
        <v>149</v>
      </c>
      <c r="K1177">
        <v>1</v>
      </c>
      <c r="L1177" s="1">
        <v>37909.33</v>
      </c>
      <c r="M1177" s="1" t="str" cm="1">
        <f t="array" ref="M117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77" t="s">
        <v>81</v>
      </c>
      <c r="O1177" t="s">
        <v>202</v>
      </c>
      <c r="P1177" s="2" t="s">
        <v>393</v>
      </c>
      <c r="Q1177">
        <v>5</v>
      </c>
      <c r="R1177" t="s">
        <v>392</v>
      </c>
      <c r="S1177" s="1">
        <f>electric_vehicles_dataset[[#This Row],[Units_Sold_2024]]*electric_vehicles_dataset[[#This Row],[Price_USD]]</f>
        <v>144282909.98000002</v>
      </c>
      <c r="T1177">
        <v>3</v>
      </c>
      <c r="U1177">
        <v>3806</v>
      </c>
      <c r="V1177">
        <v>5</v>
      </c>
    </row>
    <row r="1178" spans="1:22" x14ac:dyDescent="0.35">
      <c r="A1178">
        <v>1177</v>
      </c>
      <c r="B1178" t="s">
        <v>187</v>
      </c>
      <c r="C1178" t="s">
        <v>188</v>
      </c>
      <c r="D1178">
        <v>2024</v>
      </c>
      <c r="E1178" t="s">
        <v>101</v>
      </c>
      <c r="F1178">
        <v>129.69999999999999</v>
      </c>
      <c r="G1178" t="s">
        <v>352</v>
      </c>
      <c r="H1178">
        <f>electric_vehicles_dataset[[#This Row],[Battery_Capacity_kWh]]/electric_vehicles_dataset[[#This Row],[Range_km]]</f>
        <v>0.2345388788426763</v>
      </c>
      <c r="I1178">
        <v>553</v>
      </c>
      <c r="J1178" t="s">
        <v>48</v>
      </c>
      <c r="K1178">
        <v>12</v>
      </c>
      <c r="L1178" s="1">
        <v>108832.47</v>
      </c>
      <c r="M1178" s="1" t="str" cm="1">
        <f t="array" ref="M117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78" t="s">
        <v>146</v>
      </c>
      <c r="O1178" t="s">
        <v>86</v>
      </c>
      <c r="P1178" s="2" t="s">
        <v>389</v>
      </c>
      <c r="Q1178">
        <v>5</v>
      </c>
      <c r="R1178" t="s">
        <v>392</v>
      </c>
      <c r="S1178" s="1">
        <f>electric_vehicles_dataset[[#This Row],[Units_Sold_2024]]*electric_vehicles_dataset[[#This Row],[Price_USD]]</f>
        <v>1571214369.3900001</v>
      </c>
      <c r="T1178">
        <v>3</v>
      </c>
      <c r="U1178">
        <v>14437</v>
      </c>
      <c r="V1178">
        <v>3</v>
      </c>
    </row>
    <row r="1179" spans="1:22" x14ac:dyDescent="0.35">
      <c r="A1179">
        <v>1178</v>
      </c>
      <c r="B1179" t="s">
        <v>241</v>
      </c>
      <c r="C1179" t="s">
        <v>247</v>
      </c>
      <c r="D1179">
        <v>2017</v>
      </c>
      <c r="E1179" t="s">
        <v>31</v>
      </c>
      <c r="F1179">
        <v>25.7</v>
      </c>
      <c r="G1179" t="s">
        <v>357</v>
      </c>
      <c r="H1179">
        <f>electric_vehicles_dataset[[#This Row],[Battery_Capacity_kWh]]/electric_vehicles_dataset[[#This Row],[Range_km]]</f>
        <v>7.648809523809523E-2</v>
      </c>
      <c r="I1179">
        <v>336</v>
      </c>
      <c r="J1179" t="s">
        <v>364</v>
      </c>
      <c r="K1179">
        <v>10</v>
      </c>
      <c r="L1179" s="1">
        <v>101237.81</v>
      </c>
      <c r="M1179" s="1" t="str" cm="1">
        <f t="array" ref="M117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79" t="s">
        <v>106</v>
      </c>
      <c r="O1179" t="s">
        <v>115</v>
      </c>
      <c r="P1179" s="2" t="s">
        <v>396</v>
      </c>
      <c r="Q1179">
        <v>5</v>
      </c>
      <c r="R1179" t="s">
        <v>392</v>
      </c>
      <c r="S1179" s="1">
        <f>electric_vehicles_dataset[[#This Row],[Units_Sold_2024]]*electric_vehicles_dataset[[#This Row],[Price_USD]]</f>
        <v>287312904.77999997</v>
      </c>
      <c r="T1179">
        <v>5</v>
      </c>
      <c r="U1179">
        <v>2838</v>
      </c>
      <c r="V1179">
        <v>5</v>
      </c>
    </row>
    <row r="1180" spans="1:22" x14ac:dyDescent="0.35">
      <c r="A1180">
        <v>1179</v>
      </c>
      <c r="B1180" t="s">
        <v>261</v>
      </c>
      <c r="C1180" t="s">
        <v>278</v>
      </c>
      <c r="D1180">
        <v>2023</v>
      </c>
      <c r="E1180" t="s">
        <v>17</v>
      </c>
      <c r="F1180">
        <v>62.5</v>
      </c>
      <c r="G1180" t="s">
        <v>351</v>
      </c>
      <c r="H1180">
        <f>electric_vehicles_dataset[[#This Row],[Battery_Capacity_kWh]]/electric_vehicles_dataset[[#This Row],[Range_km]]</f>
        <v>0.25</v>
      </c>
      <c r="I1180">
        <v>250</v>
      </c>
      <c r="J1180" t="s">
        <v>353</v>
      </c>
      <c r="K1180">
        <v>10</v>
      </c>
      <c r="L1180" s="1">
        <v>46901.91</v>
      </c>
      <c r="M1180" s="1" t="str" cm="1">
        <f t="array" ref="M11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80" t="s">
        <v>59</v>
      </c>
      <c r="O1180" t="s">
        <v>121</v>
      </c>
      <c r="P1180" s="2" t="s">
        <v>398</v>
      </c>
      <c r="Q1180">
        <v>4</v>
      </c>
      <c r="R1180" t="s">
        <v>392</v>
      </c>
      <c r="S1180" s="1">
        <f>electric_vehicles_dataset[[#This Row],[Units_Sold_2024]]*electric_vehicles_dataset[[#This Row],[Price_USD]]</f>
        <v>529616367.72000003</v>
      </c>
      <c r="T1180">
        <v>4</v>
      </c>
      <c r="U1180">
        <v>11292</v>
      </c>
      <c r="V1180">
        <v>3</v>
      </c>
    </row>
    <row r="1181" spans="1:22" x14ac:dyDescent="0.35">
      <c r="A1181">
        <v>1180</v>
      </c>
      <c r="B1181" t="s">
        <v>157</v>
      </c>
      <c r="C1181" t="s">
        <v>158</v>
      </c>
      <c r="D1181">
        <v>2019</v>
      </c>
      <c r="E1181" t="s">
        <v>130</v>
      </c>
      <c r="F1181">
        <v>119.6</v>
      </c>
      <c r="G1181" t="s">
        <v>361</v>
      </c>
      <c r="H1181">
        <f>electric_vehicles_dataset[[#This Row],[Battery_Capacity_kWh]]/electric_vehicles_dataset[[#This Row],[Range_km]]</f>
        <v>0.38456591639871379</v>
      </c>
      <c r="I1181">
        <v>311</v>
      </c>
      <c r="J1181" t="s">
        <v>364</v>
      </c>
      <c r="K1181">
        <v>12</v>
      </c>
      <c r="L1181" s="1">
        <v>125163.78</v>
      </c>
      <c r="M1181" s="1" t="str" cm="1">
        <f t="array" ref="M118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81" t="s">
        <v>246</v>
      </c>
      <c r="O1181" t="s">
        <v>44</v>
      </c>
      <c r="P1181" s="2" t="s">
        <v>389</v>
      </c>
      <c r="Q1181">
        <v>1</v>
      </c>
      <c r="R1181" t="s">
        <v>391</v>
      </c>
      <c r="S1181" s="1">
        <f>electric_vehicles_dataset[[#This Row],[Units_Sold_2024]]*electric_vehicles_dataset[[#This Row],[Price_USD]]</f>
        <v>874394167.08000004</v>
      </c>
      <c r="T1181">
        <v>3</v>
      </c>
      <c r="U1181">
        <v>6986</v>
      </c>
      <c r="V1181">
        <v>5</v>
      </c>
    </row>
    <row r="1182" spans="1:22" x14ac:dyDescent="0.35">
      <c r="A1182">
        <v>1181</v>
      </c>
      <c r="B1182" t="s">
        <v>193</v>
      </c>
      <c r="C1182" t="s">
        <v>194</v>
      </c>
      <c r="D1182">
        <v>2015</v>
      </c>
      <c r="E1182" t="s">
        <v>133</v>
      </c>
      <c r="F1182">
        <v>63.2</v>
      </c>
      <c r="G1182" t="s">
        <v>351</v>
      </c>
      <c r="H1182">
        <f>electric_vehicles_dataset[[#This Row],[Battery_Capacity_kWh]]/electric_vehicles_dataset[[#This Row],[Range_km]]</f>
        <v>0.35505617977528092</v>
      </c>
      <c r="I1182">
        <v>178</v>
      </c>
      <c r="J1182" t="s">
        <v>149</v>
      </c>
      <c r="K1182">
        <v>9</v>
      </c>
      <c r="L1182" s="1">
        <v>109678.54</v>
      </c>
      <c r="M1182" s="1" t="str" cm="1">
        <f t="array" ref="M118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82" t="s">
        <v>253</v>
      </c>
      <c r="O1182" t="s">
        <v>159</v>
      </c>
      <c r="P1182" s="2" t="s">
        <v>389</v>
      </c>
      <c r="Q1182">
        <v>0</v>
      </c>
      <c r="R1182" t="s">
        <v>390</v>
      </c>
      <c r="S1182" s="1">
        <f>electric_vehicles_dataset[[#This Row],[Units_Sold_2024]]*electric_vehicles_dataset[[#This Row],[Price_USD]]</f>
        <v>1293548700.76</v>
      </c>
      <c r="T1182">
        <v>5</v>
      </c>
      <c r="U1182">
        <v>11794</v>
      </c>
      <c r="V1182">
        <v>4</v>
      </c>
    </row>
    <row r="1183" spans="1:22" x14ac:dyDescent="0.35">
      <c r="A1183">
        <v>1182</v>
      </c>
      <c r="B1183" t="s">
        <v>180</v>
      </c>
      <c r="C1183" t="s">
        <v>379</v>
      </c>
      <c r="D1183">
        <v>2018</v>
      </c>
      <c r="E1183" t="s">
        <v>104</v>
      </c>
      <c r="F1183">
        <v>133.30000000000001</v>
      </c>
      <c r="G1183" t="s">
        <v>352</v>
      </c>
      <c r="H1183">
        <f>electric_vehicles_dataset[[#This Row],[Battery_Capacity_kWh]]/electric_vehicles_dataset[[#This Row],[Range_km]]</f>
        <v>0.75310734463276841</v>
      </c>
      <c r="I1183">
        <v>177</v>
      </c>
      <c r="J1183" t="s">
        <v>358</v>
      </c>
      <c r="K1183">
        <v>7</v>
      </c>
      <c r="L1183" s="1">
        <v>78675.789999999994</v>
      </c>
      <c r="M1183" s="1" t="str" cm="1">
        <f t="array" ref="M118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83" t="s">
        <v>49</v>
      </c>
      <c r="O1183" t="s">
        <v>107</v>
      </c>
      <c r="P1183" s="2" t="s">
        <v>394</v>
      </c>
      <c r="Q1183">
        <v>5</v>
      </c>
      <c r="R1183" t="s">
        <v>392</v>
      </c>
      <c r="S1183" s="1">
        <f>electric_vehicles_dataset[[#This Row],[Units_Sold_2024]]*electric_vehicles_dataset[[#This Row],[Price_USD]]</f>
        <v>564656144.82999992</v>
      </c>
      <c r="T1183">
        <v>5</v>
      </c>
      <c r="U1183">
        <v>7177</v>
      </c>
      <c r="V1183">
        <v>5</v>
      </c>
    </row>
    <row r="1184" spans="1:22" x14ac:dyDescent="0.35">
      <c r="A1184">
        <v>1183</v>
      </c>
      <c r="B1184" t="s">
        <v>180</v>
      </c>
      <c r="C1184" t="s">
        <v>181</v>
      </c>
      <c r="D1184">
        <v>2023</v>
      </c>
      <c r="E1184" t="s">
        <v>47</v>
      </c>
      <c r="F1184">
        <v>45.4</v>
      </c>
      <c r="G1184" t="s">
        <v>348</v>
      </c>
      <c r="H1184">
        <f>electric_vehicles_dataset[[#This Row],[Battery_Capacity_kWh]]/electric_vehicles_dataset[[#This Row],[Range_km]]</f>
        <v>0.17803921568627451</v>
      </c>
      <c r="I1184">
        <v>255</v>
      </c>
      <c r="J1184" t="s">
        <v>85</v>
      </c>
      <c r="K1184">
        <v>4</v>
      </c>
      <c r="L1184" s="1">
        <v>57342.18</v>
      </c>
      <c r="M1184" s="1" t="str" cm="1">
        <f t="array" ref="M118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84" t="s">
        <v>271</v>
      </c>
      <c r="O1184" t="s">
        <v>111</v>
      </c>
      <c r="P1184" s="2" t="s">
        <v>389</v>
      </c>
      <c r="Q1184">
        <v>1</v>
      </c>
      <c r="R1184" t="s">
        <v>391</v>
      </c>
      <c r="S1184" s="1">
        <f>electric_vehicles_dataset[[#This Row],[Units_Sold_2024]]*electric_vehicles_dataset[[#This Row],[Price_USD]]</f>
        <v>837081143.63999999</v>
      </c>
      <c r="T1184">
        <v>3</v>
      </c>
      <c r="U1184">
        <v>14598</v>
      </c>
      <c r="V1184">
        <v>4</v>
      </c>
    </row>
    <row r="1185" spans="1:22" x14ac:dyDescent="0.35">
      <c r="A1185">
        <v>1184</v>
      </c>
      <c r="B1185" t="s">
        <v>122</v>
      </c>
      <c r="C1185" t="s">
        <v>250</v>
      </c>
      <c r="D1185">
        <v>2015</v>
      </c>
      <c r="E1185" t="s">
        <v>42</v>
      </c>
      <c r="F1185">
        <v>66.8</v>
      </c>
      <c r="G1185" t="s">
        <v>351</v>
      </c>
      <c r="H1185">
        <f>electric_vehicles_dataset[[#This Row],[Battery_Capacity_kWh]]/electric_vehicles_dataset[[#This Row],[Range_km]]</f>
        <v>0.16019184652278176</v>
      </c>
      <c r="I1185">
        <v>417</v>
      </c>
      <c r="J1185" t="s">
        <v>38</v>
      </c>
      <c r="K1185">
        <v>5</v>
      </c>
      <c r="L1185" s="1">
        <v>73706.649999999994</v>
      </c>
      <c r="M1185" s="1" t="str" cm="1">
        <f t="array" ref="M118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85" t="s">
        <v>253</v>
      </c>
      <c r="O1185" t="s">
        <v>23</v>
      </c>
      <c r="P1185" s="2" t="s">
        <v>389</v>
      </c>
      <c r="Q1185">
        <v>1</v>
      </c>
      <c r="R1185" t="s">
        <v>391</v>
      </c>
      <c r="S1185" s="1">
        <f>electric_vehicles_dataset[[#This Row],[Units_Sold_2024]]*electric_vehicles_dataset[[#This Row],[Price_USD]]</f>
        <v>82109208.099999994</v>
      </c>
      <c r="T1185">
        <v>4</v>
      </c>
      <c r="U1185">
        <v>1114</v>
      </c>
      <c r="V1185">
        <v>5</v>
      </c>
    </row>
    <row r="1186" spans="1:22" x14ac:dyDescent="0.35">
      <c r="A1186">
        <v>1185</v>
      </c>
      <c r="B1186" t="s">
        <v>313</v>
      </c>
      <c r="C1186" t="s">
        <v>314</v>
      </c>
      <c r="D1186">
        <v>2016</v>
      </c>
      <c r="E1186" t="s">
        <v>84</v>
      </c>
      <c r="F1186">
        <v>84.1</v>
      </c>
      <c r="G1186" t="s">
        <v>350</v>
      </c>
      <c r="H1186">
        <f>electric_vehicles_dataset[[#This Row],[Battery_Capacity_kWh]]/electric_vehicles_dataset[[#This Row],[Range_km]]</f>
        <v>0.18362445414847162</v>
      </c>
      <c r="I1186">
        <v>458</v>
      </c>
      <c r="J1186" t="s">
        <v>54</v>
      </c>
      <c r="K1186">
        <v>9</v>
      </c>
      <c r="L1186" s="1">
        <v>109929.89</v>
      </c>
      <c r="M1186" s="1" t="str" cm="1">
        <f t="array" ref="M118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86" t="s">
        <v>160</v>
      </c>
      <c r="O1186" t="s">
        <v>93</v>
      </c>
      <c r="P1186" s="2" t="s">
        <v>389</v>
      </c>
      <c r="Q1186">
        <v>0</v>
      </c>
      <c r="R1186" t="s">
        <v>390</v>
      </c>
      <c r="S1186" s="1">
        <f>electric_vehicles_dataset[[#This Row],[Units_Sold_2024]]*electric_vehicles_dataset[[#This Row],[Price_USD]]</f>
        <v>1828134070.7</v>
      </c>
      <c r="T1186">
        <v>4</v>
      </c>
      <c r="U1186">
        <v>16630</v>
      </c>
      <c r="V1186">
        <v>4</v>
      </c>
    </row>
    <row r="1187" spans="1:22" x14ac:dyDescent="0.35">
      <c r="A1187">
        <v>1186</v>
      </c>
      <c r="B1187" t="s">
        <v>184</v>
      </c>
      <c r="C1187" t="s">
        <v>185</v>
      </c>
      <c r="D1187">
        <v>2017</v>
      </c>
      <c r="E1187" t="s">
        <v>104</v>
      </c>
      <c r="F1187">
        <v>124.7</v>
      </c>
      <c r="G1187" t="s">
        <v>352</v>
      </c>
      <c r="H1187">
        <f>electric_vehicles_dataset[[#This Row],[Battery_Capacity_kWh]]/electric_vehicles_dataset[[#This Row],[Range_km]]</f>
        <v>0.27108695652173914</v>
      </c>
      <c r="I1187">
        <v>460</v>
      </c>
      <c r="J1187" t="s">
        <v>345</v>
      </c>
      <c r="K1187">
        <v>8</v>
      </c>
      <c r="L1187" s="1">
        <v>36478.01</v>
      </c>
      <c r="M1187" s="1" t="str" cm="1">
        <f t="array" ref="M118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87" t="s">
        <v>35</v>
      </c>
      <c r="O1187" t="s">
        <v>86</v>
      </c>
      <c r="P1187" s="2" t="s">
        <v>389</v>
      </c>
      <c r="Q1187">
        <v>0</v>
      </c>
      <c r="R1187" t="s">
        <v>390</v>
      </c>
      <c r="S1187" s="1">
        <f>electric_vehicles_dataset[[#This Row],[Units_Sold_2024]]*electric_vehicles_dataset[[#This Row],[Price_USD]]</f>
        <v>376671931.26000005</v>
      </c>
      <c r="T1187">
        <v>3</v>
      </c>
      <c r="U1187">
        <v>10326</v>
      </c>
      <c r="V1187">
        <v>4</v>
      </c>
    </row>
    <row r="1188" spans="1:22" x14ac:dyDescent="0.35">
      <c r="A1188">
        <v>1187</v>
      </c>
      <c r="B1188" t="s">
        <v>136</v>
      </c>
      <c r="C1188" t="s">
        <v>137</v>
      </c>
      <c r="D1188">
        <v>2025</v>
      </c>
      <c r="E1188" t="s">
        <v>101</v>
      </c>
      <c r="F1188">
        <v>149.80000000000001</v>
      </c>
      <c r="G1188" t="s">
        <v>386</v>
      </c>
      <c r="H1188">
        <f>electric_vehicles_dataset[[#This Row],[Battery_Capacity_kWh]]/electric_vehicles_dataset[[#This Row],[Range_km]]</f>
        <v>0.26894075403949735</v>
      </c>
      <c r="I1188">
        <v>557</v>
      </c>
      <c r="J1188" t="s">
        <v>364</v>
      </c>
      <c r="K1188">
        <v>8</v>
      </c>
      <c r="L1188" s="1">
        <v>51868.91</v>
      </c>
      <c r="M1188" s="1" t="str" cm="1">
        <f t="array" ref="M11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88" t="s">
        <v>146</v>
      </c>
      <c r="O1188" t="s">
        <v>182</v>
      </c>
      <c r="P1188" s="2" t="s">
        <v>394</v>
      </c>
      <c r="Q1188">
        <v>0</v>
      </c>
      <c r="R1188" t="s">
        <v>390</v>
      </c>
      <c r="S1188" s="1">
        <f>electric_vehicles_dataset[[#This Row],[Units_Sold_2024]]*electric_vehicles_dataset[[#This Row],[Price_USD]]</f>
        <v>86257997.330000013</v>
      </c>
      <c r="T1188">
        <v>5</v>
      </c>
      <c r="U1188">
        <v>1663</v>
      </c>
      <c r="V1188">
        <v>3</v>
      </c>
    </row>
    <row r="1189" spans="1:22" x14ac:dyDescent="0.35">
      <c r="A1189">
        <v>1188</v>
      </c>
      <c r="B1189" t="s">
        <v>56</v>
      </c>
      <c r="C1189" t="s">
        <v>57</v>
      </c>
      <c r="D1189">
        <v>2020</v>
      </c>
      <c r="E1189" t="s">
        <v>31</v>
      </c>
      <c r="F1189">
        <v>132.19999999999999</v>
      </c>
      <c r="G1189" t="s">
        <v>352</v>
      </c>
      <c r="H1189">
        <f>electric_vehicles_dataset[[#This Row],[Battery_Capacity_kWh]]/electric_vehicles_dataset[[#This Row],[Range_km]]</f>
        <v>0.22951388888888888</v>
      </c>
      <c r="I1189">
        <v>576</v>
      </c>
      <c r="J1189" t="s">
        <v>85</v>
      </c>
      <c r="K1189">
        <v>11</v>
      </c>
      <c r="L1189" s="1">
        <v>71642.94</v>
      </c>
      <c r="M1189" s="1" t="str" cm="1">
        <f t="array" ref="M11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89" t="s">
        <v>271</v>
      </c>
      <c r="O1189" t="s">
        <v>167</v>
      </c>
      <c r="P1189" s="2" t="s">
        <v>394</v>
      </c>
      <c r="Q1189">
        <v>5</v>
      </c>
      <c r="R1189" t="s">
        <v>392</v>
      </c>
      <c r="S1189" s="1">
        <f>electric_vehicles_dataset[[#This Row],[Units_Sold_2024]]*electric_vehicles_dataset[[#This Row],[Price_USD]]</f>
        <v>663198695.58000004</v>
      </c>
      <c r="T1189">
        <v>4</v>
      </c>
      <c r="U1189">
        <v>9257</v>
      </c>
      <c r="V1189">
        <v>3</v>
      </c>
    </row>
    <row r="1190" spans="1:22" x14ac:dyDescent="0.35">
      <c r="A1190">
        <v>1189</v>
      </c>
      <c r="B1190" t="s">
        <v>262</v>
      </c>
      <c r="C1190" t="s">
        <v>263</v>
      </c>
      <c r="D1190">
        <v>2022</v>
      </c>
      <c r="E1190" t="s">
        <v>17</v>
      </c>
      <c r="F1190">
        <v>44.9</v>
      </c>
      <c r="G1190" t="s">
        <v>348</v>
      </c>
      <c r="H1190">
        <f>electric_vehicles_dataset[[#This Row],[Battery_Capacity_kWh]]/electric_vehicles_dataset[[#This Row],[Range_km]]</f>
        <v>0.27048192771084334</v>
      </c>
      <c r="I1190">
        <v>166</v>
      </c>
      <c r="J1190" t="s">
        <v>345</v>
      </c>
      <c r="K1190">
        <v>7</v>
      </c>
      <c r="L1190" s="1">
        <v>35942.1</v>
      </c>
      <c r="M1190" s="1" t="str" cm="1">
        <f t="array" ref="M119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90" t="s">
        <v>91</v>
      </c>
      <c r="O1190" t="s">
        <v>167</v>
      </c>
      <c r="P1190" s="2" t="s">
        <v>394</v>
      </c>
      <c r="Q1190">
        <v>5</v>
      </c>
      <c r="R1190" t="s">
        <v>392</v>
      </c>
      <c r="S1190" s="1">
        <f>electric_vehicles_dataset[[#This Row],[Units_Sold_2024]]*electric_vehicles_dataset[[#This Row],[Price_USD]]</f>
        <v>56680691.699999996</v>
      </c>
      <c r="T1190">
        <v>3</v>
      </c>
      <c r="U1190">
        <v>1577</v>
      </c>
      <c r="V1190">
        <v>3</v>
      </c>
    </row>
    <row r="1191" spans="1:22" x14ac:dyDescent="0.35">
      <c r="A1191">
        <v>1190</v>
      </c>
      <c r="B1191" t="s">
        <v>36</v>
      </c>
      <c r="C1191" t="s">
        <v>37</v>
      </c>
      <c r="D1191">
        <v>2025</v>
      </c>
      <c r="E1191" t="s">
        <v>90</v>
      </c>
      <c r="F1191">
        <v>48.1</v>
      </c>
      <c r="G1191" t="s">
        <v>348</v>
      </c>
      <c r="H1191">
        <f>electric_vehicles_dataset[[#This Row],[Battery_Capacity_kWh]]/electric_vehicles_dataset[[#This Row],[Range_km]]</f>
        <v>0.18862745098039216</v>
      </c>
      <c r="I1191">
        <v>255</v>
      </c>
      <c r="J1191" t="s">
        <v>76</v>
      </c>
      <c r="K1191">
        <v>3</v>
      </c>
      <c r="L1191" s="1">
        <v>137671.49</v>
      </c>
      <c r="M1191" s="1" t="str" cm="1">
        <f t="array" ref="M119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91" t="s">
        <v>43</v>
      </c>
      <c r="O1191" t="s">
        <v>115</v>
      </c>
      <c r="P1191" s="2" t="s">
        <v>396</v>
      </c>
      <c r="Q1191">
        <v>1</v>
      </c>
      <c r="R1191" t="s">
        <v>391</v>
      </c>
      <c r="S1191" s="1">
        <f>electric_vehicles_dataset[[#This Row],[Units_Sold_2024]]*electric_vehicles_dataset[[#This Row],[Price_USD]]</f>
        <v>205681206.05999997</v>
      </c>
      <c r="T1191">
        <v>4</v>
      </c>
      <c r="U1191">
        <v>1494</v>
      </c>
      <c r="V1191">
        <v>5</v>
      </c>
    </row>
    <row r="1192" spans="1:22" x14ac:dyDescent="0.35">
      <c r="A1192">
        <v>1191</v>
      </c>
      <c r="B1192" t="s">
        <v>155</v>
      </c>
      <c r="C1192" t="s">
        <v>190</v>
      </c>
      <c r="D1192">
        <v>2016</v>
      </c>
      <c r="E1192" t="s">
        <v>58</v>
      </c>
      <c r="F1192">
        <v>90.6</v>
      </c>
      <c r="G1192" t="s">
        <v>350</v>
      </c>
      <c r="H1192">
        <f>electric_vehicles_dataset[[#This Row],[Battery_Capacity_kWh]]/electric_vehicles_dataset[[#This Row],[Range_km]]</f>
        <v>0.21571428571428569</v>
      </c>
      <c r="I1192">
        <v>420</v>
      </c>
      <c r="J1192" t="s">
        <v>48</v>
      </c>
      <c r="K1192">
        <v>12</v>
      </c>
      <c r="L1192" s="1">
        <v>148858.28</v>
      </c>
      <c r="M1192" s="1" t="str" cm="1">
        <f t="array" ref="M11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92" t="s">
        <v>219</v>
      </c>
      <c r="O1192" t="s">
        <v>118</v>
      </c>
      <c r="P1192" s="2" t="s">
        <v>389</v>
      </c>
      <c r="Q1192">
        <v>1</v>
      </c>
      <c r="R1192" t="s">
        <v>391</v>
      </c>
      <c r="S1192" s="1">
        <f>electric_vehicles_dataset[[#This Row],[Units_Sold_2024]]*electric_vehicles_dataset[[#This Row],[Price_USD]]</f>
        <v>1823216213.4400001</v>
      </c>
      <c r="T1192">
        <v>3</v>
      </c>
      <c r="U1192">
        <v>12248</v>
      </c>
      <c r="V1192">
        <v>5</v>
      </c>
    </row>
    <row r="1193" spans="1:22" x14ac:dyDescent="0.35">
      <c r="A1193">
        <v>1192</v>
      </c>
      <c r="B1193" t="s">
        <v>261</v>
      </c>
      <c r="C1193" t="s">
        <v>278</v>
      </c>
      <c r="D1193">
        <v>2017</v>
      </c>
      <c r="E1193" t="s">
        <v>84</v>
      </c>
      <c r="F1193">
        <v>67</v>
      </c>
      <c r="G1193" t="s">
        <v>351</v>
      </c>
      <c r="H1193">
        <f>electric_vehicles_dataset[[#This Row],[Battery_Capacity_kWh]]/electric_vehicles_dataset[[#This Row],[Range_km]]</f>
        <v>0.49264705882352944</v>
      </c>
      <c r="I1193">
        <v>136</v>
      </c>
      <c r="J1193" t="s">
        <v>27</v>
      </c>
      <c r="K1193">
        <v>1</v>
      </c>
      <c r="L1193" s="1">
        <v>145650.49</v>
      </c>
      <c r="M1193" s="1" t="str" cm="1">
        <f t="array" ref="M119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93" t="s">
        <v>59</v>
      </c>
      <c r="O1193" t="s">
        <v>182</v>
      </c>
      <c r="P1193" s="2" t="s">
        <v>394</v>
      </c>
      <c r="Q1193">
        <v>1</v>
      </c>
      <c r="R1193" t="s">
        <v>391</v>
      </c>
      <c r="S1193" s="1">
        <f>electric_vehicles_dataset[[#This Row],[Units_Sold_2024]]*electric_vehicles_dataset[[#This Row],[Price_USD]]</f>
        <v>280522843.74000001</v>
      </c>
      <c r="T1193">
        <v>5</v>
      </c>
      <c r="U1193">
        <v>1926</v>
      </c>
      <c r="V1193">
        <v>3</v>
      </c>
    </row>
    <row r="1194" spans="1:22" x14ac:dyDescent="0.35">
      <c r="A1194">
        <v>1193</v>
      </c>
      <c r="B1194" t="s">
        <v>82</v>
      </c>
      <c r="C1194" t="s">
        <v>281</v>
      </c>
      <c r="D1194">
        <v>2022</v>
      </c>
      <c r="E1194" t="s">
        <v>130</v>
      </c>
      <c r="F1194">
        <v>54.2</v>
      </c>
      <c r="G1194" t="s">
        <v>348</v>
      </c>
      <c r="H1194">
        <f>electric_vehicles_dataset[[#This Row],[Battery_Capacity_kWh]]/electric_vehicles_dataset[[#This Row],[Range_km]]</f>
        <v>0.10883534136546186</v>
      </c>
      <c r="I1194">
        <v>498</v>
      </c>
      <c r="J1194" t="s">
        <v>353</v>
      </c>
      <c r="K1194">
        <v>12</v>
      </c>
      <c r="L1194" s="1">
        <v>90114.46</v>
      </c>
      <c r="M1194" s="1" t="str" cm="1">
        <f t="array" ref="M119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94" t="s">
        <v>35</v>
      </c>
      <c r="O1194" t="s">
        <v>150</v>
      </c>
      <c r="P1194" s="2" t="s">
        <v>389</v>
      </c>
      <c r="Q1194">
        <v>1</v>
      </c>
      <c r="R1194" t="s">
        <v>391</v>
      </c>
      <c r="S1194" s="1">
        <f>electric_vehicles_dataset[[#This Row],[Units_Sold_2024]]*electric_vehicles_dataset[[#This Row],[Price_USD]]</f>
        <v>905740437.46000004</v>
      </c>
      <c r="T1194">
        <v>4</v>
      </c>
      <c r="U1194">
        <v>10051</v>
      </c>
      <c r="V1194">
        <v>5</v>
      </c>
    </row>
    <row r="1195" spans="1:22" x14ac:dyDescent="0.35">
      <c r="A1195">
        <v>1194</v>
      </c>
      <c r="B1195" t="s">
        <v>136</v>
      </c>
      <c r="C1195" t="s">
        <v>137</v>
      </c>
      <c r="D1195">
        <v>2018</v>
      </c>
      <c r="E1195" t="s">
        <v>84</v>
      </c>
      <c r="F1195">
        <v>20.399999999999999</v>
      </c>
      <c r="G1195" t="s">
        <v>357</v>
      </c>
      <c r="H1195">
        <f>electric_vehicles_dataset[[#This Row],[Battery_Capacity_kWh]]/electric_vehicles_dataset[[#This Row],[Range_km]]</f>
        <v>5.8119658119658114E-2</v>
      </c>
      <c r="I1195">
        <v>351</v>
      </c>
      <c r="J1195" t="s">
        <v>345</v>
      </c>
      <c r="K1195">
        <v>5</v>
      </c>
      <c r="L1195" s="1">
        <v>131767.95000000001</v>
      </c>
      <c r="M1195" s="1" t="str" cm="1">
        <f t="array" ref="M119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95" t="s">
        <v>177</v>
      </c>
      <c r="O1195" t="s">
        <v>50</v>
      </c>
      <c r="P1195" s="2" t="s">
        <v>396</v>
      </c>
      <c r="Q1195">
        <v>1</v>
      </c>
      <c r="R1195" t="s">
        <v>391</v>
      </c>
      <c r="S1195" s="1">
        <f>electric_vehicles_dataset[[#This Row],[Units_Sold_2024]]*electric_vehicles_dataset[[#This Row],[Price_USD]]</f>
        <v>314661864.60000002</v>
      </c>
      <c r="T1195">
        <v>3</v>
      </c>
      <c r="U1195">
        <v>2388</v>
      </c>
      <c r="V1195">
        <v>4</v>
      </c>
    </row>
    <row r="1196" spans="1:22" x14ac:dyDescent="0.35">
      <c r="A1196">
        <v>1195</v>
      </c>
      <c r="B1196" t="s">
        <v>192</v>
      </c>
      <c r="C1196" t="s">
        <v>198</v>
      </c>
      <c r="D1196">
        <v>2020</v>
      </c>
      <c r="E1196" t="s">
        <v>133</v>
      </c>
      <c r="F1196">
        <v>36.9</v>
      </c>
      <c r="G1196" t="s">
        <v>357</v>
      </c>
      <c r="H1196">
        <f>electric_vehicles_dataset[[#This Row],[Battery_Capacity_kWh]]/electric_vehicles_dataset[[#This Row],[Range_km]]</f>
        <v>0.123</v>
      </c>
      <c r="I1196">
        <v>300</v>
      </c>
      <c r="J1196" t="s">
        <v>85</v>
      </c>
      <c r="K1196">
        <v>4</v>
      </c>
      <c r="L1196" s="1">
        <v>85125.42</v>
      </c>
      <c r="M1196" s="1" t="str" cm="1">
        <f t="array" ref="M119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96" t="s">
        <v>189</v>
      </c>
      <c r="O1196" t="s">
        <v>86</v>
      </c>
      <c r="P1196" s="2" t="s">
        <v>389</v>
      </c>
      <c r="Q1196">
        <v>5</v>
      </c>
      <c r="R1196" t="s">
        <v>392</v>
      </c>
      <c r="S1196" s="1">
        <f>electric_vehicles_dataset[[#This Row],[Units_Sold_2024]]*electric_vehicles_dataset[[#This Row],[Price_USD]]</f>
        <v>416859181.74000001</v>
      </c>
      <c r="T1196">
        <v>5</v>
      </c>
      <c r="U1196">
        <v>4897</v>
      </c>
      <c r="V1196">
        <v>3</v>
      </c>
    </row>
    <row r="1197" spans="1:22" x14ac:dyDescent="0.35">
      <c r="A1197">
        <v>1196</v>
      </c>
      <c r="B1197" t="s">
        <v>170</v>
      </c>
      <c r="C1197" t="s">
        <v>171</v>
      </c>
      <c r="D1197">
        <v>2019</v>
      </c>
      <c r="E1197" t="s">
        <v>104</v>
      </c>
      <c r="F1197">
        <v>131.30000000000001</v>
      </c>
      <c r="G1197" t="s">
        <v>352</v>
      </c>
      <c r="H1197">
        <f>electric_vehicles_dataset[[#This Row],[Battery_Capacity_kWh]]/electric_vehicles_dataset[[#This Row],[Range_km]]</f>
        <v>0.97259259259259268</v>
      </c>
      <c r="I1197">
        <v>135</v>
      </c>
      <c r="J1197" t="s">
        <v>76</v>
      </c>
      <c r="K1197">
        <v>9</v>
      </c>
      <c r="L1197" s="1">
        <v>33833.800000000003</v>
      </c>
      <c r="M1197" s="1" t="str" cm="1">
        <f t="array" ref="M11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197" t="s">
        <v>210</v>
      </c>
      <c r="O1197" t="s">
        <v>169</v>
      </c>
      <c r="P1197" s="2" t="s">
        <v>394</v>
      </c>
      <c r="Q1197">
        <v>0</v>
      </c>
      <c r="R1197" t="s">
        <v>390</v>
      </c>
      <c r="S1197" s="1">
        <f>electric_vehicles_dataset[[#This Row],[Units_Sold_2024]]*electric_vehicles_dataset[[#This Row],[Price_USD]]</f>
        <v>599771772.60000002</v>
      </c>
      <c r="T1197">
        <v>4</v>
      </c>
      <c r="U1197">
        <v>17727</v>
      </c>
      <c r="V1197">
        <v>5</v>
      </c>
    </row>
    <row r="1198" spans="1:22" x14ac:dyDescent="0.35">
      <c r="A1198">
        <v>1197</v>
      </c>
      <c r="B1198" t="s">
        <v>125</v>
      </c>
      <c r="C1198" t="s">
        <v>163</v>
      </c>
      <c r="D1198">
        <v>2018</v>
      </c>
      <c r="E1198" t="s">
        <v>84</v>
      </c>
      <c r="F1198">
        <v>39.700000000000003</v>
      </c>
      <c r="G1198" t="s">
        <v>357</v>
      </c>
      <c r="H1198">
        <f>electric_vehicles_dataset[[#This Row],[Battery_Capacity_kWh]]/electric_vehicles_dataset[[#This Row],[Range_km]]</f>
        <v>7.0640569395017797E-2</v>
      </c>
      <c r="I1198">
        <v>562</v>
      </c>
      <c r="J1198" t="s">
        <v>48</v>
      </c>
      <c r="K1198">
        <v>2</v>
      </c>
      <c r="L1198" s="1">
        <v>77109.850000000006</v>
      </c>
      <c r="M1198" s="1" t="str" cm="1">
        <f t="array" ref="M119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198" t="s">
        <v>102</v>
      </c>
      <c r="O1198" t="s">
        <v>150</v>
      </c>
      <c r="P1198" s="2" t="s">
        <v>389</v>
      </c>
      <c r="Q1198">
        <v>0</v>
      </c>
      <c r="R1198" t="s">
        <v>390</v>
      </c>
      <c r="S1198" s="1">
        <f>electric_vehicles_dataset[[#This Row],[Units_Sold_2024]]*electric_vehicles_dataset[[#This Row],[Price_USD]]</f>
        <v>844121527.95000005</v>
      </c>
      <c r="T1198">
        <v>4</v>
      </c>
      <c r="U1198">
        <v>10947</v>
      </c>
      <c r="V1198">
        <v>5</v>
      </c>
    </row>
    <row r="1199" spans="1:22" x14ac:dyDescent="0.35">
      <c r="A1199">
        <v>1198</v>
      </c>
      <c r="B1199" t="s">
        <v>21</v>
      </c>
      <c r="C1199" t="s">
        <v>363</v>
      </c>
      <c r="D1199">
        <v>2020</v>
      </c>
      <c r="E1199" t="s">
        <v>26</v>
      </c>
      <c r="F1199">
        <v>93.5</v>
      </c>
      <c r="G1199" t="s">
        <v>350</v>
      </c>
      <c r="H1199">
        <f>electric_vehicles_dataset[[#This Row],[Battery_Capacity_kWh]]/electric_vehicles_dataset[[#This Row],[Range_km]]</f>
        <v>0.4794871794871795</v>
      </c>
      <c r="I1199">
        <v>195</v>
      </c>
      <c r="J1199" t="s">
        <v>364</v>
      </c>
      <c r="K1199">
        <v>3</v>
      </c>
      <c r="L1199" s="1">
        <v>118433.60000000001</v>
      </c>
      <c r="M1199" s="1" t="str" cm="1">
        <f t="array" ref="M119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199" t="s">
        <v>168</v>
      </c>
      <c r="O1199" t="s">
        <v>199</v>
      </c>
      <c r="P1199" s="2" t="s">
        <v>394</v>
      </c>
      <c r="Q1199">
        <v>3</v>
      </c>
      <c r="R1199" t="s">
        <v>397</v>
      </c>
      <c r="S1199" s="1">
        <f>electric_vehicles_dataset[[#This Row],[Units_Sold_2024]]*electric_vehicles_dataset[[#This Row],[Price_USD]]</f>
        <v>1626330195.2</v>
      </c>
      <c r="T1199">
        <v>3</v>
      </c>
      <c r="U1199">
        <v>13732</v>
      </c>
      <c r="V1199">
        <v>5</v>
      </c>
    </row>
    <row r="1200" spans="1:22" x14ac:dyDescent="0.35">
      <c r="A1200">
        <v>1199</v>
      </c>
      <c r="B1200" t="s">
        <v>74</v>
      </c>
      <c r="C1200" t="s">
        <v>75</v>
      </c>
      <c r="D1200">
        <v>2015</v>
      </c>
      <c r="E1200" t="s">
        <v>53</v>
      </c>
      <c r="F1200">
        <v>110.2</v>
      </c>
      <c r="G1200" t="s">
        <v>361</v>
      </c>
      <c r="H1200">
        <f>electric_vehicles_dataset[[#This Row],[Battery_Capacity_kWh]]/electric_vehicles_dataset[[#This Row],[Range_km]]</f>
        <v>0.32994011976047904</v>
      </c>
      <c r="I1200">
        <v>334</v>
      </c>
      <c r="J1200" t="s">
        <v>149</v>
      </c>
      <c r="K1200">
        <v>5</v>
      </c>
      <c r="L1200" s="1">
        <v>52384.63</v>
      </c>
      <c r="M1200" s="1" t="str" cm="1">
        <f t="array" ref="M120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00" t="s">
        <v>189</v>
      </c>
      <c r="O1200" t="s">
        <v>40</v>
      </c>
      <c r="P1200" s="2" t="s">
        <v>395</v>
      </c>
      <c r="Q1200">
        <v>0</v>
      </c>
      <c r="R1200" t="s">
        <v>390</v>
      </c>
      <c r="S1200" s="1">
        <f>electric_vehicles_dataset[[#This Row],[Units_Sold_2024]]*electric_vehicles_dataset[[#This Row],[Price_USD]]</f>
        <v>196599516.38999999</v>
      </c>
      <c r="T1200">
        <v>4</v>
      </c>
      <c r="U1200">
        <v>3753</v>
      </c>
      <c r="V1200">
        <v>3</v>
      </c>
    </row>
    <row r="1201" spans="1:22" x14ac:dyDescent="0.35">
      <c r="A1201">
        <v>1200</v>
      </c>
      <c r="B1201" t="s">
        <v>74</v>
      </c>
      <c r="C1201" t="s">
        <v>75</v>
      </c>
      <c r="D1201">
        <v>2017</v>
      </c>
      <c r="E1201" t="s">
        <v>31</v>
      </c>
      <c r="F1201">
        <v>112.8</v>
      </c>
      <c r="G1201" t="s">
        <v>361</v>
      </c>
      <c r="H1201">
        <f>electric_vehicles_dataset[[#This Row],[Battery_Capacity_kWh]]/electric_vehicles_dataset[[#This Row],[Range_km]]</f>
        <v>0.29606299212598425</v>
      </c>
      <c r="I1201">
        <v>381</v>
      </c>
      <c r="J1201" t="s">
        <v>76</v>
      </c>
      <c r="K1201">
        <v>3</v>
      </c>
      <c r="L1201" s="1">
        <v>81773.89</v>
      </c>
      <c r="M1201" s="1" t="str" cm="1">
        <f t="array" ref="M120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01" t="s">
        <v>177</v>
      </c>
      <c r="O1201" t="s">
        <v>93</v>
      </c>
      <c r="P1201" s="2" t="s">
        <v>389</v>
      </c>
      <c r="Q1201">
        <v>4</v>
      </c>
      <c r="R1201" t="s">
        <v>392</v>
      </c>
      <c r="S1201" s="1">
        <f>electric_vehicles_dataset[[#This Row],[Units_Sold_2024]]*electric_vehicles_dataset[[#This Row],[Price_USD]]</f>
        <v>1405202525.76</v>
      </c>
      <c r="T1201">
        <v>4</v>
      </c>
      <c r="U1201">
        <v>17184</v>
      </c>
      <c r="V1201">
        <v>3</v>
      </c>
    </row>
    <row r="1202" spans="1:22" x14ac:dyDescent="0.35">
      <c r="A1202">
        <v>1201</v>
      </c>
      <c r="B1202" t="s">
        <v>207</v>
      </c>
      <c r="C1202" t="s">
        <v>208</v>
      </c>
      <c r="D1202">
        <v>2022</v>
      </c>
      <c r="E1202" t="s">
        <v>17</v>
      </c>
      <c r="F1202">
        <v>20.6</v>
      </c>
      <c r="G1202" t="s">
        <v>357</v>
      </c>
      <c r="H1202">
        <f>electric_vehicles_dataset[[#This Row],[Battery_Capacity_kWh]]/electric_vehicles_dataset[[#This Row],[Range_km]]</f>
        <v>7.1777003484320562E-2</v>
      </c>
      <c r="I1202">
        <v>287</v>
      </c>
      <c r="J1202" t="s">
        <v>48</v>
      </c>
      <c r="K1202">
        <v>6</v>
      </c>
      <c r="L1202" s="1">
        <v>122736.31</v>
      </c>
      <c r="M1202" s="1" t="str" cm="1">
        <f t="array" ref="M120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02" t="s">
        <v>246</v>
      </c>
      <c r="O1202" t="s">
        <v>199</v>
      </c>
      <c r="P1202" s="2" t="s">
        <v>394</v>
      </c>
      <c r="Q1202">
        <v>2</v>
      </c>
      <c r="R1202" t="s">
        <v>391</v>
      </c>
      <c r="S1202" s="1">
        <f>electric_vehicles_dataset[[#This Row],[Units_Sold_2024]]*electric_vehicles_dataset[[#This Row],[Price_USD]]</f>
        <v>2366969738.3499999</v>
      </c>
      <c r="T1202">
        <v>5</v>
      </c>
      <c r="U1202">
        <v>19285</v>
      </c>
      <c r="V1202">
        <v>4</v>
      </c>
    </row>
    <row r="1203" spans="1:22" x14ac:dyDescent="0.35">
      <c r="A1203">
        <v>1202</v>
      </c>
      <c r="B1203" t="s">
        <v>261</v>
      </c>
      <c r="C1203" t="s">
        <v>370</v>
      </c>
      <c r="D1203">
        <v>2022</v>
      </c>
      <c r="E1203" t="s">
        <v>17</v>
      </c>
      <c r="F1203">
        <v>146.5</v>
      </c>
      <c r="G1203" t="s">
        <v>386</v>
      </c>
      <c r="H1203">
        <f>electric_vehicles_dataset[[#This Row],[Battery_Capacity_kWh]]/electric_vehicles_dataset[[#This Row],[Range_km]]</f>
        <v>0.79189189189189191</v>
      </c>
      <c r="I1203">
        <v>185</v>
      </c>
      <c r="J1203" t="s">
        <v>48</v>
      </c>
      <c r="K1203">
        <v>5</v>
      </c>
      <c r="L1203" s="1">
        <v>92011.68</v>
      </c>
      <c r="M1203" s="1" t="str" cm="1">
        <f t="array" ref="M120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03" t="s">
        <v>66</v>
      </c>
      <c r="O1203" t="s">
        <v>67</v>
      </c>
      <c r="P1203" s="2" t="s">
        <v>394</v>
      </c>
      <c r="Q1203">
        <v>2</v>
      </c>
      <c r="R1203" t="s">
        <v>391</v>
      </c>
      <c r="S1203" s="1">
        <f>electric_vehicles_dataset[[#This Row],[Units_Sold_2024]]*electric_vehicles_dataset[[#This Row],[Price_USD]]</f>
        <v>1820635112.1599998</v>
      </c>
      <c r="T1203">
        <v>5</v>
      </c>
      <c r="U1203">
        <v>19787</v>
      </c>
      <c r="V1203">
        <v>3</v>
      </c>
    </row>
    <row r="1204" spans="1:22" x14ac:dyDescent="0.35">
      <c r="A1204">
        <v>1203</v>
      </c>
      <c r="B1204" t="s">
        <v>29</v>
      </c>
      <c r="C1204" t="s">
        <v>378</v>
      </c>
      <c r="D1204">
        <v>2021</v>
      </c>
      <c r="E1204" t="s">
        <v>90</v>
      </c>
      <c r="F1204">
        <v>142.5</v>
      </c>
      <c r="G1204" t="s">
        <v>386</v>
      </c>
      <c r="H1204">
        <f>electric_vehicles_dataset[[#This Row],[Battery_Capacity_kWh]]/electric_vehicles_dataset[[#This Row],[Range_km]]</f>
        <v>0.39583333333333331</v>
      </c>
      <c r="I1204">
        <v>360</v>
      </c>
      <c r="J1204" t="s">
        <v>356</v>
      </c>
      <c r="K1204">
        <v>11</v>
      </c>
      <c r="L1204" s="1">
        <v>126444.7</v>
      </c>
      <c r="M1204" s="1" t="str" cm="1">
        <f t="array" ref="M120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04" t="s">
        <v>49</v>
      </c>
      <c r="O1204" t="s">
        <v>50</v>
      </c>
      <c r="P1204" s="2" t="s">
        <v>396</v>
      </c>
      <c r="Q1204">
        <v>2</v>
      </c>
      <c r="R1204" t="s">
        <v>391</v>
      </c>
      <c r="S1204" s="1">
        <f>electric_vehicles_dataset[[#This Row],[Units_Sold_2024]]*electric_vehicles_dataset[[#This Row],[Price_USD]]</f>
        <v>572162267.5</v>
      </c>
      <c r="T1204">
        <v>5</v>
      </c>
      <c r="U1204">
        <v>4525</v>
      </c>
      <c r="V1204">
        <v>3</v>
      </c>
    </row>
    <row r="1205" spans="1:22" x14ac:dyDescent="0.35">
      <c r="A1205">
        <v>1204</v>
      </c>
      <c r="B1205" t="s">
        <v>259</v>
      </c>
      <c r="C1205" t="s">
        <v>260</v>
      </c>
      <c r="D1205">
        <v>2017</v>
      </c>
      <c r="E1205" t="s">
        <v>84</v>
      </c>
      <c r="F1205">
        <v>27</v>
      </c>
      <c r="G1205" t="s">
        <v>357</v>
      </c>
      <c r="H1205">
        <f>electric_vehicles_dataset[[#This Row],[Battery_Capacity_kWh]]/electric_vehicles_dataset[[#This Row],[Range_km]]</f>
        <v>7.0680628272251314E-2</v>
      </c>
      <c r="I1205">
        <v>382</v>
      </c>
      <c r="J1205" t="s">
        <v>359</v>
      </c>
      <c r="K1205">
        <v>8</v>
      </c>
      <c r="L1205" s="1">
        <v>94398.55</v>
      </c>
      <c r="M1205" s="1" t="str" cm="1">
        <f t="array" ref="M120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05" t="s">
        <v>238</v>
      </c>
      <c r="O1205" t="s">
        <v>159</v>
      </c>
      <c r="P1205" s="2" t="s">
        <v>389</v>
      </c>
      <c r="Q1205">
        <v>2</v>
      </c>
      <c r="R1205" t="s">
        <v>391</v>
      </c>
      <c r="S1205" s="1">
        <f>electric_vehicles_dataset[[#This Row],[Units_Sold_2024]]*electric_vehicles_dataset[[#This Row],[Price_USD]]</f>
        <v>274227787.75</v>
      </c>
      <c r="T1205">
        <v>4</v>
      </c>
      <c r="U1205">
        <v>2905</v>
      </c>
      <c r="V1205">
        <v>4</v>
      </c>
    </row>
    <row r="1206" spans="1:22" x14ac:dyDescent="0.35">
      <c r="A1206">
        <v>1205</v>
      </c>
      <c r="B1206" t="s">
        <v>122</v>
      </c>
      <c r="C1206" t="s">
        <v>123</v>
      </c>
      <c r="D1206">
        <v>2019</v>
      </c>
      <c r="E1206" t="s">
        <v>73</v>
      </c>
      <c r="F1206">
        <v>47.5</v>
      </c>
      <c r="G1206" t="s">
        <v>348</v>
      </c>
      <c r="H1206">
        <f>electric_vehicles_dataset[[#This Row],[Battery_Capacity_kWh]]/electric_vehicles_dataset[[#This Row],[Range_km]]</f>
        <v>0.28443113772455092</v>
      </c>
      <c r="I1206">
        <v>167</v>
      </c>
      <c r="J1206" t="s">
        <v>48</v>
      </c>
      <c r="K1206">
        <v>1</v>
      </c>
      <c r="L1206" s="1">
        <v>146872.57</v>
      </c>
      <c r="M1206" s="1" t="str" cm="1">
        <f t="array" ref="M120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06" t="s">
        <v>165</v>
      </c>
      <c r="O1206" t="s">
        <v>182</v>
      </c>
      <c r="P1206" s="2" t="s">
        <v>394</v>
      </c>
      <c r="Q1206">
        <v>1</v>
      </c>
      <c r="R1206" t="s">
        <v>391</v>
      </c>
      <c r="S1206" s="1">
        <f>electric_vehicles_dataset[[#This Row],[Units_Sold_2024]]*electric_vehicles_dataset[[#This Row],[Price_USD]]</f>
        <v>62714587.390000001</v>
      </c>
      <c r="T1206">
        <v>5</v>
      </c>
      <c r="U1206">
        <v>427</v>
      </c>
      <c r="V1206">
        <v>3</v>
      </c>
    </row>
    <row r="1207" spans="1:22" x14ac:dyDescent="0.35">
      <c r="A1207">
        <v>1206</v>
      </c>
      <c r="B1207" t="s">
        <v>108</v>
      </c>
      <c r="C1207" t="s">
        <v>119</v>
      </c>
      <c r="D1207">
        <v>2015</v>
      </c>
      <c r="E1207" t="s">
        <v>133</v>
      </c>
      <c r="F1207">
        <v>141.80000000000001</v>
      </c>
      <c r="G1207" t="s">
        <v>386</v>
      </c>
      <c r="H1207">
        <f>electric_vehicles_dataset[[#This Row],[Battery_Capacity_kWh]]/electric_vehicles_dataset[[#This Row],[Range_km]]</f>
        <v>0.31096491228070178</v>
      </c>
      <c r="I1207">
        <v>456</v>
      </c>
      <c r="J1207" t="s">
        <v>18</v>
      </c>
      <c r="K1207">
        <v>3</v>
      </c>
      <c r="L1207" s="1">
        <v>45744.07</v>
      </c>
      <c r="M1207" s="1" t="str" cm="1">
        <f t="array" ref="M120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07" t="s">
        <v>66</v>
      </c>
      <c r="O1207" t="s">
        <v>236</v>
      </c>
      <c r="P1207" s="2" t="s">
        <v>394</v>
      </c>
      <c r="Q1207">
        <v>1</v>
      </c>
      <c r="R1207" t="s">
        <v>391</v>
      </c>
      <c r="S1207" s="1">
        <f>electric_vehicles_dataset[[#This Row],[Units_Sold_2024]]*electric_vehicles_dataset[[#This Row],[Price_USD]]</f>
        <v>290703564.85000002</v>
      </c>
      <c r="T1207">
        <v>4</v>
      </c>
      <c r="U1207">
        <v>6355</v>
      </c>
      <c r="V1207">
        <v>3</v>
      </c>
    </row>
    <row r="1208" spans="1:22" x14ac:dyDescent="0.35">
      <c r="A1208">
        <v>1207</v>
      </c>
      <c r="B1208" t="s">
        <v>193</v>
      </c>
      <c r="C1208" t="s">
        <v>194</v>
      </c>
      <c r="D1208">
        <v>2023</v>
      </c>
      <c r="E1208" t="s">
        <v>58</v>
      </c>
      <c r="F1208">
        <v>74.3</v>
      </c>
      <c r="G1208" t="s">
        <v>351</v>
      </c>
      <c r="H1208">
        <f>electric_vehicles_dataset[[#This Row],[Battery_Capacity_kWh]]/electric_vehicles_dataset[[#This Row],[Range_km]]</f>
        <v>0.13435804701627485</v>
      </c>
      <c r="I1208">
        <v>553</v>
      </c>
      <c r="J1208" t="s">
        <v>27</v>
      </c>
      <c r="K1208">
        <v>5</v>
      </c>
      <c r="L1208" s="1">
        <v>77504.75</v>
      </c>
      <c r="M1208" s="1" t="str" cm="1">
        <f t="array" ref="M120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08" t="s">
        <v>22</v>
      </c>
      <c r="O1208" t="s">
        <v>67</v>
      </c>
      <c r="P1208" s="2" t="s">
        <v>394</v>
      </c>
      <c r="Q1208">
        <v>4</v>
      </c>
      <c r="R1208" t="s">
        <v>392</v>
      </c>
      <c r="S1208" s="1">
        <f>electric_vehicles_dataset[[#This Row],[Units_Sold_2024]]*electric_vehicles_dataset[[#This Row],[Price_USD]]</f>
        <v>1167221535</v>
      </c>
      <c r="T1208">
        <v>4</v>
      </c>
      <c r="U1208">
        <v>15060</v>
      </c>
      <c r="V1208">
        <v>4</v>
      </c>
    </row>
    <row r="1209" spans="1:22" x14ac:dyDescent="0.35">
      <c r="A1209">
        <v>1208</v>
      </c>
      <c r="B1209" t="s">
        <v>36</v>
      </c>
      <c r="C1209" t="s">
        <v>324</v>
      </c>
      <c r="D1209">
        <v>2016</v>
      </c>
      <c r="E1209" t="s">
        <v>90</v>
      </c>
      <c r="F1209">
        <v>89.8</v>
      </c>
      <c r="G1209" t="s">
        <v>350</v>
      </c>
      <c r="H1209">
        <f>electric_vehicles_dataset[[#This Row],[Battery_Capacity_kWh]]/electric_vehicles_dataset[[#This Row],[Range_km]]</f>
        <v>0.53772455089820359</v>
      </c>
      <c r="I1209">
        <v>167</v>
      </c>
      <c r="J1209" t="s">
        <v>364</v>
      </c>
      <c r="K1209">
        <v>8</v>
      </c>
      <c r="L1209" s="1">
        <v>108211.35</v>
      </c>
      <c r="M1209" s="1" t="str" cm="1">
        <f t="array" ref="M120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09" t="s">
        <v>160</v>
      </c>
      <c r="O1209" t="s">
        <v>20</v>
      </c>
      <c r="P1209" s="2" t="s">
        <v>389</v>
      </c>
      <c r="Q1209">
        <v>5</v>
      </c>
      <c r="R1209" t="s">
        <v>392</v>
      </c>
      <c r="S1209" s="1">
        <f>electric_vehicles_dataset[[#This Row],[Units_Sold_2024]]*electric_vehicles_dataset[[#This Row],[Price_USD]]</f>
        <v>1058523425.7</v>
      </c>
      <c r="T1209">
        <v>4</v>
      </c>
      <c r="U1209">
        <v>9782</v>
      </c>
      <c r="V1209">
        <v>4</v>
      </c>
    </row>
    <row r="1210" spans="1:22" x14ac:dyDescent="0.35">
      <c r="A1210">
        <v>1209</v>
      </c>
      <c r="B1210" t="s">
        <v>157</v>
      </c>
      <c r="C1210" t="s">
        <v>296</v>
      </c>
      <c r="D1210">
        <v>2017</v>
      </c>
      <c r="E1210" t="s">
        <v>90</v>
      </c>
      <c r="F1210">
        <v>117.4</v>
      </c>
      <c r="G1210" t="s">
        <v>361</v>
      </c>
      <c r="H1210">
        <f>electric_vehicles_dataset[[#This Row],[Battery_Capacity_kWh]]/electric_vehicles_dataset[[#This Row],[Range_km]]</f>
        <v>0.31644204851752022</v>
      </c>
      <c r="I1210">
        <v>371</v>
      </c>
      <c r="J1210" t="s">
        <v>359</v>
      </c>
      <c r="K1210">
        <v>2</v>
      </c>
      <c r="L1210" s="1">
        <v>124218.98</v>
      </c>
      <c r="M1210" s="1" t="str" cm="1">
        <f t="array" ref="M121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10" t="s">
        <v>189</v>
      </c>
      <c r="O1210" t="s">
        <v>78</v>
      </c>
      <c r="P1210" s="2" t="s">
        <v>389</v>
      </c>
      <c r="Q1210">
        <v>5</v>
      </c>
      <c r="R1210" t="s">
        <v>392</v>
      </c>
      <c r="S1210" s="1">
        <f>electric_vehicles_dataset[[#This Row],[Units_Sold_2024]]*electric_vehicles_dataset[[#This Row],[Price_USD]]</f>
        <v>1575593542.3199999</v>
      </c>
      <c r="T1210">
        <v>5</v>
      </c>
      <c r="U1210">
        <v>12684</v>
      </c>
      <c r="V1210">
        <v>4</v>
      </c>
    </row>
    <row r="1211" spans="1:22" x14ac:dyDescent="0.35">
      <c r="A1211">
        <v>1210</v>
      </c>
      <c r="B1211" t="s">
        <v>220</v>
      </c>
      <c r="C1211" t="s">
        <v>337</v>
      </c>
      <c r="D1211">
        <v>2024</v>
      </c>
      <c r="E1211" t="s">
        <v>58</v>
      </c>
      <c r="F1211">
        <v>124.2</v>
      </c>
      <c r="G1211" t="s">
        <v>352</v>
      </c>
      <c r="H1211">
        <f>electric_vehicles_dataset[[#This Row],[Battery_Capacity_kWh]]/electric_vehicles_dataset[[#This Row],[Range_km]]</f>
        <v>0.61182266009852215</v>
      </c>
      <c r="I1211">
        <v>203</v>
      </c>
      <c r="J1211" t="s">
        <v>48</v>
      </c>
      <c r="K1211">
        <v>5</v>
      </c>
      <c r="L1211" s="1">
        <v>31679.05</v>
      </c>
      <c r="M1211" s="1" t="str" cm="1">
        <f t="array" ref="M12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11" t="s">
        <v>279</v>
      </c>
      <c r="O1211" t="s">
        <v>33</v>
      </c>
      <c r="P1211" s="2" t="s">
        <v>393</v>
      </c>
      <c r="Q1211">
        <v>2</v>
      </c>
      <c r="R1211" t="s">
        <v>391</v>
      </c>
      <c r="S1211" s="1">
        <f>electric_vehicles_dataset[[#This Row],[Units_Sold_2024]]*electric_vehicles_dataset[[#This Row],[Price_USD]]</f>
        <v>478005185.44999999</v>
      </c>
      <c r="T1211">
        <v>4</v>
      </c>
      <c r="U1211">
        <v>15089</v>
      </c>
      <c r="V1211">
        <v>3</v>
      </c>
    </row>
    <row r="1212" spans="1:22" x14ac:dyDescent="0.35">
      <c r="A1212">
        <v>1211</v>
      </c>
      <c r="B1212" t="s">
        <v>24</v>
      </c>
      <c r="C1212" t="s">
        <v>341</v>
      </c>
      <c r="D1212">
        <v>2021</v>
      </c>
      <c r="E1212" t="s">
        <v>53</v>
      </c>
      <c r="F1212">
        <v>39.9</v>
      </c>
      <c r="G1212" t="s">
        <v>357</v>
      </c>
      <c r="H1212">
        <f>electric_vehicles_dataset[[#This Row],[Battery_Capacity_kWh]]/electric_vehicles_dataset[[#This Row],[Range_km]]</f>
        <v>0.10178571428571428</v>
      </c>
      <c r="I1212">
        <v>392</v>
      </c>
      <c r="J1212" t="s">
        <v>34</v>
      </c>
      <c r="K1212">
        <v>5</v>
      </c>
      <c r="L1212" s="1">
        <v>37253.35</v>
      </c>
      <c r="M1212" s="1" t="str" cm="1">
        <f t="array" ref="M121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12" t="s">
        <v>98</v>
      </c>
      <c r="O1212" t="s">
        <v>265</v>
      </c>
      <c r="P1212" s="2" t="s">
        <v>389</v>
      </c>
      <c r="Q1212">
        <v>2</v>
      </c>
      <c r="R1212" t="s">
        <v>391</v>
      </c>
      <c r="S1212" s="1">
        <f>electric_vehicles_dataset[[#This Row],[Units_Sold_2024]]*electric_vehicles_dataset[[#This Row],[Price_USD]]</f>
        <v>526687862.29999995</v>
      </c>
      <c r="T1212">
        <v>4</v>
      </c>
      <c r="U1212">
        <v>14138</v>
      </c>
      <c r="V1212">
        <v>4</v>
      </c>
    </row>
    <row r="1213" spans="1:22" x14ac:dyDescent="0.35">
      <c r="A1213">
        <v>1212</v>
      </c>
      <c r="B1213" t="s">
        <v>112</v>
      </c>
      <c r="C1213" t="s">
        <v>237</v>
      </c>
      <c r="D1213">
        <v>2019</v>
      </c>
      <c r="E1213" t="s">
        <v>90</v>
      </c>
      <c r="F1213">
        <v>120.1</v>
      </c>
      <c r="G1213" t="s">
        <v>352</v>
      </c>
      <c r="H1213">
        <f>electric_vehicles_dataset[[#This Row],[Battery_Capacity_kWh]]/electric_vehicles_dataset[[#This Row],[Range_km]]</f>
        <v>0.25717344753747323</v>
      </c>
      <c r="I1213">
        <v>467</v>
      </c>
      <c r="J1213" t="s">
        <v>353</v>
      </c>
      <c r="K1213">
        <v>7</v>
      </c>
      <c r="L1213" s="1">
        <v>71254.789999999994</v>
      </c>
      <c r="M1213" s="1" t="str" cm="1">
        <f t="array" ref="M121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13" t="s">
        <v>127</v>
      </c>
      <c r="O1213" t="s">
        <v>139</v>
      </c>
      <c r="P1213" s="2" t="s">
        <v>389</v>
      </c>
      <c r="Q1213">
        <v>3</v>
      </c>
      <c r="R1213" t="s">
        <v>397</v>
      </c>
      <c r="S1213" s="1">
        <f>electric_vehicles_dataset[[#This Row],[Units_Sold_2024]]*electric_vehicles_dataset[[#This Row],[Price_USD]]</f>
        <v>314447388.26999998</v>
      </c>
      <c r="T1213">
        <v>4</v>
      </c>
      <c r="U1213">
        <v>4413</v>
      </c>
      <c r="V1213">
        <v>4</v>
      </c>
    </row>
    <row r="1214" spans="1:22" x14ac:dyDescent="0.35">
      <c r="A1214">
        <v>1213</v>
      </c>
      <c r="B1214" t="s">
        <v>64</v>
      </c>
      <c r="C1214" t="s">
        <v>65</v>
      </c>
      <c r="D1214">
        <v>2019</v>
      </c>
      <c r="E1214" t="s">
        <v>101</v>
      </c>
      <c r="F1214">
        <v>53.2</v>
      </c>
      <c r="G1214" t="s">
        <v>348</v>
      </c>
      <c r="H1214">
        <f>electric_vehicles_dataset[[#This Row],[Battery_Capacity_kWh]]/electric_vehicles_dataset[[#This Row],[Range_km]]</f>
        <v>0.10597609561752988</v>
      </c>
      <c r="I1214">
        <v>502</v>
      </c>
      <c r="J1214" t="s">
        <v>358</v>
      </c>
      <c r="K1214">
        <v>8</v>
      </c>
      <c r="L1214" s="1">
        <v>140356.22</v>
      </c>
      <c r="M1214" s="1" t="str" cm="1">
        <f t="array" ref="M121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14" t="s">
        <v>277</v>
      </c>
      <c r="O1214" t="s">
        <v>50</v>
      </c>
      <c r="P1214" s="2" t="s">
        <v>396</v>
      </c>
      <c r="Q1214">
        <v>4</v>
      </c>
      <c r="R1214" t="s">
        <v>392</v>
      </c>
      <c r="S1214" s="1">
        <f>electric_vehicles_dataset[[#This Row],[Units_Sold_2024]]*electric_vehicles_dataset[[#This Row],[Price_USD]]</f>
        <v>466403719.06</v>
      </c>
      <c r="T1214">
        <v>3</v>
      </c>
      <c r="U1214">
        <v>3323</v>
      </c>
      <c r="V1214">
        <v>5</v>
      </c>
    </row>
    <row r="1215" spans="1:22" x14ac:dyDescent="0.35">
      <c r="A1215">
        <v>1214</v>
      </c>
      <c r="B1215" t="s">
        <v>140</v>
      </c>
      <c r="C1215" t="s">
        <v>339</v>
      </c>
      <c r="D1215">
        <v>2023</v>
      </c>
      <c r="E1215" t="s">
        <v>17</v>
      </c>
      <c r="F1215">
        <v>84.1</v>
      </c>
      <c r="G1215" t="s">
        <v>350</v>
      </c>
      <c r="H1215">
        <f>electric_vehicles_dataset[[#This Row],[Battery_Capacity_kWh]]/electric_vehicles_dataset[[#This Row],[Range_km]]</f>
        <v>0.20816831683168316</v>
      </c>
      <c r="I1215">
        <v>404</v>
      </c>
      <c r="J1215" t="s">
        <v>48</v>
      </c>
      <c r="K1215">
        <v>9</v>
      </c>
      <c r="L1215" s="1">
        <v>141636.62</v>
      </c>
      <c r="M1215" s="1" t="str" cm="1">
        <f t="array" ref="M121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15" t="s">
        <v>240</v>
      </c>
      <c r="O1215" t="s">
        <v>78</v>
      </c>
      <c r="P1215" s="2" t="s">
        <v>389</v>
      </c>
      <c r="Q1215">
        <v>5</v>
      </c>
      <c r="R1215" t="s">
        <v>392</v>
      </c>
      <c r="S1215" s="1">
        <f>electric_vehicles_dataset[[#This Row],[Units_Sold_2024]]*electric_vehicles_dataset[[#This Row],[Price_USD]]</f>
        <v>1764792285.2</v>
      </c>
      <c r="T1215">
        <v>5</v>
      </c>
      <c r="U1215">
        <v>12460</v>
      </c>
      <c r="V1215">
        <v>4</v>
      </c>
    </row>
    <row r="1216" spans="1:22" x14ac:dyDescent="0.35">
      <c r="A1216">
        <v>1215</v>
      </c>
      <c r="B1216" t="s">
        <v>128</v>
      </c>
      <c r="C1216" t="s">
        <v>268</v>
      </c>
      <c r="D1216">
        <v>2023</v>
      </c>
      <c r="E1216" t="s">
        <v>104</v>
      </c>
      <c r="F1216">
        <v>124.6</v>
      </c>
      <c r="G1216" t="s">
        <v>352</v>
      </c>
      <c r="H1216">
        <f>electric_vehicles_dataset[[#This Row],[Battery_Capacity_kWh]]/electric_vehicles_dataset[[#This Row],[Range_km]]</f>
        <v>0.22490974729241875</v>
      </c>
      <c r="I1216">
        <v>554</v>
      </c>
      <c r="J1216" t="s">
        <v>18</v>
      </c>
      <c r="K1216">
        <v>9</v>
      </c>
      <c r="L1216" s="1">
        <v>145488.68</v>
      </c>
      <c r="M1216" s="1" t="str" cm="1">
        <f t="array" ref="M121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16" t="s">
        <v>179</v>
      </c>
      <c r="O1216" t="s">
        <v>40</v>
      </c>
      <c r="P1216" s="2" t="s">
        <v>395</v>
      </c>
      <c r="Q1216">
        <v>1</v>
      </c>
      <c r="R1216" t="s">
        <v>391</v>
      </c>
      <c r="S1216" s="1">
        <f>electric_vehicles_dataset[[#This Row],[Units_Sold_2024]]*electric_vehicles_dataset[[#This Row],[Price_USD]]</f>
        <v>2534412805.5999999</v>
      </c>
      <c r="T1216">
        <v>4</v>
      </c>
      <c r="U1216">
        <v>17420</v>
      </c>
      <c r="V1216">
        <v>3</v>
      </c>
    </row>
    <row r="1217" spans="1:22" x14ac:dyDescent="0.35">
      <c r="A1217">
        <v>1216</v>
      </c>
      <c r="B1217" t="s">
        <v>128</v>
      </c>
      <c r="C1217" t="s">
        <v>268</v>
      </c>
      <c r="D1217">
        <v>2019</v>
      </c>
      <c r="E1217" t="s">
        <v>31</v>
      </c>
      <c r="F1217">
        <v>143.4</v>
      </c>
      <c r="G1217" t="s">
        <v>386</v>
      </c>
      <c r="H1217">
        <f>electric_vehicles_dataset[[#This Row],[Battery_Capacity_kWh]]/electric_vehicles_dataset[[#This Row],[Range_km]]</f>
        <v>1.2256410256410257</v>
      </c>
      <c r="I1217">
        <v>117</v>
      </c>
      <c r="J1217" t="s">
        <v>353</v>
      </c>
      <c r="K1217">
        <v>1</v>
      </c>
      <c r="L1217" s="1">
        <v>114768.7</v>
      </c>
      <c r="M1217" s="1" t="str" cm="1">
        <f t="array" ref="M121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17" t="s">
        <v>165</v>
      </c>
      <c r="O1217" t="s">
        <v>121</v>
      </c>
      <c r="P1217" s="2" t="s">
        <v>398</v>
      </c>
      <c r="Q1217">
        <v>0</v>
      </c>
      <c r="R1217" t="s">
        <v>390</v>
      </c>
      <c r="S1217" s="1">
        <f>electric_vehicles_dataset[[#This Row],[Units_Sold_2024]]*electric_vehicles_dataset[[#This Row],[Price_USD]]</f>
        <v>1755846341.3</v>
      </c>
      <c r="T1217">
        <v>4</v>
      </c>
      <c r="U1217">
        <v>15299</v>
      </c>
      <c r="V1217">
        <v>5</v>
      </c>
    </row>
    <row r="1218" spans="1:22" x14ac:dyDescent="0.35">
      <c r="A1218">
        <v>1217</v>
      </c>
      <c r="B1218" t="s">
        <v>24</v>
      </c>
      <c r="C1218" t="s">
        <v>300</v>
      </c>
      <c r="D1218">
        <v>2022</v>
      </c>
      <c r="E1218" t="s">
        <v>104</v>
      </c>
      <c r="F1218">
        <v>123.5</v>
      </c>
      <c r="G1218" t="s">
        <v>352</v>
      </c>
      <c r="H1218">
        <f>electric_vehicles_dataset[[#This Row],[Battery_Capacity_kWh]]/electric_vehicles_dataset[[#This Row],[Range_km]]</f>
        <v>0.40491803278688526</v>
      </c>
      <c r="I1218">
        <v>305</v>
      </c>
      <c r="J1218" t="s">
        <v>105</v>
      </c>
      <c r="K1218">
        <v>9</v>
      </c>
      <c r="L1218" s="1">
        <v>143128.97</v>
      </c>
      <c r="M1218" s="1" t="str" cm="1">
        <f t="array" ref="M12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18" t="s">
        <v>238</v>
      </c>
      <c r="O1218" t="s">
        <v>50</v>
      </c>
      <c r="P1218" s="2" t="s">
        <v>396</v>
      </c>
      <c r="Q1218">
        <v>2</v>
      </c>
      <c r="R1218" t="s">
        <v>391</v>
      </c>
      <c r="S1218" s="1">
        <f>electric_vehicles_dataset[[#This Row],[Units_Sold_2024]]*electric_vehicles_dataset[[#This Row],[Price_USD]]</f>
        <v>2214491423.8400002</v>
      </c>
      <c r="T1218">
        <v>5</v>
      </c>
      <c r="U1218">
        <v>15472</v>
      </c>
      <c r="V1218">
        <v>4</v>
      </c>
    </row>
    <row r="1219" spans="1:22" x14ac:dyDescent="0.35">
      <c r="A1219">
        <v>1218</v>
      </c>
      <c r="B1219" t="s">
        <v>36</v>
      </c>
      <c r="C1219" t="s">
        <v>211</v>
      </c>
      <c r="D1219">
        <v>2024</v>
      </c>
      <c r="E1219" t="s">
        <v>183</v>
      </c>
      <c r="F1219">
        <v>85.4</v>
      </c>
      <c r="G1219" t="s">
        <v>350</v>
      </c>
      <c r="H1219">
        <f>electric_vehicles_dataset[[#This Row],[Battery_Capacity_kWh]]/electric_vehicles_dataset[[#This Row],[Range_km]]</f>
        <v>0.14425675675675675</v>
      </c>
      <c r="I1219">
        <v>592</v>
      </c>
      <c r="J1219" t="s">
        <v>364</v>
      </c>
      <c r="K1219">
        <v>6</v>
      </c>
      <c r="L1219" s="1">
        <v>138713.37</v>
      </c>
      <c r="M1219" s="1" t="str" cm="1">
        <f t="array" ref="M121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19" t="s">
        <v>131</v>
      </c>
      <c r="O1219" t="s">
        <v>20</v>
      </c>
      <c r="P1219" s="2" t="s">
        <v>389</v>
      </c>
      <c r="Q1219">
        <v>2</v>
      </c>
      <c r="R1219" t="s">
        <v>391</v>
      </c>
      <c r="S1219" s="1">
        <f>electric_vehicles_dataset[[#This Row],[Units_Sold_2024]]*electric_vehicles_dataset[[#This Row],[Price_USD]]</f>
        <v>2602956388.0499997</v>
      </c>
      <c r="T1219">
        <v>3</v>
      </c>
      <c r="U1219">
        <v>18765</v>
      </c>
      <c r="V1219">
        <v>4</v>
      </c>
    </row>
    <row r="1220" spans="1:22" x14ac:dyDescent="0.35">
      <c r="A1220">
        <v>1219</v>
      </c>
      <c r="B1220" t="s">
        <v>155</v>
      </c>
      <c r="C1220" t="s">
        <v>190</v>
      </c>
      <c r="D1220">
        <v>2023</v>
      </c>
      <c r="E1220" t="s">
        <v>58</v>
      </c>
      <c r="F1220">
        <v>125.9</v>
      </c>
      <c r="G1220" t="s">
        <v>352</v>
      </c>
      <c r="H1220">
        <f>electric_vehicles_dataset[[#This Row],[Battery_Capacity_kWh]]/electric_vehicles_dataset[[#This Row],[Range_km]]</f>
        <v>0.64896907216494848</v>
      </c>
      <c r="I1220">
        <v>194</v>
      </c>
      <c r="J1220" t="s">
        <v>34</v>
      </c>
      <c r="K1220">
        <v>7</v>
      </c>
      <c r="L1220" s="1">
        <v>68771.58</v>
      </c>
      <c r="M1220" s="1" t="str" cm="1">
        <f t="array" ref="M122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20" t="s">
        <v>165</v>
      </c>
      <c r="O1220" t="s">
        <v>182</v>
      </c>
      <c r="P1220" s="2" t="s">
        <v>394</v>
      </c>
      <c r="Q1220">
        <v>2</v>
      </c>
      <c r="R1220" t="s">
        <v>391</v>
      </c>
      <c r="S1220" s="1">
        <f>electric_vehicles_dataset[[#This Row],[Units_Sold_2024]]*electric_vehicles_dataset[[#This Row],[Price_USD]]</f>
        <v>30465809.940000001</v>
      </c>
      <c r="T1220">
        <v>3</v>
      </c>
      <c r="U1220">
        <v>443</v>
      </c>
      <c r="V1220">
        <v>4</v>
      </c>
    </row>
    <row r="1221" spans="1:22" x14ac:dyDescent="0.35">
      <c r="A1221">
        <v>1220</v>
      </c>
      <c r="B1221" t="s">
        <v>122</v>
      </c>
      <c r="C1221" t="s">
        <v>186</v>
      </c>
      <c r="D1221">
        <v>2018</v>
      </c>
      <c r="E1221" t="s">
        <v>104</v>
      </c>
      <c r="F1221">
        <v>121</v>
      </c>
      <c r="G1221" t="s">
        <v>352</v>
      </c>
      <c r="H1221">
        <f>electric_vehicles_dataset[[#This Row],[Battery_Capacity_kWh]]/electric_vehicles_dataset[[#This Row],[Range_km]]</f>
        <v>0.30174563591022446</v>
      </c>
      <c r="I1221">
        <v>401</v>
      </c>
      <c r="J1221" t="s">
        <v>48</v>
      </c>
      <c r="K1221">
        <v>4</v>
      </c>
      <c r="L1221" s="1">
        <v>76176.72</v>
      </c>
      <c r="M1221" s="1" t="str" cm="1">
        <f t="array" ref="M122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21" t="s">
        <v>257</v>
      </c>
      <c r="O1221" t="s">
        <v>265</v>
      </c>
      <c r="P1221" s="2" t="s">
        <v>389</v>
      </c>
      <c r="Q1221">
        <v>2</v>
      </c>
      <c r="R1221" t="s">
        <v>391</v>
      </c>
      <c r="S1221" s="1">
        <f>electric_vehicles_dataset[[#This Row],[Units_Sold_2024]]*electric_vehicles_dataset[[#This Row],[Price_USD]]</f>
        <v>1456498886.4000001</v>
      </c>
      <c r="T1221">
        <v>5</v>
      </c>
      <c r="U1221">
        <v>19120</v>
      </c>
      <c r="V1221">
        <v>3</v>
      </c>
    </row>
    <row r="1222" spans="1:22" x14ac:dyDescent="0.35">
      <c r="A1222">
        <v>1221</v>
      </c>
      <c r="B1222" t="s">
        <v>87</v>
      </c>
      <c r="C1222" t="s">
        <v>191</v>
      </c>
      <c r="D1222">
        <v>2021</v>
      </c>
      <c r="E1222" t="s">
        <v>26</v>
      </c>
      <c r="F1222">
        <v>35.1</v>
      </c>
      <c r="G1222" t="s">
        <v>357</v>
      </c>
      <c r="H1222">
        <f>electric_vehicles_dataset[[#This Row],[Battery_Capacity_kWh]]/electric_vehicles_dataset[[#This Row],[Range_km]]</f>
        <v>7.0623742454728369E-2</v>
      </c>
      <c r="I1222">
        <v>497</v>
      </c>
      <c r="J1222" t="s">
        <v>38</v>
      </c>
      <c r="K1222">
        <v>11</v>
      </c>
      <c r="L1222" s="1">
        <v>55618.92</v>
      </c>
      <c r="M1222" s="1" t="str" cm="1">
        <f t="array" ref="M122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22" t="s">
        <v>271</v>
      </c>
      <c r="O1222" t="s">
        <v>67</v>
      </c>
      <c r="P1222" s="2" t="s">
        <v>394</v>
      </c>
      <c r="Q1222">
        <v>3</v>
      </c>
      <c r="R1222" t="s">
        <v>397</v>
      </c>
      <c r="S1222" s="1">
        <f>electric_vehicles_dataset[[#This Row],[Units_Sold_2024]]*electric_vehicles_dataset[[#This Row],[Price_USD]]</f>
        <v>189994230.72</v>
      </c>
      <c r="T1222">
        <v>3</v>
      </c>
      <c r="U1222">
        <v>3416</v>
      </c>
      <c r="V1222">
        <v>5</v>
      </c>
    </row>
    <row r="1223" spans="1:22" x14ac:dyDescent="0.35">
      <c r="A1223">
        <v>1222</v>
      </c>
      <c r="B1223" t="s">
        <v>144</v>
      </c>
      <c r="C1223" t="s">
        <v>273</v>
      </c>
      <c r="D1223">
        <v>2023</v>
      </c>
      <c r="E1223" t="s">
        <v>73</v>
      </c>
      <c r="F1223">
        <v>109.2</v>
      </c>
      <c r="G1223" t="s">
        <v>361</v>
      </c>
      <c r="H1223">
        <f>electric_vehicles_dataset[[#This Row],[Battery_Capacity_kWh]]/electric_vehicles_dataset[[#This Row],[Range_km]]</f>
        <v>0.67407407407407405</v>
      </c>
      <c r="I1223">
        <v>162</v>
      </c>
      <c r="J1223" t="s">
        <v>356</v>
      </c>
      <c r="K1223">
        <v>11</v>
      </c>
      <c r="L1223" s="1">
        <v>128634.2</v>
      </c>
      <c r="M1223" s="1" t="str" cm="1">
        <f t="array" ref="M122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23" t="s">
        <v>177</v>
      </c>
      <c r="O1223" t="s">
        <v>44</v>
      </c>
      <c r="P1223" s="2" t="s">
        <v>389</v>
      </c>
      <c r="Q1223">
        <v>0</v>
      </c>
      <c r="R1223" t="s">
        <v>390</v>
      </c>
      <c r="S1223" s="1">
        <f>electric_vehicles_dataset[[#This Row],[Units_Sold_2024]]*electric_vehicles_dataset[[#This Row],[Price_USD]]</f>
        <v>2347702784.1999998</v>
      </c>
      <c r="T1223">
        <v>3</v>
      </c>
      <c r="U1223">
        <v>18251</v>
      </c>
      <c r="V1223">
        <v>4</v>
      </c>
    </row>
    <row r="1224" spans="1:22" x14ac:dyDescent="0.35">
      <c r="A1224">
        <v>1223</v>
      </c>
      <c r="B1224" t="s">
        <v>56</v>
      </c>
      <c r="C1224" t="s">
        <v>57</v>
      </c>
      <c r="D1224">
        <v>2018</v>
      </c>
      <c r="E1224" t="s">
        <v>104</v>
      </c>
      <c r="F1224">
        <v>126</v>
      </c>
      <c r="G1224" t="s">
        <v>352</v>
      </c>
      <c r="H1224">
        <f>electric_vehicles_dataset[[#This Row],[Battery_Capacity_kWh]]/electric_vehicles_dataset[[#This Row],[Range_km]]</f>
        <v>0.28899082568807338</v>
      </c>
      <c r="I1224">
        <v>436</v>
      </c>
      <c r="J1224" t="s">
        <v>105</v>
      </c>
      <c r="K1224">
        <v>9</v>
      </c>
      <c r="L1224" s="1">
        <v>51146.18</v>
      </c>
      <c r="M1224" s="1" t="str" cm="1">
        <f t="array" ref="M122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24" t="s">
        <v>246</v>
      </c>
      <c r="O1224" t="s">
        <v>40</v>
      </c>
      <c r="P1224" s="2" t="s">
        <v>395</v>
      </c>
      <c r="Q1224">
        <v>5</v>
      </c>
      <c r="R1224" t="s">
        <v>392</v>
      </c>
      <c r="S1224" s="1">
        <f>electric_vehicles_dataset[[#This Row],[Units_Sold_2024]]*electric_vehicles_dataset[[#This Row],[Price_USD]]</f>
        <v>188422527.12</v>
      </c>
      <c r="T1224">
        <v>3</v>
      </c>
      <c r="U1224">
        <v>3684</v>
      </c>
      <c r="V1224">
        <v>4</v>
      </c>
    </row>
    <row r="1225" spans="1:22" x14ac:dyDescent="0.35">
      <c r="A1225">
        <v>1224</v>
      </c>
      <c r="B1225" t="s">
        <v>112</v>
      </c>
      <c r="C1225" t="s">
        <v>237</v>
      </c>
      <c r="D1225">
        <v>2017</v>
      </c>
      <c r="E1225" t="s">
        <v>26</v>
      </c>
      <c r="F1225">
        <v>104.3</v>
      </c>
      <c r="G1225" t="s">
        <v>361</v>
      </c>
      <c r="H1225">
        <f>electric_vehicles_dataset[[#This Row],[Battery_Capacity_kWh]]/electric_vehicles_dataset[[#This Row],[Range_km]]</f>
        <v>0.20174081237911023</v>
      </c>
      <c r="I1225">
        <v>517</v>
      </c>
      <c r="J1225" t="s">
        <v>76</v>
      </c>
      <c r="K1225">
        <v>9</v>
      </c>
      <c r="L1225" s="1">
        <v>79310.66</v>
      </c>
      <c r="M1225" s="1" t="str" cm="1">
        <f t="array" ref="M122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25" t="s">
        <v>219</v>
      </c>
      <c r="O1225" t="s">
        <v>44</v>
      </c>
      <c r="P1225" s="2" t="s">
        <v>389</v>
      </c>
      <c r="Q1225">
        <v>3</v>
      </c>
      <c r="R1225" t="s">
        <v>397</v>
      </c>
      <c r="S1225" s="1">
        <f>electric_vehicles_dataset[[#This Row],[Units_Sold_2024]]*electric_vehicles_dataset[[#This Row],[Price_USD]]</f>
        <v>1040317927.22</v>
      </c>
      <c r="T1225">
        <v>4</v>
      </c>
      <c r="U1225">
        <v>13117</v>
      </c>
      <c r="V1225">
        <v>5</v>
      </c>
    </row>
    <row r="1226" spans="1:22" x14ac:dyDescent="0.35">
      <c r="A1226">
        <v>1225</v>
      </c>
      <c r="B1226" t="s">
        <v>56</v>
      </c>
      <c r="C1226" t="s">
        <v>57</v>
      </c>
      <c r="D1226">
        <v>2018</v>
      </c>
      <c r="E1226" t="s">
        <v>31</v>
      </c>
      <c r="F1226">
        <v>80.8</v>
      </c>
      <c r="G1226" t="s">
        <v>350</v>
      </c>
      <c r="H1226">
        <f>electric_vehicles_dataset[[#This Row],[Battery_Capacity_kWh]]/electric_vehicles_dataset[[#This Row],[Range_km]]</f>
        <v>0.51464968152866242</v>
      </c>
      <c r="I1226">
        <v>157</v>
      </c>
      <c r="J1226" t="s">
        <v>105</v>
      </c>
      <c r="K1226">
        <v>11</v>
      </c>
      <c r="L1226" s="1">
        <v>107484.66</v>
      </c>
      <c r="M1226" s="1" t="str" cm="1">
        <f t="array" ref="M122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26" t="s">
        <v>210</v>
      </c>
      <c r="O1226" t="s">
        <v>202</v>
      </c>
      <c r="P1226" s="2" t="s">
        <v>393</v>
      </c>
      <c r="Q1226">
        <v>3</v>
      </c>
      <c r="R1226" t="s">
        <v>397</v>
      </c>
      <c r="S1226" s="1">
        <f>electric_vehicles_dataset[[#This Row],[Units_Sold_2024]]*electric_vehicles_dataset[[#This Row],[Price_USD]]</f>
        <v>1294222791.0599999</v>
      </c>
      <c r="T1226">
        <v>4</v>
      </c>
      <c r="U1226">
        <v>12041</v>
      </c>
      <c r="V1226">
        <v>4</v>
      </c>
    </row>
    <row r="1227" spans="1:22" x14ac:dyDescent="0.35">
      <c r="A1227">
        <v>1226</v>
      </c>
      <c r="B1227" t="s">
        <v>224</v>
      </c>
      <c r="C1227" t="s">
        <v>280</v>
      </c>
      <c r="D1227">
        <v>2015</v>
      </c>
      <c r="E1227" t="s">
        <v>84</v>
      </c>
      <c r="F1227">
        <v>139.69999999999999</v>
      </c>
      <c r="G1227" t="s">
        <v>352</v>
      </c>
      <c r="H1227">
        <f>electric_vehicles_dataset[[#This Row],[Battery_Capacity_kWh]]/electric_vehicles_dataset[[#This Row],[Range_km]]</f>
        <v>0.40259365994236307</v>
      </c>
      <c r="I1227">
        <v>347</v>
      </c>
      <c r="J1227" t="s">
        <v>85</v>
      </c>
      <c r="K1227">
        <v>9</v>
      </c>
      <c r="L1227" s="1">
        <v>37885.51</v>
      </c>
      <c r="M1227" s="1" t="str" cm="1">
        <f t="array" ref="M122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27" t="s">
        <v>229</v>
      </c>
      <c r="O1227" t="s">
        <v>89</v>
      </c>
      <c r="P1227" s="2" t="s">
        <v>389</v>
      </c>
      <c r="Q1227">
        <v>1</v>
      </c>
      <c r="R1227" t="s">
        <v>391</v>
      </c>
      <c r="S1227" s="1">
        <f>electric_vehicles_dataset[[#This Row],[Units_Sold_2024]]*electric_vehicles_dataset[[#This Row],[Price_USD]]</f>
        <v>373816327.17000002</v>
      </c>
      <c r="T1227">
        <v>4</v>
      </c>
      <c r="U1227">
        <v>9867</v>
      </c>
      <c r="V1227">
        <v>3</v>
      </c>
    </row>
    <row r="1228" spans="1:22" x14ac:dyDescent="0.35">
      <c r="A1228">
        <v>1227</v>
      </c>
      <c r="B1228" t="s">
        <v>261</v>
      </c>
      <c r="C1228" t="s">
        <v>370</v>
      </c>
      <c r="D1228">
        <v>2016</v>
      </c>
      <c r="E1228" t="s">
        <v>183</v>
      </c>
      <c r="F1228">
        <v>139.4</v>
      </c>
      <c r="G1228" t="s">
        <v>352</v>
      </c>
      <c r="H1228">
        <f>electric_vehicles_dataset[[#This Row],[Battery_Capacity_kWh]]/electric_vehicles_dataset[[#This Row],[Range_km]]</f>
        <v>0.28448979591836737</v>
      </c>
      <c r="I1228">
        <v>490</v>
      </c>
      <c r="J1228" t="s">
        <v>34</v>
      </c>
      <c r="K1228">
        <v>7</v>
      </c>
      <c r="L1228" s="1">
        <v>105305.58</v>
      </c>
      <c r="M1228" s="1" t="str" cm="1">
        <f t="array" ref="M122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28" t="s">
        <v>143</v>
      </c>
      <c r="O1228" t="s">
        <v>230</v>
      </c>
      <c r="P1228" s="2" t="s">
        <v>389</v>
      </c>
      <c r="Q1228">
        <v>0</v>
      </c>
      <c r="R1228" t="s">
        <v>390</v>
      </c>
      <c r="S1228" s="1">
        <f>electric_vehicles_dataset[[#This Row],[Units_Sold_2024]]*electric_vehicles_dataset[[#This Row],[Price_USD]]</f>
        <v>1193428138.1400001</v>
      </c>
      <c r="T1228">
        <v>5</v>
      </c>
      <c r="U1228">
        <v>11333</v>
      </c>
      <c r="V1228">
        <v>4</v>
      </c>
    </row>
    <row r="1229" spans="1:22" x14ac:dyDescent="0.35">
      <c r="A1229">
        <v>1228</v>
      </c>
      <c r="B1229" t="s">
        <v>215</v>
      </c>
      <c r="C1229" t="s">
        <v>216</v>
      </c>
      <c r="D1229">
        <v>2023</v>
      </c>
      <c r="E1229" t="s">
        <v>183</v>
      </c>
      <c r="F1229">
        <v>70.8</v>
      </c>
      <c r="G1229" t="s">
        <v>351</v>
      </c>
      <c r="H1229">
        <f>electric_vehicles_dataset[[#This Row],[Battery_Capacity_kWh]]/electric_vehicles_dataset[[#This Row],[Range_km]]</f>
        <v>0.12553191489361701</v>
      </c>
      <c r="I1229">
        <v>564</v>
      </c>
      <c r="J1229" t="s">
        <v>76</v>
      </c>
      <c r="K1229">
        <v>7</v>
      </c>
      <c r="L1229" s="1">
        <v>52378.44</v>
      </c>
      <c r="M1229" s="1" t="str" cm="1">
        <f t="array" ref="M12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29" t="s">
        <v>254</v>
      </c>
      <c r="O1229" t="s">
        <v>230</v>
      </c>
      <c r="P1229" s="2" t="s">
        <v>389</v>
      </c>
      <c r="Q1229">
        <v>2</v>
      </c>
      <c r="R1229" t="s">
        <v>391</v>
      </c>
      <c r="S1229" s="1">
        <f>electric_vehicles_dataset[[#This Row],[Units_Sold_2024]]*electric_vehicles_dataset[[#This Row],[Price_USD]]</f>
        <v>604551954.48000002</v>
      </c>
      <c r="T1229">
        <v>5</v>
      </c>
      <c r="U1229">
        <v>11542</v>
      </c>
      <c r="V1229">
        <v>5</v>
      </c>
    </row>
    <row r="1230" spans="1:22" x14ac:dyDescent="0.35">
      <c r="A1230">
        <v>1229</v>
      </c>
      <c r="B1230" t="s">
        <v>94</v>
      </c>
      <c r="C1230" t="s">
        <v>99</v>
      </c>
      <c r="D1230">
        <v>2018</v>
      </c>
      <c r="E1230" t="s">
        <v>101</v>
      </c>
      <c r="F1230">
        <v>42</v>
      </c>
      <c r="G1230" t="s">
        <v>348</v>
      </c>
      <c r="H1230">
        <f>electric_vehicles_dataset[[#This Row],[Battery_Capacity_kWh]]/electric_vehicles_dataset[[#This Row],[Range_km]]</f>
        <v>9.8360655737704916E-2</v>
      </c>
      <c r="I1230">
        <v>427</v>
      </c>
      <c r="J1230" t="s">
        <v>345</v>
      </c>
      <c r="K1230">
        <v>3</v>
      </c>
      <c r="L1230" s="1">
        <v>103913.83</v>
      </c>
      <c r="M1230" s="1" t="str" cm="1">
        <f t="array" ref="M123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30" t="s">
        <v>212</v>
      </c>
      <c r="O1230" t="s">
        <v>139</v>
      </c>
      <c r="P1230" s="2" t="s">
        <v>389</v>
      </c>
      <c r="Q1230">
        <v>0</v>
      </c>
      <c r="R1230" t="s">
        <v>390</v>
      </c>
      <c r="S1230" s="1">
        <f>electric_vehicles_dataset[[#This Row],[Units_Sold_2024]]*electric_vehicles_dataset[[#This Row],[Price_USD]]</f>
        <v>756077027.08000004</v>
      </c>
      <c r="T1230">
        <v>5</v>
      </c>
      <c r="U1230">
        <v>7276</v>
      </c>
      <c r="V1230">
        <v>4</v>
      </c>
    </row>
    <row r="1231" spans="1:22" x14ac:dyDescent="0.35">
      <c r="A1231">
        <v>1230</v>
      </c>
      <c r="B1231" t="s">
        <v>128</v>
      </c>
      <c r="C1231" t="s">
        <v>268</v>
      </c>
      <c r="D1231">
        <v>2018</v>
      </c>
      <c r="E1231" t="s">
        <v>42</v>
      </c>
      <c r="F1231">
        <v>75.5</v>
      </c>
      <c r="G1231" t="s">
        <v>351</v>
      </c>
      <c r="H1231">
        <f>electric_vehicles_dataset[[#This Row],[Battery_Capacity_kWh]]/electric_vehicles_dataset[[#This Row],[Range_km]]</f>
        <v>0.21030640668523676</v>
      </c>
      <c r="I1231">
        <v>359</v>
      </c>
      <c r="J1231" t="s">
        <v>149</v>
      </c>
      <c r="K1231">
        <v>12</v>
      </c>
      <c r="L1231" s="1">
        <v>86345.09</v>
      </c>
      <c r="M1231" s="1" t="str" cm="1">
        <f t="array" ref="M123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31" t="s">
        <v>143</v>
      </c>
      <c r="O1231" t="s">
        <v>67</v>
      </c>
      <c r="P1231" s="2" t="s">
        <v>394</v>
      </c>
      <c r="Q1231">
        <v>3</v>
      </c>
      <c r="R1231" t="s">
        <v>397</v>
      </c>
      <c r="S1231" s="1">
        <f>electric_vehicles_dataset[[#This Row],[Units_Sold_2024]]*electric_vehicles_dataset[[#This Row],[Price_USD]]</f>
        <v>1408547453.1699998</v>
      </c>
      <c r="T1231">
        <v>5</v>
      </c>
      <c r="U1231">
        <v>16313</v>
      </c>
      <c r="V1231">
        <v>3</v>
      </c>
    </row>
    <row r="1232" spans="1:22" x14ac:dyDescent="0.35">
      <c r="A1232">
        <v>1231</v>
      </c>
      <c r="B1232" t="s">
        <v>51</v>
      </c>
      <c r="C1232" t="s">
        <v>162</v>
      </c>
      <c r="D1232">
        <v>2017</v>
      </c>
      <c r="E1232" t="s">
        <v>26</v>
      </c>
      <c r="F1232">
        <v>131</v>
      </c>
      <c r="G1232" t="s">
        <v>352</v>
      </c>
      <c r="H1232">
        <f>electric_vehicles_dataset[[#This Row],[Battery_Capacity_kWh]]/electric_vehicles_dataset[[#This Row],[Range_km]]</f>
        <v>0.44406779661016949</v>
      </c>
      <c r="I1232">
        <v>295</v>
      </c>
      <c r="J1232" t="s">
        <v>27</v>
      </c>
      <c r="K1232">
        <v>2</v>
      </c>
      <c r="L1232" s="1">
        <v>88967.06</v>
      </c>
      <c r="M1232" s="1" t="str" cm="1">
        <f t="array" ref="M12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32" t="s">
        <v>240</v>
      </c>
      <c r="O1232" t="s">
        <v>164</v>
      </c>
      <c r="P1232" s="2" t="s">
        <v>394</v>
      </c>
      <c r="Q1232">
        <v>3</v>
      </c>
      <c r="R1232" t="s">
        <v>397</v>
      </c>
      <c r="S1232" s="1">
        <f>electric_vehicles_dataset[[#This Row],[Units_Sold_2024]]*electric_vehicles_dataset[[#This Row],[Price_USD]]</f>
        <v>647947097.98000002</v>
      </c>
      <c r="T1232">
        <v>5</v>
      </c>
      <c r="U1232">
        <v>7283</v>
      </c>
      <c r="V1232">
        <v>5</v>
      </c>
    </row>
    <row r="1233" spans="1:22" x14ac:dyDescent="0.35">
      <c r="A1233">
        <v>1232</v>
      </c>
      <c r="B1233" t="s">
        <v>94</v>
      </c>
      <c r="C1233" t="s">
        <v>360</v>
      </c>
      <c r="D1233">
        <v>2025</v>
      </c>
      <c r="E1233" t="s">
        <v>101</v>
      </c>
      <c r="F1233">
        <v>111.8</v>
      </c>
      <c r="G1233" t="s">
        <v>361</v>
      </c>
      <c r="H1233">
        <f>electric_vehicles_dataset[[#This Row],[Battery_Capacity_kWh]]/electric_vehicles_dataset[[#This Row],[Range_km]]</f>
        <v>0.18853288364249579</v>
      </c>
      <c r="I1233">
        <v>593</v>
      </c>
      <c r="J1233" t="s">
        <v>356</v>
      </c>
      <c r="K1233">
        <v>8</v>
      </c>
      <c r="L1233" s="1">
        <v>131017.74</v>
      </c>
      <c r="M1233" s="1" t="str" cm="1">
        <f t="array" ref="M12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33" t="s">
        <v>196</v>
      </c>
      <c r="O1233" t="s">
        <v>161</v>
      </c>
      <c r="P1233" s="2" t="s">
        <v>389</v>
      </c>
      <c r="Q1233">
        <v>2</v>
      </c>
      <c r="R1233" t="s">
        <v>391</v>
      </c>
      <c r="S1233" s="1">
        <f>electric_vehicles_dataset[[#This Row],[Units_Sold_2024]]*electric_vehicles_dataset[[#This Row],[Price_USD]]</f>
        <v>1900150283.22</v>
      </c>
      <c r="T1233">
        <v>4</v>
      </c>
      <c r="U1233">
        <v>14503</v>
      </c>
      <c r="V1233">
        <v>4</v>
      </c>
    </row>
    <row r="1234" spans="1:22" x14ac:dyDescent="0.35">
      <c r="A1234">
        <v>1233</v>
      </c>
      <c r="B1234" t="s">
        <v>60</v>
      </c>
      <c r="C1234" t="s">
        <v>342</v>
      </c>
      <c r="D1234">
        <v>2018</v>
      </c>
      <c r="E1234" t="s">
        <v>31</v>
      </c>
      <c r="F1234">
        <v>147.69999999999999</v>
      </c>
      <c r="G1234" t="s">
        <v>386</v>
      </c>
      <c r="H1234">
        <f>electric_vehicles_dataset[[#This Row],[Battery_Capacity_kWh]]/electric_vehicles_dataset[[#This Row],[Range_km]]</f>
        <v>0.82977528089887631</v>
      </c>
      <c r="I1234">
        <v>178</v>
      </c>
      <c r="J1234" t="s">
        <v>18</v>
      </c>
      <c r="K1234">
        <v>12</v>
      </c>
      <c r="L1234" s="1">
        <v>140357.12</v>
      </c>
      <c r="M1234" s="1" t="str" cm="1">
        <f t="array" ref="M123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34" t="s">
        <v>246</v>
      </c>
      <c r="O1234" t="s">
        <v>135</v>
      </c>
      <c r="P1234" s="2" t="s">
        <v>389</v>
      </c>
      <c r="Q1234">
        <v>4</v>
      </c>
      <c r="R1234" t="s">
        <v>392</v>
      </c>
      <c r="S1234" s="1">
        <f>electric_vehicles_dataset[[#This Row],[Units_Sold_2024]]*electric_vehicles_dataset[[#This Row],[Price_USD]]</f>
        <v>2576535651.8400002</v>
      </c>
      <c r="T1234">
        <v>4</v>
      </c>
      <c r="U1234">
        <v>18357</v>
      </c>
      <c r="V1234">
        <v>5</v>
      </c>
    </row>
    <row r="1235" spans="1:22" x14ac:dyDescent="0.35">
      <c r="A1235">
        <v>1234</v>
      </c>
      <c r="B1235" t="s">
        <v>269</v>
      </c>
      <c r="C1235" t="s">
        <v>329</v>
      </c>
      <c r="D1235">
        <v>2025</v>
      </c>
      <c r="E1235" t="s">
        <v>73</v>
      </c>
      <c r="F1235">
        <v>102.1</v>
      </c>
      <c r="G1235" t="s">
        <v>361</v>
      </c>
      <c r="H1235">
        <f>electric_vehicles_dataset[[#This Row],[Battery_Capacity_kWh]]/electric_vehicles_dataset[[#This Row],[Range_km]]</f>
        <v>0.52628865979381445</v>
      </c>
      <c r="I1235">
        <v>194</v>
      </c>
      <c r="J1235" t="s">
        <v>85</v>
      </c>
      <c r="K1235">
        <v>9</v>
      </c>
      <c r="L1235" s="1">
        <v>72448.679999999993</v>
      </c>
      <c r="M1235" s="1" t="str" cm="1">
        <f t="array" ref="M123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35" t="s">
        <v>279</v>
      </c>
      <c r="O1235" t="s">
        <v>110</v>
      </c>
      <c r="P1235" s="2" t="s">
        <v>394</v>
      </c>
      <c r="Q1235">
        <v>4</v>
      </c>
      <c r="R1235" t="s">
        <v>392</v>
      </c>
      <c r="S1235" s="1">
        <f>electric_vehicles_dataset[[#This Row],[Units_Sold_2024]]*electric_vehicles_dataset[[#This Row],[Price_USD]]</f>
        <v>117004618.19999999</v>
      </c>
      <c r="T1235">
        <v>4</v>
      </c>
      <c r="U1235">
        <v>1615</v>
      </c>
      <c r="V1235">
        <v>4</v>
      </c>
    </row>
    <row r="1236" spans="1:22" x14ac:dyDescent="0.35">
      <c r="A1236">
        <v>1235</v>
      </c>
      <c r="B1236" t="s">
        <v>87</v>
      </c>
      <c r="C1236" t="s">
        <v>381</v>
      </c>
      <c r="D1236">
        <v>2018</v>
      </c>
      <c r="E1236" t="s">
        <v>58</v>
      </c>
      <c r="F1236">
        <v>131.19999999999999</v>
      </c>
      <c r="G1236" t="s">
        <v>352</v>
      </c>
      <c r="H1236">
        <f>electric_vehicles_dataset[[#This Row],[Battery_Capacity_kWh]]/electric_vehicles_dataset[[#This Row],[Range_km]]</f>
        <v>0.83037974683544291</v>
      </c>
      <c r="I1236">
        <v>158</v>
      </c>
      <c r="J1236" t="s">
        <v>27</v>
      </c>
      <c r="K1236">
        <v>4</v>
      </c>
      <c r="L1236" s="1">
        <v>112040.9</v>
      </c>
      <c r="M1236" s="1" t="str" cm="1">
        <f t="array" ref="M123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36" t="s">
        <v>214</v>
      </c>
      <c r="O1236" t="s">
        <v>134</v>
      </c>
      <c r="P1236" s="2" t="s">
        <v>389</v>
      </c>
      <c r="Q1236">
        <v>4</v>
      </c>
      <c r="R1236" t="s">
        <v>392</v>
      </c>
      <c r="S1236" s="1">
        <f>electric_vehicles_dataset[[#This Row],[Units_Sold_2024]]*electric_vehicles_dataset[[#This Row],[Price_USD]]</f>
        <v>841091036.29999995</v>
      </c>
      <c r="T1236">
        <v>4</v>
      </c>
      <c r="U1236">
        <v>7507</v>
      </c>
      <c r="V1236">
        <v>5</v>
      </c>
    </row>
    <row r="1237" spans="1:22" x14ac:dyDescent="0.35">
      <c r="A1237">
        <v>1236</v>
      </c>
      <c r="B1237" t="s">
        <v>234</v>
      </c>
      <c r="C1237" t="s">
        <v>235</v>
      </c>
      <c r="D1237">
        <v>2025</v>
      </c>
      <c r="E1237" t="s">
        <v>47</v>
      </c>
      <c r="F1237">
        <v>62.1</v>
      </c>
      <c r="G1237" t="s">
        <v>351</v>
      </c>
      <c r="H1237">
        <f>electric_vehicles_dataset[[#This Row],[Battery_Capacity_kWh]]/electric_vehicles_dataset[[#This Row],[Range_km]]</f>
        <v>0.58584905660377362</v>
      </c>
      <c r="I1237">
        <v>106</v>
      </c>
      <c r="J1237" t="s">
        <v>364</v>
      </c>
      <c r="K1237">
        <v>3</v>
      </c>
      <c r="L1237" s="1">
        <v>76244.009999999995</v>
      </c>
      <c r="M1237" s="1" t="str" cm="1">
        <f t="array" ref="M123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37" t="s">
        <v>253</v>
      </c>
      <c r="O1237" t="s">
        <v>67</v>
      </c>
      <c r="P1237" s="2" t="s">
        <v>394</v>
      </c>
      <c r="Q1237">
        <v>2</v>
      </c>
      <c r="R1237" t="s">
        <v>391</v>
      </c>
      <c r="S1237" s="1">
        <f>electric_vehicles_dataset[[#This Row],[Units_Sold_2024]]*electric_vehicles_dataset[[#This Row],[Price_USD]]</f>
        <v>1183002059.1599998</v>
      </c>
      <c r="T1237">
        <v>5</v>
      </c>
      <c r="U1237">
        <v>15516</v>
      </c>
      <c r="V1237">
        <v>5</v>
      </c>
    </row>
    <row r="1238" spans="1:22" x14ac:dyDescent="0.35">
      <c r="A1238">
        <v>1237</v>
      </c>
      <c r="B1238" t="s">
        <v>187</v>
      </c>
      <c r="C1238" t="s">
        <v>293</v>
      </c>
      <c r="D1238">
        <v>2016</v>
      </c>
      <c r="E1238" t="s">
        <v>104</v>
      </c>
      <c r="F1238">
        <v>115</v>
      </c>
      <c r="G1238" t="s">
        <v>361</v>
      </c>
      <c r="H1238">
        <f>electric_vehicles_dataset[[#This Row],[Battery_Capacity_kWh]]/electric_vehicles_dataset[[#This Row],[Range_km]]</f>
        <v>0.22817460317460317</v>
      </c>
      <c r="I1238">
        <v>504</v>
      </c>
      <c r="J1238" t="s">
        <v>356</v>
      </c>
      <c r="K1238">
        <v>1</v>
      </c>
      <c r="L1238" s="1">
        <v>68210.45</v>
      </c>
      <c r="M1238" s="1" t="str" cm="1">
        <f t="array" ref="M123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38" t="s">
        <v>59</v>
      </c>
      <c r="O1238" t="s">
        <v>92</v>
      </c>
      <c r="P1238" s="2" t="s">
        <v>394</v>
      </c>
      <c r="Q1238">
        <v>5</v>
      </c>
      <c r="R1238" t="s">
        <v>392</v>
      </c>
      <c r="S1238" s="1">
        <f>electric_vehicles_dataset[[#This Row],[Units_Sold_2024]]*electric_vehicles_dataset[[#This Row],[Price_USD]]</f>
        <v>598205646.5</v>
      </c>
      <c r="T1238">
        <v>4</v>
      </c>
      <c r="U1238">
        <v>8770</v>
      </c>
      <c r="V1238">
        <v>3</v>
      </c>
    </row>
    <row r="1239" spans="1:22" x14ac:dyDescent="0.35">
      <c r="A1239">
        <v>1238</v>
      </c>
      <c r="B1239" t="s">
        <v>29</v>
      </c>
      <c r="C1239" t="s">
        <v>378</v>
      </c>
      <c r="D1239">
        <v>2025</v>
      </c>
      <c r="E1239" t="s">
        <v>104</v>
      </c>
      <c r="F1239">
        <v>62.9</v>
      </c>
      <c r="G1239" t="s">
        <v>351</v>
      </c>
      <c r="H1239">
        <f>electric_vehicles_dataset[[#This Row],[Battery_Capacity_kWh]]/electric_vehicles_dataset[[#This Row],[Range_km]]</f>
        <v>0.26317991631799165</v>
      </c>
      <c r="I1239">
        <v>239</v>
      </c>
      <c r="J1239" t="s">
        <v>76</v>
      </c>
      <c r="K1239">
        <v>7</v>
      </c>
      <c r="L1239" s="1">
        <v>110463.03</v>
      </c>
      <c r="M1239" s="1" t="str" cm="1">
        <f t="array" ref="M123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39" t="s">
        <v>59</v>
      </c>
      <c r="O1239" t="s">
        <v>110</v>
      </c>
      <c r="P1239" s="2" t="s">
        <v>394</v>
      </c>
      <c r="Q1239">
        <v>1</v>
      </c>
      <c r="R1239" t="s">
        <v>391</v>
      </c>
      <c r="S1239" s="1">
        <f>electric_vehicles_dataset[[#This Row],[Units_Sold_2024]]*electric_vehicles_dataset[[#This Row],[Price_USD]]</f>
        <v>1294847637.6600001</v>
      </c>
      <c r="T1239">
        <v>4</v>
      </c>
      <c r="U1239">
        <v>11722</v>
      </c>
      <c r="V1239">
        <v>3</v>
      </c>
    </row>
    <row r="1240" spans="1:22" x14ac:dyDescent="0.35">
      <c r="A1240">
        <v>1239</v>
      </c>
      <c r="B1240" t="s">
        <v>71</v>
      </c>
      <c r="C1240" t="s">
        <v>321</v>
      </c>
      <c r="D1240">
        <v>2015</v>
      </c>
      <c r="E1240" t="s">
        <v>183</v>
      </c>
      <c r="F1240">
        <v>37.799999999999997</v>
      </c>
      <c r="G1240" t="s">
        <v>357</v>
      </c>
      <c r="H1240">
        <f>electric_vehicles_dataset[[#This Row],[Battery_Capacity_kWh]]/electric_vehicles_dataset[[#This Row],[Range_km]]</f>
        <v>0.1650655021834061</v>
      </c>
      <c r="I1240">
        <v>229</v>
      </c>
      <c r="J1240" t="s">
        <v>85</v>
      </c>
      <c r="K1240">
        <v>6</v>
      </c>
      <c r="L1240" s="1">
        <v>48995.49</v>
      </c>
      <c r="M1240" s="1" t="str" cm="1">
        <f t="array" ref="M124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40" t="s">
        <v>22</v>
      </c>
      <c r="O1240" t="s">
        <v>92</v>
      </c>
      <c r="P1240" s="2" t="s">
        <v>394</v>
      </c>
      <c r="Q1240">
        <v>5</v>
      </c>
      <c r="R1240" t="s">
        <v>392</v>
      </c>
      <c r="S1240" s="1">
        <f>electric_vehicles_dataset[[#This Row],[Units_Sold_2024]]*electric_vehicles_dataset[[#This Row],[Price_USD]]</f>
        <v>144144731.57999998</v>
      </c>
      <c r="T1240">
        <v>5</v>
      </c>
      <c r="U1240">
        <v>2942</v>
      </c>
      <c r="V1240">
        <v>3</v>
      </c>
    </row>
    <row r="1241" spans="1:22" x14ac:dyDescent="0.35">
      <c r="A1241">
        <v>1240</v>
      </c>
      <c r="B1241" t="s">
        <v>234</v>
      </c>
      <c r="C1241" t="s">
        <v>235</v>
      </c>
      <c r="D1241">
        <v>2018</v>
      </c>
      <c r="E1241" t="s">
        <v>90</v>
      </c>
      <c r="F1241">
        <v>51.7</v>
      </c>
      <c r="G1241" t="s">
        <v>348</v>
      </c>
      <c r="H1241">
        <f>electric_vehicles_dataset[[#This Row],[Battery_Capacity_kWh]]/electric_vehicles_dataset[[#This Row],[Range_km]]</f>
        <v>0.11094420600858369</v>
      </c>
      <c r="I1241">
        <v>466</v>
      </c>
      <c r="J1241" t="s">
        <v>358</v>
      </c>
      <c r="K1241">
        <v>11</v>
      </c>
      <c r="L1241" s="1">
        <v>104436.5</v>
      </c>
      <c r="M1241" s="1" t="str" cm="1">
        <f t="array" ref="M12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41" t="s">
        <v>32</v>
      </c>
      <c r="O1241" t="s">
        <v>107</v>
      </c>
      <c r="P1241" s="2" t="s">
        <v>394</v>
      </c>
      <c r="Q1241">
        <v>3</v>
      </c>
      <c r="R1241" t="s">
        <v>397</v>
      </c>
      <c r="S1241" s="1">
        <f>electric_vehicles_dataset[[#This Row],[Units_Sold_2024]]*electric_vehicles_dataset[[#This Row],[Price_USD]]</f>
        <v>1623987575</v>
      </c>
      <c r="T1241">
        <v>5</v>
      </c>
      <c r="U1241">
        <v>15550</v>
      </c>
      <c r="V1241">
        <v>3</v>
      </c>
    </row>
    <row r="1242" spans="1:22" x14ac:dyDescent="0.35">
      <c r="A1242">
        <v>1241</v>
      </c>
      <c r="B1242" t="s">
        <v>29</v>
      </c>
      <c r="C1242" t="s">
        <v>197</v>
      </c>
      <c r="D1242">
        <v>2021</v>
      </c>
      <c r="E1242" t="s">
        <v>130</v>
      </c>
      <c r="F1242">
        <v>136.1</v>
      </c>
      <c r="G1242" t="s">
        <v>352</v>
      </c>
      <c r="H1242">
        <f>electric_vehicles_dataset[[#This Row],[Battery_Capacity_kWh]]/electric_vehicles_dataset[[#This Row],[Range_km]]</f>
        <v>0.62431192660550461</v>
      </c>
      <c r="I1242">
        <v>218</v>
      </c>
      <c r="J1242" t="s">
        <v>364</v>
      </c>
      <c r="K1242">
        <v>10</v>
      </c>
      <c r="L1242" s="1">
        <v>148210.79999999999</v>
      </c>
      <c r="M1242" s="1" t="str" cm="1">
        <f t="array" ref="M12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42" t="s">
        <v>229</v>
      </c>
      <c r="O1242" t="s">
        <v>150</v>
      </c>
      <c r="P1242" s="2" t="s">
        <v>389</v>
      </c>
      <c r="Q1242">
        <v>3</v>
      </c>
      <c r="R1242" t="s">
        <v>397</v>
      </c>
      <c r="S1242" s="1">
        <f>electric_vehicles_dataset[[#This Row],[Units_Sold_2024]]*electric_vehicles_dataset[[#This Row],[Price_USD]]</f>
        <v>1646918409.5999999</v>
      </c>
      <c r="T1242">
        <v>4</v>
      </c>
      <c r="U1242">
        <v>11112</v>
      </c>
      <c r="V1242">
        <v>5</v>
      </c>
    </row>
    <row r="1243" spans="1:22" x14ac:dyDescent="0.35">
      <c r="A1243">
        <v>1242</v>
      </c>
      <c r="B1243" t="s">
        <v>261</v>
      </c>
      <c r="C1243" t="s">
        <v>370</v>
      </c>
      <c r="D1243">
        <v>2023</v>
      </c>
      <c r="E1243" t="s">
        <v>90</v>
      </c>
      <c r="F1243">
        <v>81.8</v>
      </c>
      <c r="G1243" t="s">
        <v>350</v>
      </c>
      <c r="H1243">
        <f>electric_vehicles_dataset[[#This Row],[Battery_Capacity_kWh]]/electric_vehicles_dataset[[#This Row],[Range_km]]</f>
        <v>0.2164021164021164</v>
      </c>
      <c r="I1243">
        <v>378</v>
      </c>
      <c r="J1243" t="s">
        <v>358</v>
      </c>
      <c r="K1243">
        <v>5</v>
      </c>
      <c r="L1243" s="1">
        <v>130879.21</v>
      </c>
      <c r="M1243" s="1" t="str" cm="1">
        <f t="array" ref="M124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43" t="s">
        <v>205</v>
      </c>
      <c r="O1243" t="s">
        <v>182</v>
      </c>
      <c r="P1243" s="2" t="s">
        <v>394</v>
      </c>
      <c r="Q1243">
        <v>5</v>
      </c>
      <c r="R1243" t="s">
        <v>392</v>
      </c>
      <c r="S1243" s="1">
        <f>electric_vehicles_dataset[[#This Row],[Units_Sold_2024]]*electric_vehicles_dataset[[#This Row],[Price_USD]]</f>
        <v>393161146.84000003</v>
      </c>
      <c r="T1243">
        <v>5</v>
      </c>
      <c r="U1243">
        <v>3004</v>
      </c>
      <c r="V1243">
        <v>5</v>
      </c>
    </row>
    <row r="1244" spans="1:22" x14ac:dyDescent="0.35">
      <c r="A1244">
        <v>1243</v>
      </c>
      <c r="B1244" t="s">
        <v>193</v>
      </c>
      <c r="C1244" t="s">
        <v>312</v>
      </c>
      <c r="D1244">
        <v>2020</v>
      </c>
      <c r="E1244" t="s">
        <v>133</v>
      </c>
      <c r="F1244">
        <v>44.5</v>
      </c>
      <c r="G1244" t="s">
        <v>348</v>
      </c>
      <c r="H1244">
        <f>electric_vehicles_dataset[[#This Row],[Battery_Capacity_kWh]]/electric_vehicles_dataset[[#This Row],[Range_km]]</f>
        <v>7.5680272108843538E-2</v>
      </c>
      <c r="I1244">
        <v>588</v>
      </c>
      <c r="J1244" t="s">
        <v>38</v>
      </c>
      <c r="K1244">
        <v>3</v>
      </c>
      <c r="L1244" s="1">
        <v>44962.71</v>
      </c>
      <c r="M1244" s="1" t="str" cm="1">
        <f t="array" ref="M124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44" t="s">
        <v>210</v>
      </c>
      <c r="O1244" t="s">
        <v>23</v>
      </c>
      <c r="P1244" s="2" t="s">
        <v>389</v>
      </c>
      <c r="Q1244">
        <v>5</v>
      </c>
      <c r="R1244" t="s">
        <v>392</v>
      </c>
      <c r="S1244" s="1">
        <f>electric_vehicles_dataset[[#This Row],[Units_Sold_2024]]*electric_vehicles_dataset[[#This Row],[Price_USD]]</f>
        <v>716435821.13999999</v>
      </c>
      <c r="T1244">
        <v>4</v>
      </c>
      <c r="U1244">
        <v>15934</v>
      </c>
      <c r="V1244">
        <v>4</v>
      </c>
    </row>
    <row r="1245" spans="1:22" x14ac:dyDescent="0.35">
      <c r="A1245">
        <v>1244</v>
      </c>
      <c r="B1245" t="s">
        <v>122</v>
      </c>
      <c r="C1245" t="s">
        <v>123</v>
      </c>
      <c r="D1245">
        <v>2024</v>
      </c>
      <c r="E1245" t="s">
        <v>73</v>
      </c>
      <c r="F1245">
        <v>79.3</v>
      </c>
      <c r="G1245" t="s">
        <v>351</v>
      </c>
      <c r="H1245">
        <f>electric_vehicles_dataset[[#This Row],[Battery_Capacity_kWh]]/electric_vehicles_dataset[[#This Row],[Range_km]]</f>
        <v>0.13887915936952713</v>
      </c>
      <c r="I1245">
        <v>571</v>
      </c>
      <c r="J1245" t="s">
        <v>54</v>
      </c>
      <c r="K1245">
        <v>6</v>
      </c>
      <c r="L1245" s="1">
        <v>115315.97</v>
      </c>
      <c r="M1245" s="1" t="str" cm="1">
        <f t="array" ref="M12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45" t="s">
        <v>22</v>
      </c>
      <c r="O1245" t="s">
        <v>150</v>
      </c>
      <c r="P1245" s="2" t="s">
        <v>389</v>
      </c>
      <c r="Q1245">
        <v>4</v>
      </c>
      <c r="R1245" t="s">
        <v>392</v>
      </c>
      <c r="S1245" s="1">
        <f>electric_vehicles_dataset[[#This Row],[Units_Sold_2024]]*electric_vehicles_dataset[[#This Row],[Price_USD]]</f>
        <v>1644636364.1400001</v>
      </c>
      <c r="T1245">
        <v>5</v>
      </c>
      <c r="U1245">
        <v>14262</v>
      </c>
      <c r="V1245">
        <v>4</v>
      </c>
    </row>
    <row r="1246" spans="1:22" x14ac:dyDescent="0.35">
      <c r="A1246">
        <v>1245</v>
      </c>
      <c r="B1246" t="s">
        <v>36</v>
      </c>
      <c r="C1246" t="s">
        <v>37</v>
      </c>
      <c r="D1246">
        <v>2024</v>
      </c>
      <c r="E1246" t="s">
        <v>130</v>
      </c>
      <c r="F1246">
        <v>97.1</v>
      </c>
      <c r="G1246" t="s">
        <v>350</v>
      </c>
      <c r="H1246">
        <f>electric_vehicles_dataset[[#This Row],[Battery_Capacity_kWh]]/electric_vehicles_dataset[[#This Row],[Range_km]]</f>
        <v>0.16975524475524476</v>
      </c>
      <c r="I1246">
        <v>572</v>
      </c>
      <c r="J1246" t="s">
        <v>54</v>
      </c>
      <c r="K1246">
        <v>11</v>
      </c>
      <c r="L1246" s="1">
        <v>40683.230000000003</v>
      </c>
      <c r="M1246" s="1" t="str" cm="1">
        <f t="array" ref="M12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46" t="s">
        <v>257</v>
      </c>
      <c r="O1246" t="s">
        <v>63</v>
      </c>
      <c r="P1246" s="2" t="s">
        <v>389</v>
      </c>
      <c r="Q1246">
        <v>2</v>
      </c>
      <c r="R1246" t="s">
        <v>391</v>
      </c>
      <c r="S1246" s="1">
        <f>electric_vehicles_dataset[[#This Row],[Units_Sold_2024]]*electric_vehicles_dataset[[#This Row],[Price_USD]]</f>
        <v>440721430.59000003</v>
      </c>
      <c r="T1246">
        <v>4</v>
      </c>
      <c r="U1246">
        <v>10833</v>
      </c>
      <c r="V1246">
        <v>3</v>
      </c>
    </row>
    <row r="1247" spans="1:22" x14ac:dyDescent="0.35">
      <c r="A1247">
        <v>1246</v>
      </c>
      <c r="B1247" t="s">
        <v>144</v>
      </c>
      <c r="C1247" t="s">
        <v>145</v>
      </c>
      <c r="D1247">
        <v>2018</v>
      </c>
      <c r="E1247" t="s">
        <v>104</v>
      </c>
      <c r="F1247">
        <v>60.9</v>
      </c>
      <c r="G1247" t="s">
        <v>351</v>
      </c>
      <c r="H1247">
        <f>electric_vehicles_dataset[[#This Row],[Battery_Capacity_kWh]]/electric_vehicles_dataset[[#This Row],[Range_km]]</f>
        <v>0.28726415094339625</v>
      </c>
      <c r="I1247">
        <v>212</v>
      </c>
      <c r="J1247" t="s">
        <v>356</v>
      </c>
      <c r="K1247">
        <v>3</v>
      </c>
      <c r="L1247" s="1">
        <v>100663.6</v>
      </c>
      <c r="M1247" s="1" t="str" cm="1">
        <f t="array" ref="M12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47" t="s">
        <v>28</v>
      </c>
      <c r="O1247" t="s">
        <v>134</v>
      </c>
      <c r="P1247" s="2" t="s">
        <v>389</v>
      </c>
      <c r="Q1247">
        <v>4</v>
      </c>
      <c r="R1247" t="s">
        <v>392</v>
      </c>
      <c r="S1247" s="1">
        <f>electric_vehicles_dataset[[#This Row],[Units_Sold_2024]]*electric_vehicles_dataset[[#This Row],[Price_USD]]</f>
        <v>362489623.60000002</v>
      </c>
      <c r="T1247">
        <v>3</v>
      </c>
      <c r="U1247">
        <v>3601</v>
      </c>
      <c r="V1247">
        <v>5</v>
      </c>
    </row>
    <row r="1248" spans="1:22" x14ac:dyDescent="0.35">
      <c r="A1248">
        <v>1247</v>
      </c>
      <c r="B1248" t="s">
        <v>261</v>
      </c>
      <c r="C1248" t="s">
        <v>370</v>
      </c>
      <c r="D1248">
        <v>2020</v>
      </c>
      <c r="E1248" t="s">
        <v>101</v>
      </c>
      <c r="F1248">
        <v>94</v>
      </c>
      <c r="G1248" t="s">
        <v>350</v>
      </c>
      <c r="H1248">
        <f>electric_vehicles_dataset[[#This Row],[Battery_Capacity_kWh]]/electric_vehicles_dataset[[#This Row],[Range_km]]</f>
        <v>0.31972789115646261</v>
      </c>
      <c r="I1248">
        <v>294</v>
      </c>
      <c r="J1248" t="s">
        <v>353</v>
      </c>
      <c r="K1248">
        <v>4</v>
      </c>
      <c r="L1248" s="1">
        <v>35945.440000000002</v>
      </c>
      <c r="M1248" s="1" t="str" cm="1">
        <f t="array" ref="M12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48" t="s">
        <v>165</v>
      </c>
      <c r="O1248" t="s">
        <v>167</v>
      </c>
      <c r="P1248" s="2" t="s">
        <v>394</v>
      </c>
      <c r="Q1248">
        <v>0</v>
      </c>
      <c r="R1248" t="s">
        <v>390</v>
      </c>
      <c r="S1248" s="1">
        <f>electric_vehicles_dataset[[#This Row],[Units_Sold_2024]]*electric_vehicles_dataset[[#This Row],[Price_USD]]</f>
        <v>623078256.96000004</v>
      </c>
      <c r="T1248">
        <v>3</v>
      </c>
      <c r="U1248">
        <v>17334</v>
      </c>
      <c r="V1248">
        <v>3</v>
      </c>
    </row>
    <row r="1249" spans="1:22" x14ac:dyDescent="0.35">
      <c r="A1249">
        <v>1248</v>
      </c>
      <c r="B1249" t="s">
        <v>45</v>
      </c>
      <c r="C1249" t="s">
        <v>283</v>
      </c>
      <c r="D1249">
        <v>2025</v>
      </c>
      <c r="E1249" t="s">
        <v>31</v>
      </c>
      <c r="F1249">
        <v>75.5</v>
      </c>
      <c r="G1249" t="s">
        <v>351</v>
      </c>
      <c r="H1249">
        <f>electric_vehicles_dataset[[#This Row],[Battery_Capacity_kWh]]/electric_vehicles_dataset[[#This Row],[Range_km]]</f>
        <v>0.3431818181818182</v>
      </c>
      <c r="I1249">
        <v>220</v>
      </c>
      <c r="J1249" t="s">
        <v>364</v>
      </c>
      <c r="K1249">
        <v>10</v>
      </c>
      <c r="L1249" s="1">
        <v>103689.78</v>
      </c>
      <c r="M1249" s="1" t="str" cm="1">
        <f t="array" ref="M124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49" t="s">
        <v>212</v>
      </c>
      <c r="O1249" t="s">
        <v>118</v>
      </c>
      <c r="P1249" s="2" t="s">
        <v>389</v>
      </c>
      <c r="Q1249">
        <v>4</v>
      </c>
      <c r="R1249" t="s">
        <v>392</v>
      </c>
      <c r="S1249" s="1">
        <f>electric_vehicles_dataset[[#This Row],[Units_Sold_2024]]*electric_vehicles_dataset[[#This Row],[Price_USD]]</f>
        <v>957056669.39999998</v>
      </c>
      <c r="T1249">
        <v>4</v>
      </c>
      <c r="U1249">
        <v>9230</v>
      </c>
      <c r="V1249">
        <v>4</v>
      </c>
    </row>
    <row r="1250" spans="1:22" x14ac:dyDescent="0.35">
      <c r="A1250">
        <v>1249</v>
      </c>
      <c r="B1250" t="s">
        <v>68</v>
      </c>
      <c r="C1250" t="s">
        <v>69</v>
      </c>
      <c r="D1250">
        <v>2018</v>
      </c>
      <c r="E1250" t="s">
        <v>133</v>
      </c>
      <c r="F1250">
        <v>146.4</v>
      </c>
      <c r="G1250" t="s">
        <v>386</v>
      </c>
      <c r="H1250">
        <f>electric_vehicles_dataset[[#This Row],[Battery_Capacity_kWh]]/electric_vehicles_dataset[[#This Row],[Range_km]]</f>
        <v>0.30185567010309278</v>
      </c>
      <c r="I1250">
        <v>485</v>
      </c>
      <c r="J1250" t="s">
        <v>105</v>
      </c>
      <c r="K1250">
        <v>11</v>
      </c>
      <c r="L1250" s="1">
        <v>143051.48000000001</v>
      </c>
      <c r="M1250" s="1" t="str" cm="1">
        <f t="array" ref="M125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50" t="s">
        <v>179</v>
      </c>
      <c r="O1250" t="s">
        <v>159</v>
      </c>
      <c r="P1250" s="2" t="s">
        <v>389</v>
      </c>
      <c r="Q1250">
        <v>2</v>
      </c>
      <c r="R1250" t="s">
        <v>391</v>
      </c>
      <c r="S1250" s="1">
        <f>electric_vehicles_dataset[[#This Row],[Units_Sold_2024]]*electric_vehicles_dataset[[#This Row],[Price_USD]]</f>
        <v>568629633</v>
      </c>
      <c r="T1250">
        <v>4</v>
      </c>
      <c r="U1250">
        <v>3975</v>
      </c>
      <c r="V1250">
        <v>4</v>
      </c>
    </row>
    <row r="1251" spans="1:22" x14ac:dyDescent="0.35">
      <c r="A1251">
        <v>1250</v>
      </c>
      <c r="B1251" t="s">
        <v>261</v>
      </c>
      <c r="C1251" t="s">
        <v>370</v>
      </c>
      <c r="D1251">
        <v>2024</v>
      </c>
      <c r="E1251" t="s">
        <v>31</v>
      </c>
      <c r="F1251">
        <v>117.9</v>
      </c>
      <c r="G1251" t="s">
        <v>361</v>
      </c>
      <c r="H1251">
        <f>electric_vehicles_dataset[[#This Row],[Battery_Capacity_kWh]]/electric_vehicles_dataset[[#This Row],[Range_km]]</f>
        <v>0.52633928571428579</v>
      </c>
      <c r="I1251">
        <v>224</v>
      </c>
      <c r="J1251" t="s">
        <v>105</v>
      </c>
      <c r="K1251">
        <v>4</v>
      </c>
      <c r="L1251" s="1">
        <v>84106.85</v>
      </c>
      <c r="M1251" s="1" t="str" cm="1">
        <f t="array" ref="M125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51" t="s">
        <v>102</v>
      </c>
      <c r="O1251" t="s">
        <v>182</v>
      </c>
      <c r="P1251" s="2" t="s">
        <v>394</v>
      </c>
      <c r="Q1251">
        <v>3</v>
      </c>
      <c r="R1251" t="s">
        <v>397</v>
      </c>
      <c r="S1251" s="1">
        <f>electric_vehicles_dataset[[#This Row],[Units_Sold_2024]]*electric_vehicles_dataset[[#This Row],[Price_USD]]</f>
        <v>1547061398.9000001</v>
      </c>
      <c r="T1251">
        <v>5</v>
      </c>
      <c r="U1251">
        <v>18394</v>
      </c>
      <c r="V1251">
        <v>3</v>
      </c>
    </row>
    <row r="1252" spans="1:22" x14ac:dyDescent="0.35">
      <c r="A1252">
        <v>1251</v>
      </c>
      <c r="B1252" t="s">
        <v>153</v>
      </c>
      <c r="C1252" t="s">
        <v>178</v>
      </c>
      <c r="D1252">
        <v>2015</v>
      </c>
      <c r="E1252" t="s">
        <v>90</v>
      </c>
      <c r="F1252">
        <v>62.7</v>
      </c>
      <c r="G1252" t="s">
        <v>351</v>
      </c>
      <c r="H1252">
        <f>electric_vehicles_dataset[[#This Row],[Battery_Capacity_kWh]]/electric_vehicles_dataset[[#This Row],[Range_km]]</f>
        <v>0.19904761904761906</v>
      </c>
      <c r="I1252">
        <v>315</v>
      </c>
      <c r="J1252" t="s">
        <v>18</v>
      </c>
      <c r="K1252">
        <v>8</v>
      </c>
      <c r="L1252" s="1">
        <v>87243.36</v>
      </c>
      <c r="M1252" s="1" t="str" cm="1">
        <f t="array" ref="M125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52" t="s">
        <v>205</v>
      </c>
      <c r="O1252" t="s">
        <v>182</v>
      </c>
      <c r="P1252" s="2" t="s">
        <v>394</v>
      </c>
      <c r="Q1252">
        <v>4</v>
      </c>
      <c r="R1252" t="s">
        <v>392</v>
      </c>
      <c r="S1252" s="1">
        <f>electric_vehicles_dataset[[#This Row],[Units_Sold_2024]]*electric_vehicles_dataset[[#This Row],[Price_USD]]</f>
        <v>770707842.24000001</v>
      </c>
      <c r="T1252">
        <v>5</v>
      </c>
      <c r="U1252">
        <v>8834</v>
      </c>
      <c r="V1252">
        <v>3</v>
      </c>
    </row>
    <row r="1253" spans="1:22" x14ac:dyDescent="0.35">
      <c r="A1253">
        <v>1252</v>
      </c>
      <c r="B1253" t="s">
        <v>87</v>
      </c>
      <c r="C1253" t="s">
        <v>191</v>
      </c>
      <c r="D1253">
        <v>2016</v>
      </c>
      <c r="E1253" t="s">
        <v>84</v>
      </c>
      <c r="F1253">
        <v>149.69999999999999</v>
      </c>
      <c r="G1253" t="s">
        <v>386</v>
      </c>
      <c r="H1253">
        <f>electric_vehicles_dataset[[#This Row],[Battery_Capacity_kWh]]/electric_vehicles_dataset[[#This Row],[Range_km]]</f>
        <v>0.30613496932515333</v>
      </c>
      <c r="I1253">
        <v>489</v>
      </c>
      <c r="J1253" t="s">
        <v>345</v>
      </c>
      <c r="K1253">
        <v>2</v>
      </c>
      <c r="L1253" s="1">
        <v>112952.63</v>
      </c>
      <c r="M1253" s="1" t="str" cm="1">
        <f t="array" ref="M12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53" t="s">
        <v>43</v>
      </c>
      <c r="O1253" t="s">
        <v>226</v>
      </c>
      <c r="P1253" s="2" t="s">
        <v>395</v>
      </c>
      <c r="Q1253">
        <v>3</v>
      </c>
      <c r="R1253" t="s">
        <v>397</v>
      </c>
      <c r="S1253" s="1">
        <f>electric_vehicles_dataset[[#This Row],[Units_Sold_2024]]*electric_vehicles_dataset[[#This Row],[Price_USD]]</f>
        <v>1286982266.22</v>
      </c>
      <c r="T1253">
        <v>5</v>
      </c>
      <c r="U1253">
        <v>11394</v>
      </c>
      <c r="V1253">
        <v>3</v>
      </c>
    </row>
    <row r="1254" spans="1:22" x14ac:dyDescent="0.35">
      <c r="A1254">
        <v>1253</v>
      </c>
      <c r="B1254" t="s">
        <v>176</v>
      </c>
      <c r="C1254" t="s">
        <v>365</v>
      </c>
      <c r="D1254">
        <v>2020</v>
      </c>
      <c r="E1254" t="s">
        <v>104</v>
      </c>
      <c r="F1254">
        <v>81.400000000000006</v>
      </c>
      <c r="G1254" t="s">
        <v>350</v>
      </c>
      <c r="H1254">
        <f>electric_vehicles_dataset[[#This Row],[Battery_Capacity_kWh]]/electric_vehicles_dataset[[#This Row],[Range_km]]</f>
        <v>0.20401002506265667</v>
      </c>
      <c r="I1254">
        <v>399</v>
      </c>
      <c r="J1254" t="s">
        <v>18</v>
      </c>
      <c r="K1254">
        <v>10</v>
      </c>
      <c r="L1254" s="1">
        <v>45079.31</v>
      </c>
      <c r="M1254" s="1" t="str" cm="1">
        <f t="array" ref="M12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54" t="s">
        <v>100</v>
      </c>
      <c r="O1254" t="s">
        <v>115</v>
      </c>
      <c r="P1254" s="2" t="s">
        <v>396</v>
      </c>
      <c r="Q1254">
        <v>3</v>
      </c>
      <c r="R1254" t="s">
        <v>397</v>
      </c>
      <c r="S1254" s="1">
        <f>electric_vehicles_dataset[[#This Row],[Units_Sold_2024]]*electric_vehicles_dataset[[#This Row],[Price_USD]]</f>
        <v>563536454.30999994</v>
      </c>
      <c r="T1254">
        <v>4</v>
      </c>
      <c r="U1254">
        <v>12501</v>
      </c>
      <c r="V1254">
        <v>3</v>
      </c>
    </row>
    <row r="1255" spans="1:22" x14ac:dyDescent="0.35">
      <c r="A1255">
        <v>1254</v>
      </c>
      <c r="B1255" t="s">
        <v>153</v>
      </c>
      <c r="C1255" t="s">
        <v>178</v>
      </c>
      <c r="D1255">
        <v>2024</v>
      </c>
      <c r="E1255" t="s">
        <v>84</v>
      </c>
      <c r="F1255">
        <v>127</v>
      </c>
      <c r="G1255" t="s">
        <v>352</v>
      </c>
      <c r="H1255">
        <f>electric_vehicles_dataset[[#This Row],[Battery_Capacity_kWh]]/electric_vehicles_dataset[[#This Row],[Range_km]]</f>
        <v>0.73837209302325579</v>
      </c>
      <c r="I1255">
        <v>172</v>
      </c>
      <c r="J1255" t="s">
        <v>149</v>
      </c>
      <c r="K1255">
        <v>2</v>
      </c>
      <c r="L1255" s="1">
        <v>123454.22</v>
      </c>
      <c r="M1255" s="1" t="str" cm="1">
        <f t="array" ref="M125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55" t="s">
        <v>205</v>
      </c>
      <c r="O1255" t="s">
        <v>40</v>
      </c>
      <c r="P1255" s="2" t="s">
        <v>395</v>
      </c>
      <c r="Q1255">
        <v>3</v>
      </c>
      <c r="R1255" t="s">
        <v>397</v>
      </c>
      <c r="S1255" s="1">
        <f>electric_vehicles_dataset[[#This Row],[Units_Sold_2024]]*electric_vehicles_dataset[[#This Row],[Price_USD]]</f>
        <v>1584164551.04</v>
      </c>
      <c r="T1255">
        <v>5</v>
      </c>
      <c r="U1255">
        <v>12832</v>
      </c>
      <c r="V1255">
        <v>3</v>
      </c>
    </row>
    <row r="1256" spans="1:22" x14ac:dyDescent="0.35">
      <c r="A1256">
        <v>1255</v>
      </c>
      <c r="B1256" t="s">
        <v>313</v>
      </c>
      <c r="C1256" t="s">
        <v>314</v>
      </c>
      <c r="D1256">
        <v>2025</v>
      </c>
      <c r="E1256" t="s">
        <v>73</v>
      </c>
      <c r="F1256">
        <v>129.1</v>
      </c>
      <c r="G1256" t="s">
        <v>352</v>
      </c>
      <c r="H1256">
        <f>electric_vehicles_dataset[[#This Row],[Battery_Capacity_kWh]]/electric_vehicles_dataset[[#This Row],[Range_km]]</f>
        <v>0.21770657672849913</v>
      </c>
      <c r="I1256">
        <v>593</v>
      </c>
      <c r="J1256" t="s">
        <v>76</v>
      </c>
      <c r="K1256">
        <v>7</v>
      </c>
      <c r="L1256" s="1">
        <v>81629.289999999994</v>
      </c>
      <c r="M1256" s="1" t="str" cm="1">
        <f t="array" ref="M12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56" t="s">
        <v>271</v>
      </c>
      <c r="O1256" t="s">
        <v>20</v>
      </c>
      <c r="P1256" s="2" t="s">
        <v>389</v>
      </c>
      <c r="Q1256">
        <v>4</v>
      </c>
      <c r="R1256" t="s">
        <v>392</v>
      </c>
      <c r="S1256" s="1">
        <f>electric_vehicles_dataset[[#This Row],[Units_Sold_2024]]*electric_vehicles_dataset[[#This Row],[Price_USD]]</f>
        <v>964205173.4799999</v>
      </c>
      <c r="T1256">
        <v>4</v>
      </c>
      <c r="U1256">
        <v>11812</v>
      </c>
      <c r="V1256">
        <v>5</v>
      </c>
    </row>
    <row r="1257" spans="1:22" x14ac:dyDescent="0.35">
      <c r="A1257">
        <v>1256</v>
      </c>
      <c r="B1257" t="s">
        <v>234</v>
      </c>
      <c r="C1257" t="s">
        <v>235</v>
      </c>
      <c r="D1257">
        <v>2019</v>
      </c>
      <c r="E1257" t="s">
        <v>17</v>
      </c>
      <c r="F1257">
        <v>62.5</v>
      </c>
      <c r="G1257" t="s">
        <v>351</v>
      </c>
      <c r="H1257">
        <f>electric_vehicles_dataset[[#This Row],[Battery_Capacity_kWh]]/electric_vehicles_dataset[[#This Row],[Range_km]]</f>
        <v>0.20973154362416108</v>
      </c>
      <c r="I1257">
        <v>298</v>
      </c>
      <c r="J1257" t="s">
        <v>353</v>
      </c>
      <c r="K1257">
        <v>2</v>
      </c>
      <c r="L1257" s="1">
        <v>56738.67</v>
      </c>
      <c r="M1257" s="1" t="str" cm="1">
        <f t="array" ref="M125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57" t="s">
        <v>19</v>
      </c>
      <c r="O1257" t="s">
        <v>354</v>
      </c>
      <c r="P1257" s="2" t="s">
        <v>394</v>
      </c>
      <c r="Q1257">
        <v>1</v>
      </c>
      <c r="R1257" t="s">
        <v>391</v>
      </c>
      <c r="S1257" s="1">
        <f>electric_vehicles_dataset[[#This Row],[Units_Sold_2024]]*electric_vehicles_dataset[[#This Row],[Price_USD]]</f>
        <v>292941753.20999998</v>
      </c>
      <c r="T1257">
        <v>4</v>
      </c>
      <c r="U1257">
        <v>5163</v>
      </c>
      <c r="V1257">
        <v>5</v>
      </c>
    </row>
    <row r="1258" spans="1:22" x14ac:dyDescent="0.35">
      <c r="A1258">
        <v>1257</v>
      </c>
      <c r="B1258" t="s">
        <v>269</v>
      </c>
      <c r="C1258" t="s">
        <v>329</v>
      </c>
      <c r="D1258">
        <v>2015</v>
      </c>
      <c r="E1258" t="s">
        <v>26</v>
      </c>
      <c r="F1258">
        <v>52.3</v>
      </c>
      <c r="G1258" t="s">
        <v>348</v>
      </c>
      <c r="H1258">
        <f>electric_vehicles_dataset[[#This Row],[Battery_Capacity_kWh]]/electric_vehicles_dataset[[#This Row],[Range_km]]</f>
        <v>0.20271317829457364</v>
      </c>
      <c r="I1258">
        <v>258</v>
      </c>
      <c r="J1258" t="s">
        <v>345</v>
      </c>
      <c r="K1258">
        <v>4</v>
      </c>
      <c r="L1258" s="1">
        <v>61814.78</v>
      </c>
      <c r="M1258" s="1" t="str" cm="1">
        <f t="array" ref="M125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58" t="s">
        <v>205</v>
      </c>
      <c r="O1258" t="s">
        <v>93</v>
      </c>
      <c r="P1258" s="2" t="s">
        <v>389</v>
      </c>
      <c r="Q1258">
        <v>1</v>
      </c>
      <c r="R1258" t="s">
        <v>391</v>
      </c>
      <c r="S1258" s="1">
        <f>electric_vehicles_dataset[[#This Row],[Units_Sold_2024]]*electric_vehicles_dataset[[#This Row],[Price_USD]]</f>
        <v>841979118.38</v>
      </c>
      <c r="T1258">
        <v>5</v>
      </c>
      <c r="U1258">
        <v>13621</v>
      </c>
      <c r="V1258">
        <v>5</v>
      </c>
    </row>
    <row r="1259" spans="1:22" x14ac:dyDescent="0.35">
      <c r="A1259">
        <v>1258</v>
      </c>
      <c r="B1259" t="s">
        <v>269</v>
      </c>
      <c r="C1259" t="s">
        <v>340</v>
      </c>
      <c r="D1259">
        <v>2023</v>
      </c>
      <c r="E1259" t="s">
        <v>26</v>
      </c>
      <c r="F1259">
        <v>23.6</v>
      </c>
      <c r="G1259" t="s">
        <v>357</v>
      </c>
      <c r="H1259">
        <f>electric_vehicles_dataset[[#This Row],[Battery_Capacity_kWh]]/electric_vehicles_dataset[[#This Row],[Range_km]]</f>
        <v>6.1780104712041886E-2</v>
      </c>
      <c r="I1259">
        <v>382</v>
      </c>
      <c r="J1259" t="s">
        <v>38</v>
      </c>
      <c r="K1259">
        <v>9</v>
      </c>
      <c r="L1259" s="1">
        <v>137662.37</v>
      </c>
      <c r="M1259" s="1" t="str" cm="1">
        <f t="array" ref="M125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59" t="s">
        <v>59</v>
      </c>
      <c r="O1259" t="s">
        <v>134</v>
      </c>
      <c r="P1259" s="2" t="s">
        <v>389</v>
      </c>
      <c r="Q1259">
        <v>4</v>
      </c>
      <c r="R1259" t="s">
        <v>392</v>
      </c>
      <c r="S1259" s="1">
        <f>electric_vehicles_dataset[[#This Row],[Units_Sold_2024]]*electric_vehicles_dataset[[#This Row],[Price_USD]]</f>
        <v>404452043.06</v>
      </c>
      <c r="T1259">
        <v>5</v>
      </c>
      <c r="U1259">
        <v>2938</v>
      </c>
      <c r="V1259">
        <v>5</v>
      </c>
    </row>
    <row r="1260" spans="1:22" x14ac:dyDescent="0.35">
      <c r="A1260">
        <v>1259</v>
      </c>
      <c r="B1260" t="s">
        <v>68</v>
      </c>
      <c r="C1260" t="s">
        <v>69</v>
      </c>
      <c r="D1260">
        <v>2022</v>
      </c>
      <c r="E1260" t="s">
        <v>53</v>
      </c>
      <c r="F1260">
        <v>57.2</v>
      </c>
      <c r="G1260" t="s">
        <v>348</v>
      </c>
      <c r="H1260">
        <f>electric_vehicles_dataset[[#This Row],[Battery_Capacity_kWh]]/electric_vehicles_dataset[[#This Row],[Range_km]]</f>
        <v>0.16923076923076924</v>
      </c>
      <c r="I1260">
        <v>338</v>
      </c>
      <c r="J1260" t="s">
        <v>105</v>
      </c>
      <c r="K1260">
        <v>3</v>
      </c>
      <c r="L1260" s="1">
        <v>34504.78</v>
      </c>
      <c r="M1260" s="1" t="str" cm="1">
        <f t="array" ref="M126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60" t="s">
        <v>205</v>
      </c>
      <c r="O1260" t="s">
        <v>89</v>
      </c>
      <c r="P1260" s="2" t="s">
        <v>389</v>
      </c>
      <c r="Q1260">
        <v>4</v>
      </c>
      <c r="R1260" t="s">
        <v>392</v>
      </c>
      <c r="S1260" s="1">
        <f>electric_vehicles_dataset[[#This Row],[Units_Sold_2024]]*electric_vehicles_dataset[[#This Row],[Price_USD]]</f>
        <v>53033846.859999999</v>
      </c>
      <c r="T1260">
        <v>4</v>
      </c>
      <c r="U1260">
        <v>1537</v>
      </c>
      <c r="V1260">
        <v>3</v>
      </c>
    </row>
    <row r="1261" spans="1:22" x14ac:dyDescent="0.35">
      <c r="A1261">
        <v>1260</v>
      </c>
      <c r="B1261" t="s">
        <v>220</v>
      </c>
      <c r="C1261" t="s">
        <v>282</v>
      </c>
      <c r="D1261">
        <v>2021</v>
      </c>
      <c r="E1261" t="s">
        <v>42</v>
      </c>
      <c r="F1261">
        <v>64</v>
      </c>
      <c r="G1261" t="s">
        <v>351</v>
      </c>
      <c r="H1261">
        <f>electric_vehicles_dataset[[#This Row],[Battery_Capacity_kWh]]/electric_vehicles_dataset[[#This Row],[Range_km]]</f>
        <v>0.19452887537993921</v>
      </c>
      <c r="I1261">
        <v>329</v>
      </c>
      <c r="J1261" t="s">
        <v>38</v>
      </c>
      <c r="K1261">
        <v>9</v>
      </c>
      <c r="L1261" s="1">
        <v>120467</v>
      </c>
      <c r="M1261" s="1" t="str" cm="1">
        <f t="array" ref="M126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61" t="s">
        <v>62</v>
      </c>
      <c r="O1261" t="s">
        <v>23</v>
      </c>
      <c r="P1261" s="2" t="s">
        <v>389</v>
      </c>
      <c r="Q1261">
        <v>1</v>
      </c>
      <c r="R1261" t="s">
        <v>391</v>
      </c>
      <c r="S1261" s="1">
        <f>electric_vehicles_dataset[[#This Row],[Units_Sold_2024]]*electric_vehicles_dataset[[#This Row],[Price_USD]]</f>
        <v>36742435</v>
      </c>
      <c r="T1261">
        <v>3</v>
      </c>
      <c r="U1261">
        <v>305</v>
      </c>
      <c r="V1261">
        <v>3</v>
      </c>
    </row>
    <row r="1262" spans="1:22" x14ac:dyDescent="0.35">
      <c r="A1262">
        <v>1261</v>
      </c>
      <c r="B1262" t="s">
        <v>144</v>
      </c>
      <c r="C1262" t="s">
        <v>273</v>
      </c>
      <c r="D1262">
        <v>2020</v>
      </c>
      <c r="E1262" t="s">
        <v>42</v>
      </c>
      <c r="F1262">
        <v>94.6</v>
      </c>
      <c r="G1262" t="s">
        <v>350</v>
      </c>
      <c r="H1262">
        <f>electric_vehicles_dataset[[#This Row],[Battery_Capacity_kWh]]/electric_vehicles_dataset[[#This Row],[Range_km]]</f>
        <v>0.61032258064516121</v>
      </c>
      <c r="I1262">
        <v>155</v>
      </c>
      <c r="J1262" t="s">
        <v>359</v>
      </c>
      <c r="K1262">
        <v>3</v>
      </c>
      <c r="L1262" s="1">
        <v>31195.3</v>
      </c>
      <c r="M1262" s="1" t="str" cm="1">
        <f t="array" ref="M126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62" t="s">
        <v>301</v>
      </c>
      <c r="O1262" t="s">
        <v>159</v>
      </c>
      <c r="P1262" s="2" t="s">
        <v>389</v>
      </c>
      <c r="Q1262">
        <v>3</v>
      </c>
      <c r="R1262" t="s">
        <v>397</v>
      </c>
      <c r="S1262" s="1">
        <f>electric_vehicles_dataset[[#This Row],[Units_Sold_2024]]*electric_vehicles_dataset[[#This Row],[Price_USD]]</f>
        <v>125561082.5</v>
      </c>
      <c r="T1262">
        <v>4</v>
      </c>
      <c r="U1262">
        <v>4025</v>
      </c>
      <c r="V1262">
        <v>5</v>
      </c>
    </row>
    <row r="1263" spans="1:22" x14ac:dyDescent="0.35">
      <c r="A1263">
        <v>1262</v>
      </c>
      <c r="B1263" t="s">
        <v>222</v>
      </c>
      <c r="C1263" t="s">
        <v>295</v>
      </c>
      <c r="D1263">
        <v>2020</v>
      </c>
      <c r="E1263" t="s">
        <v>53</v>
      </c>
      <c r="F1263">
        <v>126.1</v>
      </c>
      <c r="G1263" t="s">
        <v>352</v>
      </c>
      <c r="H1263">
        <f>electric_vehicles_dataset[[#This Row],[Battery_Capacity_kWh]]/electric_vehicles_dataset[[#This Row],[Range_km]]</f>
        <v>0.38919753086419751</v>
      </c>
      <c r="I1263">
        <v>324</v>
      </c>
      <c r="J1263" t="s">
        <v>358</v>
      </c>
      <c r="K1263">
        <v>2</v>
      </c>
      <c r="L1263" s="1">
        <v>87406.57</v>
      </c>
      <c r="M1263" s="1" t="str" cm="1">
        <f t="array" ref="M126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63" t="s">
        <v>217</v>
      </c>
      <c r="O1263" t="s">
        <v>202</v>
      </c>
      <c r="P1263" s="2" t="s">
        <v>393</v>
      </c>
      <c r="Q1263">
        <v>2</v>
      </c>
      <c r="R1263" t="s">
        <v>391</v>
      </c>
      <c r="S1263" s="1">
        <f>electric_vehicles_dataset[[#This Row],[Units_Sold_2024]]*electric_vehicles_dataset[[#This Row],[Price_USD]]</f>
        <v>796186446.13000011</v>
      </c>
      <c r="T1263">
        <v>3</v>
      </c>
      <c r="U1263">
        <v>9109</v>
      </c>
      <c r="V1263">
        <v>5</v>
      </c>
    </row>
    <row r="1264" spans="1:22" x14ac:dyDescent="0.35">
      <c r="A1264">
        <v>1263</v>
      </c>
      <c r="B1264" t="s">
        <v>187</v>
      </c>
      <c r="C1264" t="s">
        <v>302</v>
      </c>
      <c r="D1264">
        <v>2015</v>
      </c>
      <c r="E1264" t="s">
        <v>58</v>
      </c>
      <c r="F1264">
        <v>142.4</v>
      </c>
      <c r="G1264" t="s">
        <v>386</v>
      </c>
      <c r="H1264">
        <f>electric_vehicles_dataset[[#This Row],[Battery_Capacity_kWh]]/electric_vehicles_dataset[[#This Row],[Range_km]]</f>
        <v>0.75744680851063828</v>
      </c>
      <c r="I1264">
        <v>188</v>
      </c>
      <c r="J1264" t="s">
        <v>353</v>
      </c>
      <c r="K1264">
        <v>9</v>
      </c>
      <c r="L1264" s="1">
        <v>96735.43</v>
      </c>
      <c r="M1264" s="1" t="str" cm="1">
        <f t="array" ref="M126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64" t="s">
        <v>189</v>
      </c>
      <c r="O1264" t="s">
        <v>230</v>
      </c>
      <c r="P1264" s="2" t="s">
        <v>389</v>
      </c>
      <c r="Q1264">
        <v>0</v>
      </c>
      <c r="R1264" t="s">
        <v>390</v>
      </c>
      <c r="S1264" s="1">
        <f>electric_vehicles_dataset[[#This Row],[Units_Sold_2024]]*electric_vehicles_dataset[[#This Row],[Price_USD]]</f>
        <v>147908472.47</v>
      </c>
      <c r="T1264">
        <v>3</v>
      </c>
      <c r="U1264">
        <v>1529</v>
      </c>
      <c r="V1264">
        <v>3</v>
      </c>
    </row>
    <row r="1265" spans="1:22" x14ac:dyDescent="0.35">
      <c r="A1265">
        <v>1264</v>
      </c>
      <c r="B1265" t="s">
        <v>82</v>
      </c>
      <c r="C1265" t="s">
        <v>281</v>
      </c>
      <c r="D1265">
        <v>2022</v>
      </c>
      <c r="E1265" t="s">
        <v>58</v>
      </c>
      <c r="F1265">
        <v>143.1</v>
      </c>
      <c r="G1265" t="s">
        <v>386</v>
      </c>
      <c r="H1265">
        <f>electric_vehicles_dataset[[#This Row],[Battery_Capacity_kWh]]/electric_vehicles_dataset[[#This Row],[Range_km]]</f>
        <v>0.28113948919449899</v>
      </c>
      <c r="I1265">
        <v>509</v>
      </c>
      <c r="J1265" t="s">
        <v>76</v>
      </c>
      <c r="K1265">
        <v>2</v>
      </c>
      <c r="L1265" s="1">
        <v>116123.92</v>
      </c>
      <c r="M1265" s="1" t="str" cm="1">
        <f t="array" ref="M126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65" t="s">
        <v>177</v>
      </c>
      <c r="O1265" t="s">
        <v>150</v>
      </c>
      <c r="P1265" s="2" t="s">
        <v>389</v>
      </c>
      <c r="Q1265">
        <v>2</v>
      </c>
      <c r="R1265" t="s">
        <v>391</v>
      </c>
      <c r="S1265" s="1">
        <f>electric_vehicles_dataset[[#This Row],[Units_Sold_2024]]*electric_vehicles_dataset[[#This Row],[Price_USD]]</f>
        <v>1573711363.8399999</v>
      </c>
      <c r="T1265">
        <v>5</v>
      </c>
      <c r="U1265">
        <v>13552</v>
      </c>
      <c r="V1265">
        <v>4</v>
      </c>
    </row>
    <row r="1266" spans="1:22" x14ac:dyDescent="0.35">
      <c r="A1266">
        <v>1265</v>
      </c>
      <c r="B1266" t="s">
        <v>68</v>
      </c>
      <c r="C1266" t="s">
        <v>289</v>
      </c>
      <c r="D1266">
        <v>2022</v>
      </c>
      <c r="E1266" t="s">
        <v>17</v>
      </c>
      <c r="F1266">
        <v>120.9</v>
      </c>
      <c r="G1266" t="s">
        <v>352</v>
      </c>
      <c r="H1266">
        <f>electric_vehicles_dataset[[#This Row],[Battery_Capacity_kWh]]/electric_vehicles_dataset[[#This Row],[Range_km]]</f>
        <v>0.79539473684210527</v>
      </c>
      <c r="I1266">
        <v>152</v>
      </c>
      <c r="J1266" t="s">
        <v>356</v>
      </c>
      <c r="K1266">
        <v>8</v>
      </c>
      <c r="L1266" s="1">
        <v>112918.06</v>
      </c>
      <c r="M1266" s="1" t="str" cm="1">
        <f t="array" ref="M12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66" t="s">
        <v>146</v>
      </c>
      <c r="O1266" t="s">
        <v>161</v>
      </c>
      <c r="P1266" s="2" t="s">
        <v>389</v>
      </c>
      <c r="Q1266">
        <v>4</v>
      </c>
      <c r="R1266" t="s">
        <v>392</v>
      </c>
      <c r="S1266" s="1">
        <f>electric_vehicles_dataset[[#This Row],[Units_Sold_2024]]*electric_vehicles_dataset[[#This Row],[Price_USD]]</f>
        <v>975724956.46000004</v>
      </c>
      <c r="T1266">
        <v>3</v>
      </c>
      <c r="U1266">
        <v>8641</v>
      </c>
      <c r="V1266">
        <v>3</v>
      </c>
    </row>
    <row r="1267" spans="1:22" x14ac:dyDescent="0.35">
      <c r="A1267">
        <v>1266</v>
      </c>
      <c r="B1267" t="s">
        <v>24</v>
      </c>
      <c r="C1267" t="s">
        <v>272</v>
      </c>
      <c r="D1267">
        <v>2025</v>
      </c>
      <c r="E1267" t="s">
        <v>47</v>
      </c>
      <c r="F1267">
        <v>49.6</v>
      </c>
      <c r="G1267" t="s">
        <v>348</v>
      </c>
      <c r="H1267">
        <f>electric_vehicles_dataset[[#This Row],[Battery_Capacity_kWh]]/electric_vehicles_dataset[[#This Row],[Range_km]]</f>
        <v>9.0842490842490839E-2</v>
      </c>
      <c r="I1267">
        <v>546</v>
      </c>
      <c r="J1267" t="s">
        <v>345</v>
      </c>
      <c r="K1267">
        <v>2</v>
      </c>
      <c r="L1267" s="1">
        <v>111316.59</v>
      </c>
      <c r="M1267" s="1" t="str" cm="1">
        <f t="array" ref="M126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67" t="s">
        <v>238</v>
      </c>
      <c r="O1267" t="s">
        <v>44</v>
      </c>
      <c r="P1267" s="2" t="s">
        <v>389</v>
      </c>
      <c r="Q1267">
        <v>0</v>
      </c>
      <c r="R1267" t="s">
        <v>390</v>
      </c>
      <c r="S1267" s="1">
        <f>electric_vehicles_dataset[[#This Row],[Units_Sold_2024]]*electric_vehicles_dataset[[#This Row],[Price_USD]]</f>
        <v>2133605080.53</v>
      </c>
      <c r="T1267">
        <v>3</v>
      </c>
      <c r="U1267">
        <v>19167</v>
      </c>
      <c r="V1267">
        <v>5</v>
      </c>
    </row>
    <row r="1268" spans="1:22" x14ac:dyDescent="0.35">
      <c r="A1268">
        <v>1267</v>
      </c>
      <c r="B1268" t="s">
        <v>313</v>
      </c>
      <c r="C1268" t="s">
        <v>314</v>
      </c>
      <c r="D1268">
        <v>2021</v>
      </c>
      <c r="E1268" t="s">
        <v>183</v>
      </c>
      <c r="F1268">
        <v>89.4</v>
      </c>
      <c r="G1268" t="s">
        <v>350</v>
      </c>
      <c r="H1268">
        <f>electric_vehicles_dataset[[#This Row],[Battery_Capacity_kWh]]/electric_vehicles_dataset[[#This Row],[Range_km]]</f>
        <v>0.19267241379310346</v>
      </c>
      <c r="I1268">
        <v>464</v>
      </c>
      <c r="J1268" t="s">
        <v>105</v>
      </c>
      <c r="K1268">
        <v>11</v>
      </c>
      <c r="L1268" s="1">
        <v>116964.85</v>
      </c>
      <c r="M1268" s="1" t="str" cm="1">
        <f t="array" ref="M126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68" t="s">
        <v>240</v>
      </c>
      <c r="O1268" t="s">
        <v>78</v>
      </c>
      <c r="P1268" s="2" t="s">
        <v>389</v>
      </c>
      <c r="Q1268">
        <v>5</v>
      </c>
      <c r="R1268" t="s">
        <v>392</v>
      </c>
      <c r="S1268" s="1">
        <f>electric_vehicles_dataset[[#This Row],[Units_Sold_2024]]*electric_vehicles_dataset[[#This Row],[Price_USD]]</f>
        <v>713953444.39999998</v>
      </c>
      <c r="T1268">
        <v>3</v>
      </c>
      <c r="U1268">
        <v>6104</v>
      </c>
      <c r="V1268">
        <v>3</v>
      </c>
    </row>
    <row r="1269" spans="1:22" x14ac:dyDescent="0.35">
      <c r="A1269">
        <v>1268</v>
      </c>
      <c r="B1269" t="s">
        <v>60</v>
      </c>
      <c r="C1269" t="s">
        <v>322</v>
      </c>
      <c r="D1269">
        <v>2016</v>
      </c>
      <c r="E1269" t="s">
        <v>84</v>
      </c>
      <c r="F1269">
        <v>35.5</v>
      </c>
      <c r="G1269" t="s">
        <v>357</v>
      </c>
      <c r="H1269">
        <f>electric_vehicles_dataset[[#This Row],[Battery_Capacity_kWh]]/electric_vehicles_dataset[[#This Row],[Range_km]]</f>
        <v>0.1062874251497006</v>
      </c>
      <c r="I1269">
        <v>334</v>
      </c>
      <c r="J1269" t="s">
        <v>27</v>
      </c>
      <c r="K1269">
        <v>3</v>
      </c>
      <c r="L1269" s="1">
        <v>71598.67</v>
      </c>
      <c r="M1269" s="1" t="str" cm="1">
        <f t="array" ref="M12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69" t="s">
        <v>35</v>
      </c>
      <c r="O1269" t="s">
        <v>354</v>
      </c>
      <c r="P1269" s="2" t="s">
        <v>394</v>
      </c>
      <c r="Q1269">
        <v>5</v>
      </c>
      <c r="R1269" t="s">
        <v>392</v>
      </c>
      <c r="S1269" s="1">
        <f>electric_vehicles_dataset[[#This Row],[Units_Sold_2024]]*electric_vehicles_dataset[[#This Row],[Price_USD]]</f>
        <v>1066104196.3</v>
      </c>
      <c r="T1269">
        <v>3</v>
      </c>
      <c r="U1269">
        <v>14890</v>
      </c>
      <c r="V1269">
        <v>3</v>
      </c>
    </row>
    <row r="1270" spans="1:22" x14ac:dyDescent="0.35">
      <c r="A1270">
        <v>1269</v>
      </c>
      <c r="B1270" t="s">
        <v>241</v>
      </c>
      <c r="C1270" t="s">
        <v>242</v>
      </c>
      <c r="D1270">
        <v>2019</v>
      </c>
      <c r="E1270" t="s">
        <v>17</v>
      </c>
      <c r="F1270">
        <v>24.7</v>
      </c>
      <c r="G1270" t="s">
        <v>357</v>
      </c>
      <c r="H1270">
        <f>electric_vehicles_dataset[[#This Row],[Battery_Capacity_kWh]]/electric_vehicles_dataset[[#This Row],[Range_km]]</f>
        <v>5.8530805687203792E-2</v>
      </c>
      <c r="I1270">
        <v>422</v>
      </c>
      <c r="J1270" t="s">
        <v>353</v>
      </c>
      <c r="K1270">
        <v>7</v>
      </c>
      <c r="L1270" s="1">
        <v>72302.61</v>
      </c>
      <c r="M1270" s="1" t="str" cm="1">
        <f t="array" ref="M12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70" t="s">
        <v>98</v>
      </c>
      <c r="O1270" t="s">
        <v>118</v>
      </c>
      <c r="P1270" s="2" t="s">
        <v>389</v>
      </c>
      <c r="Q1270">
        <v>5</v>
      </c>
      <c r="R1270" t="s">
        <v>392</v>
      </c>
      <c r="S1270" s="1">
        <f>electric_vehicles_dataset[[#This Row],[Units_Sold_2024]]*electric_vehicles_dataset[[#This Row],[Price_USD]]</f>
        <v>259132554.24000001</v>
      </c>
      <c r="T1270">
        <v>5</v>
      </c>
      <c r="U1270">
        <v>3584</v>
      </c>
      <c r="V1270">
        <v>4</v>
      </c>
    </row>
    <row r="1271" spans="1:22" x14ac:dyDescent="0.35">
      <c r="A1271">
        <v>1270</v>
      </c>
      <c r="B1271" t="s">
        <v>184</v>
      </c>
      <c r="C1271" t="s">
        <v>213</v>
      </c>
      <c r="D1271">
        <v>2017</v>
      </c>
      <c r="E1271" t="s">
        <v>101</v>
      </c>
      <c r="F1271">
        <v>137.69999999999999</v>
      </c>
      <c r="G1271" t="s">
        <v>352</v>
      </c>
      <c r="H1271">
        <f>electric_vehicles_dataset[[#This Row],[Battery_Capacity_kWh]]/electric_vehicles_dataset[[#This Row],[Range_km]]</f>
        <v>0.23578767123287669</v>
      </c>
      <c r="I1271">
        <v>584</v>
      </c>
      <c r="J1271" t="s">
        <v>34</v>
      </c>
      <c r="K1271">
        <v>9</v>
      </c>
      <c r="L1271" s="1">
        <v>59972.800000000003</v>
      </c>
      <c r="M1271" s="1" t="str" cm="1">
        <f t="array" ref="M127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71" t="s">
        <v>114</v>
      </c>
      <c r="O1271" t="s">
        <v>40</v>
      </c>
      <c r="P1271" s="2" t="s">
        <v>395</v>
      </c>
      <c r="Q1271">
        <v>0</v>
      </c>
      <c r="R1271" t="s">
        <v>390</v>
      </c>
      <c r="S1271" s="1">
        <f>electric_vehicles_dataset[[#This Row],[Units_Sold_2024]]*electric_vehicles_dataset[[#This Row],[Price_USD]]</f>
        <v>222019305.60000002</v>
      </c>
      <c r="T1271">
        <v>3</v>
      </c>
      <c r="U1271">
        <v>3702</v>
      </c>
      <c r="V1271">
        <v>4</v>
      </c>
    </row>
    <row r="1272" spans="1:22" x14ac:dyDescent="0.35">
      <c r="A1272">
        <v>1271</v>
      </c>
      <c r="B1272" t="s">
        <v>120</v>
      </c>
      <c r="C1272" t="s">
        <v>362</v>
      </c>
      <c r="D1272">
        <v>2025</v>
      </c>
      <c r="E1272" t="s">
        <v>104</v>
      </c>
      <c r="F1272">
        <v>109.1</v>
      </c>
      <c r="G1272" t="s">
        <v>361</v>
      </c>
      <c r="H1272">
        <f>electric_vehicles_dataset[[#This Row],[Battery_Capacity_kWh]]/electric_vehicles_dataset[[#This Row],[Range_km]]</f>
        <v>0.46824034334763948</v>
      </c>
      <c r="I1272">
        <v>233</v>
      </c>
      <c r="J1272" t="s">
        <v>34</v>
      </c>
      <c r="K1272">
        <v>10</v>
      </c>
      <c r="L1272" s="1">
        <v>53082.92</v>
      </c>
      <c r="M1272" s="1" t="str" cm="1">
        <f t="array" ref="M12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72" t="s">
        <v>55</v>
      </c>
      <c r="O1272" t="s">
        <v>115</v>
      </c>
      <c r="P1272" s="2" t="s">
        <v>396</v>
      </c>
      <c r="Q1272">
        <v>1</v>
      </c>
      <c r="R1272" t="s">
        <v>391</v>
      </c>
      <c r="S1272" s="1">
        <f>electric_vehicles_dataset[[#This Row],[Units_Sold_2024]]*electric_vehicles_dataset[[#This Row],[Price_USD]]</f>
        <v>770233169.19999993</v>
      </c>
      <c r="T1272">
        <v>4</v>
      </c>
      <c r="U1272">
        <v>14510</v>
      </c>
      <c r="V1272">
        <v>3</v>
      </c>
    </row>
    <row r="1273" spans="1:22" x14ac:dyDescent="0.35">
      <c r="A1273">
        <v>1272</v>
      </c>
      <c r="B1273" t="s">
        <v>234</v>
      </c>
      <c r="C1273" t="s">
        <v>235</v>
      </c>
      <c r="D1273">
        <v>2023</v>
      </c>
      <c r="E1273" t="s">
        <v>90</v>
      </c>
      <c r="F1273">
        <v>95.4</v>
      </c>
      <c r="G1273" t="s">
        <v>350</v>
      </c>
      <c r="H1273">
        <f>electric_vehicles_dataset[[#This Row],[Battery_Capacity_kWh]]/electric_vehicles_dataset[[#This Row],[Range_km]]</f>
        <v>0.35464684014869891</v>
      </c>
      <c r="I1273">
        <v>269</v>
      </c>
      <c r="J1273" t="s">
        <v>76</v>
      </c>
      <c r="K1273">
        <v>4</v>
      </c>
      <c r="L1273" s="1">
        <v>32497.15</v>
      </c>
      <c r="M1273" s="1" t="str" cm="1">
        <f t="array" ref="M127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73" t="s">
        <v>177</v>
      </c>
      <c r="O1273" t="s">
        <v>115</v>
      </c>
      <c r="P1273" s="2" t="s">
        <v>396</v>
      </c>
      <c r="Q1273">
        <v>4</v>
      </c>
      <c r="R1273" t="s">
        <v>392</v>
      </c>
      <c r="S1273" s="1">
        <f>electric_vehicles_dataset[[#This Row],[Units_Sold_2024]]*electric_vehicles_dataset[[#This Row],[Price_USD]]</f>
        <v>371994876.05000001</v>
      </c>
      <c r="T1273">
        <v>5</v>
      </c>
      <c r="U1273">
        <v>11447</v>
      </c>
      <c r="V1273">
        <v>3</v>
      </c>
    </row>
    <row r="1274" spans="1:22" x14ac:dyDescent="0.35">
      <c r="A1274">
        <v>1273</v>
      </c>
      <c r="B1274" t="s">
        <v>155</v>
      </c>
      <c r="C1274" t="s">
        <v>190</v>
      </c>
      <c r="D1274">
        <v>2018</v>
      </c>
      <c r="E1274" t="s">
        <v>183</v>
      </c>
      <c r="F1274">
        <v>108.6</v>
      </c>
      <c r="G1274" t="s">
        <v>361</v>
      </c>
      <c r="H1274">
        <f>electric_vehicles_dataset[[#This Row],[Battery_Capacity_kWh]]/electric_vehicles_dataset[[#This Row],[Range_km]]</f>
        <v>0.30677966101694915</v>
      </c>
      <c r="I1274">
        <v>354</v>
      </c>
      <c r="J1274" t="s">
        <v>105</v>
      </c>
      <c r="K1274">
        <v>8</v>
      </c>
      <c r="L1274" s="1">
        <v>138452.85</v>
      </c>
      <c r="M1274" s="1" t="str" cm="1">
        <f t="array" ref="M127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74" t="s">
        <v>253</v>
      </c>
      <c r="O1274" t="s">
        <v>199</v>
      </c>
      <c r="P1274" s="2" t="s">
        <v>394</v>
      </c>
      <c r="Q1274">
        <v>1</v>
      </c>
      <c r="R1274" t="s">
        <v>391</v>
      </c>
      <c r="S1274" s="1">
        <f>electric_vehicles_dataset[[#This Row],[Units_Sold_2024]]*electric_vehicles_dataset[[#This Row],[Price_USD]]</f>
        <v>1436032960.2</v>
      </c>
      <c r="T1274">
        <v>5</v>
      </c>
      <c r="U1274">
        <v>10372</v>
      </c>
      <c r="V1274">
        <v>4</v>
      </c>
    </row>
    <row r="1275" spans="1:22" x14ac:dyDescent="0.35">
      <c r="A1275">
        <v>1274</v>
      </c>
      <c r="B1275" t="s">
        <v>128</v>
      </c>
      <c r="C1275" t="s">
        <v>129</v>
      </c>
      <c r="D1275">
        <v>2017</v>
      </c>
      <c r="E1275" t="s">
        <v>130</v>
      </c>
      <c r="F1275">
        <v>139.80000000000001</v>
      </c>
      <c r="G1275" t="s">
        <v>352</v>
      </c>
      <c r="H1275">
        <f>electric_vehicles_dataset[[#This Row],[Battery_Capacity_kWh]]/electric_vehicles_dataset[[#This Row],[Range_km]]</f>
        <v>0.40877192982456145</v>
      </c>
      <c r="I1275">
        <v>342</v>
      </c>
      <c r="J1275" t="s">
        <v>38</v>
      </c>
      <c r="K1275">
        <v>10</v>
      </c>
      <c r="L1275" s="1">
        <v>49202.16</v>
      </c>
      <c r="M1275" s="1" t="str" cm="1">
        <f t="array" ref="M127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75" t="s">
        <v>91</v>
      </c>
      <c r="O1275" t="s">
        <v>182</v>
      </c>
      <c r="P1275" s="2" t="s">
        <v>394</v>
      </c>
      <c r="Q1275">
        <v>3</v>
      </c>
      <c r="R1275" t="s">
        <v>397</v>
      </c>
      <c r="S1275" s="1">
        <f>electric_vehicles_dataset[[#This Row],[Units_Sold_2024]]*electric_vehicles_dataset[[#This Row],[Price_USD]]</f>
        <v>134961524.88</v>
      </c>
      <c r="T1275">
        <v>5</v>
      </c>
      <c r="U1275">
        <v>2743</v>
      </c>
      <c r="V1275">
        <v>3</v>
      </c>
    </row>
    <row r="1276" spans="1:22" x14ac:dyDescent="0.35">
      <c r="A1276">
        <v>1275</v>
      </c>
      <c r="B1276" t="s">
        <v>74</v>
      </c>
      <c r="C1276" t="s">
        <v>75</v>
      </c>
      <c r="D1276">
        <v>2015</v>
      </c>
      <c r="E1276" t="s">
        <v>73</v>
      </c>
      <c r="F1276">
        <v>68</v>
      </c>
      <c r="G1276" t="s">
        <v>351</v>
      </c>
      <c r="H1276">
        <f>electric_vehicles_dataset[[#This Row],[Battery_Capacity_kWh]]/electric_vehicles_dataset[[#This Row],[Range_km]]</f>
        <v>0.14437367303609341</v>
      </c>
      <c r="I1276">
        <v>471</v>
      </c>
      <c r="J1276" t="s">
        <v>85</v>
      </c>
      <c r="K1276">
        <v>2</v>
      </c>
      <c r="L1276" s="1">
        <v>64300.5</v>
      </c>
      <c r="M1276" s="1" t="str" cm="1">
        <f t="array" ref="M127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76" t="s">
        <v>228</v>
      </c>
      <c r="O1276" t="s">
        <v>89</v>
      </c>
      <c r="P1276" s="2" t="s">
        <v>389</v>
      </c>
      <c r="Q1276">
        <v>3</v>
      </c>
      <c r="R1276" t="s">
        <v>397</v>
      </c>
      <c r="S1276" s="1">
        <f>electric_vehicles_dataset[[#This Row],[Units_Sold_2024]]*electric_vehicles_dataset[[#This Row],[Price_USD]]</f>
        <v>665381574</v>
      </c>
      <c r="T1276">
        <v>4</v>
      </c>
      <c r="U1276">
        <v>10348</v>
      </c>
      <c r="V1276">
        <v>5</v>
      </c>
    </row>
    <row r="1277" spans="1:22" x14ac:dyDescent="0.35">
      <c r="A1277">
        <v>1276</v>
      </c>
      <c r="B1277" t="s">
        <v>136</v>
      </c>
      <c r="C1277" t="s">
        <v>137</v>
      </c>
      <c r="D1277">
        <v>2018</v>
      </c>
      <c r="E1277" t="s">
        <v>42</v>
      </c>
      <c r="F1277">
        <v>51.8</v>
      </c>
      <c r="G1277" t="s">
        <v>348</v>
      </c>
      <c r="H1277">
        <f>electric_vehicles_dataset[[#This Row],[Battery_Capacity_kWh]]/electric_vehicles_dataset[[#This Row],[Range_km]]</f>
        <v>0.11719457013574661</v>
      </c>
      <c r="I1277">
        <v>442</v>
      </c>
      <c r="J1277" t="s">
        <v>18</v>
      </c>
      <c r="K1277">
        <v>8</v>
      </c>
      <c r="L1277" s="1">
        <v>50683.26</v>
      </c>
      <c r="M1277" s="1" t="str" cm="1">
        <f t="array" ref="M127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77" t="s">
        <v>217</v>
      </c>
      <c r="O1277" t="s">
        <v>265</v>
      </c>
      <c r="P1277" s="2" t="s">
        <v>389</v>
      </c>
      <c r="Q1277">
        <v>1</v>
      </c>
      <c r="R1277" t="s">
        <v>391</v>
      </c>
      <c r="S1277" s="1">
        <f>electric_vehicles_dataset[[#This Row],[Units_Sold_2024]]*electric_vehicles_dataset[[#This Row],[Price_USD]]</f>
        <v>430452927.18000001</v>
      </c>
      <c r="T1277">
        <v>4</v>
      </c>
      <c r="U1277">
        <v>8493</v>
      </c>
      <c r="V1277">
        <v>5</v>
      </c>
    </row>
    <row r="1278" spans="1:22" x14ac:dyDescent="0.35">
      <c r="A1278">
        <v>1277</v>
      </c>
      <c r="B1278" t="s">
        <v>140</v>
      </c>
      <c r="C1278" t="s">
        <v>339</v>
      </c>
      <c r="D1278">
        <v>2025</v>
      </c>
      <c r="E1278" t="s">
        <v>73</v>
      </c>
      <c r="F1278">
        <v>91.7</v>
      </c>
      <c r="G1278" t="s">
        <v>350</v>
      </c>
      <c r="H1278">
        <f>electric_vehicles_dataset[[#This Row],[Battery_Capacity_kWh]]/electric_vehicles_dataset[[#This Row],[Range_km]]</f>
        <v>0.61543624161073829</v>
      </c>
      <c r="I1278">
        <v>149</v>
      </c>
      <c r="J1278" t="s">
        <v>359</v>
      </c>
      <c r="K1278">
        <v>3</v>
      </c>
      <c r="L1278" s="1">
        <v>42836.3</v>
      </c>
      <c r="M1278" s="1" t="str" cm="1">
        <f t="array" ref="M127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78" t="s">
        <v>39</v>
      </c>
      <c r="O1278" t="s">
        <v>107</v>
      </c>
      <c r="P1278" s="2" t="s">
        <v>394</v>
      </c>
      <c r="Q1278">
        <v>0</v>
      </c>
      <c r="R1278" t="s">
        <v>390</v>
      </c>
      <c r="S1278" s="1">
        <f>electric_vehicles_dataset[[#This Row],[Units_Sold_2024]]*electric_vehicles_dataset[[#This Row],[Price_USD]]</f>
        <v>220392763.50000003</v>
      </c>
      <c r="T1278">
        <v>3</v>
      </c>
      <c r="U1278">
        <v>5145</v>
      </c>
      <c r="V1278">
        <v>3</v>
      </c>
    </row>
    <row r="1279" spans="1:22" x14ac:dyDescent="0.35">
      <c r="A1279">
        <v>1278</v>
      </c>
      <c r="B1279" t="s">
        <v>241</v>
      </c>
      <c r="C1279" t="s">
        <v>247</v>
      </c>
      <c r="D1279">
        <v>2016</v>
      </c>
      <c r="E1279" t="s">
        <v>101</v>
      </c>
      <c r="F1279">
        <v>130.6</v>
      </c>
      <c r="G1279" t="s">
        <v>352</v>
      </c>
      <c r="H1279">
        <f>electric_vehicles_dataset[[#This Row],[Battery_Capacity_kWh]]/electric_vehicles_dataset[[#This Row],[Range_km]]</f>
        <v>0.88243243243243241</v>
      </c>
      <c r="I1279">
        <v>148</v>
      </c>
      <c r="J1279" t="s">
        <v>85</v>
      </c>
      <c r="K1279">
        <v>10</v>
      </c>
      <c r="L1279" s="1">
        <v>74653.58</v>
      </c>
      <c r="M1279" s="1" t="str" cm="1">
        <f t="array" ref="M127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79" t="s">
        <v>179</v>
      </c>
      <c r="O1279" t="s">
        <v>206</v>
      </c>
      <c r="P1279" s="2" t="s">
        <v>394</v>
      </c>
      <c r="Q1279">
        <v>0</v>
      </c>
      <c r="R1279" t="s">
        <v>390</v>
      </c>
      <c r="S1279" s="1">
        <f>electric_vehicles_dataset[[#This Row],[Units_Sold_2024]]*electric_vehicles_dataset[[#This Row],[Price_USD]]</f>
        <v>1329356299.0599999</v>
      </c>
      <c r="T1279">
        <v>4</v>
      </c>
      <c r="U1279">
        <v>17807</v>
      </c>
      <c r="V1279">
        <v>4</v>
      </c>
    </row>
    <row r="1280" spans="1:22" x14ac:dyDescent="0.35">
      <c r="A1280">
        <v>1279</v>
      </c>
      <c r="B1280" t="s">
        <v>82</v>
      </c>
      <c r="C1280" t="s">
        <v>281</v>
      </c>
      <c r="D1280">
        <v>2021</v>
      </c>
      <c r="E1280" t="s">
        <v>133</v>
      </c>
      <c r="F1280">
        <v>136.19999999999999</v>
      </c>
      <c r="G1280" t="s">
        <v>352</v>
      </c>
      <c r="H1280">
        <f>electric_vehicles_dataset[[#This Row],[Battery_Capacity_kWh]]/electric_vehicles_dataset[[#This Row],[Range_km]]</f>
        <v>0.8901960784313725</v>
      </c>
      <c r="I1280">
        <v>153</v>
      </c>
      <c r="J1280" t="s">
        <v>48</v>
      </c>
      <c r="K1280">
        <v>7</v>
      </c>
      <c r="L1280" s="1">
        <v>61457.27</v>
      </c>
      <c r="M1280" s="1" t="str" cm="1">
        <f t="array" ref="M12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80" t="s">
        <v>19</v>
      </c>
      <c r="O1280" t="s">
        <v>67</v>
      </c>
      <c r="P1280" s="2" t="s">
        <v>394</v>
      </c>
      <c r="Q1280">
        <v>2</v>
      </c>
      <c r="R1280" t="s">
        <v>391</v>
      </c>
      <c r="S1280" s="1">
        <f>electric_vehicles_dataset[[#This Row],[Units_Sold_2024]]*electric_vehicles_dataset[[#This Row],[Price_USD]]</f>
        <v>1905175.3699999999</v>
      </c>
      <c r="T1280">
        <v>5</v>
      </c>
      <c r="U1280">
        <v>31</v>
      </c>
      <c r="V1280">
        <v>3</v>
      </c>
    </row>
    <row r="1281" spans="1:22" x14ac:dyDescent="0.35">
      <c r="A1281">
        <v>1280</v>
      </c>
      <c r="B1281" t="s">
        <v>170</v>
      </c>
      <c r="C1281" t="s">
        <v>275</v>
      </c>
      <c r="D1281">
        <v>2017</v>
      </c>
      <c r="E1281" t="s">
        <v>90</v>
      </c>
      <c r="F1281">
        <v>140.6</v>
      </c>
      <c r="G1281" t="s">
        <v>386</v>
      </c>
      <c r="H1281">
        <f>electric_vehicles_dataset[[#This Row],[Battery_Capacity_kWh]]/electric_vehicles_dataset[[#This Row],[Range_km]]</f>
        <v>0.24753521126760564</v>
      </c>
      <c r="I1281">
        <v>568</v>
      </c>
      <c r="J1281" t="s">
        <v>356</v>
      </c>
      <c r="K1281">
        <v>6</v>
      </c>
      <c r="L1281" s="1">
        <v>92930.09</v>
      </c>
      <c r="M1281" s="1" t="str" cm="1">
        <f t="array" ref="M12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81" t="s">
        <v>100</v>
      </c>
      <c r="O1281" t="s">
        <v>89</v>
      </c>
      <c r="P1281" s="2" t="s">
        <v>389</v>
      </c>
      <c r="Q1281">
        <v>5</v>
      </c>
      <c r="R1281" t="s">
        <v>392</v>
      </c>
      <c r="S1281" s="1">
        <f>electric_vehicles_dataset[[#This Row],[Units_Sold_2024]]*electric_vehicles_dataset[[#This Row],[Price_USD]]</f>
        <v>1215897297.5599999</v>
      </c>
      <c r="T1281">
        <v>4</v>
      </c>
      <c r="U1281">
        <v>13084</v>
      </c>
      <c r="V1281">
        <v>5</v>
      </c>
    </row>
    <row r="1282" spans="1:22" x14ac:dyDescent="0.35">
      <c r="A1282">
        <v>1281</v>
      </c>
      <c r="B1282" t="s">
        <v>234</v>
      </c>
      <c r="C1282" t="s">
        <v>235</v>
      </c>
      <c r="D1282">
        <v>2024</v>
      </c>
      <c r="E1282" t="s">
        <v>42</v>
      </c>
      <c r="F1282">
        <v>114.1</v>
      </c>
      <c r="G1282" t="s">
        <v>361</v>
      </c>
      <c r="H1282">
        <f>electric_vehicles_dataset[[#This Row],[Battery_Capacity_kWh]]/electric_vehicles_dataset[[#This Row],[Range_km]]</f>
        <v>0.54075829383886254</v>
      </c>
      <c r="I1282">
        <v>211</v>
      </c>
      <c r="J1282" t="s">
        <v>54</v>
      </c>
      <c r="K1282">
        <v>8</v>
      </c>
      <c r="L1282" s="1">
        <v>43415.17</v>
      </c>
      <c r="M1282" s="1" t="str" cm="1">
        <f t="array" ref="M12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82" t="s">
        <v>240</v>
      </c>
      <c r="O1282" t="s">
        <v>199</v>
      </c>
      <c r="P1282" s="2" t="s">
        <v>394</v>
      </c>
      <c r="Q1282">
        <v>1</v>
      </c>
      <c r="R1282" t="s">
        <v>391</v>
      </c>
      <c r="S1282" s="1">
        <f>electric_vehicles_dataset[[#This Row],[Units_Sold_2024]]*electric_vehicles_dataset[[#This Row],[Price_USD]]</f>
        <v>90954781.149999991</v>
      </c>
      <c r="T1282">
        <v>4</v>
      </c>
      <c r="U1282">
        <v>2095</v>
      </c>
      <c r="V1282">
        <v>3</v>
      </c>
    </row>
    <row r="1283" spans="1:22" x14ac:dyDescent="0.35">
      <c r="A1283">
        <v>1282</v>
      </c>
      <c r="B1283" t="s">
        <v>176</v>
      </c>
      <c r="C1283" t="s">
        <v>326</v>
      </c>
      <c r="D1283">
        <v>2024</v>
      </c>
      <c r="E1283" t="s">
        <v>133</v>
      </c>
      <c r="F1283">
        <v>89.1</v>
      </c>
      <c r="G1283" t="s">
        <v>350</v>
      </c>
      <c r="H1283">
        <f>electric_vehicles_dataset[[#This Row],[Battery_Capacity_kWh]]/electric_vehicles_dataset[[#This Row],[Range_km]]</f>
        <v>0.17573964497041419</v>
      </c>
      <c r="I1283">
        <v>507</v>
      </c>
      <c r="J1283" t="s">
        <v>48</v>
      </c>
      <c r="K1283">
        <v>4</v>
      </c>
      <c r="L1283" s="1">
        <v>88271.71</v>
      </c>
      <c r="M1283" s="1" t="str" cm="1">
        <f t="array" ref="M128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83" t="s">
        <v>246</v>
      </c>
      <c r="O1283" t="s">
        <v>182</v>
      </c>
      <c r="P1283" s="2" t="s">
        <v>394</v>
      </c>
      <c r="Q1283">
        <v>5</v>
      </c>
      <c r="R1283" t="s">
        <v>392</v>
      </c>
      <c r="S1283" s="1">
        <f>electric_vehicles_dataset[[#This Row],[Units_Sold_2024]]*electric_vehicles_dataset[[#This Row],[Price_USD]]</f>
        <v>1291503389.01</v>
      </c>
      <c r="T1283">
        <v>4</v>
      </c>
      <c r="U1283">
        <v>14631</v>
      </c>
      <c r="V1283">
        <v>3</v>
      </c>
    </row>
    <row r="1284" spans="1:22" x14ac:dyDescent="0.35">
      <c r="A1284">
        <v>1283</v>
      </c>
      <c r="B1284" t="s">
        <v>241</v>
      </c>
      <c r="C1284" t="s">
        <v>242</v>
      </c>
      <c r="D1284">
        <v>2024</v>
      </c>
      <c r="E1284" t="s">
        <v>90</v>
      </c>
      <c r="F1284">
        <v>97.2</v>
      </c>
      <c r="G1284" t="s">
        <v>350</v>
      </c>
      <c r="H1284">
        <f>electric_vehicles_dataset[[#This Row],[Battery_Capacity_kWh]]/electric_vehicles_dataset[[#This Row],[Range_km]]</f>
        <v>0.23535108958837772</v>
      </c>
      <c r="I1284">
        <v>413</v>
      </c>
      <c r="J1284" t="s">
        <v>105</v>
      </c>
      <c r="K1284">
        <v>7</v>
      </c>
      <c r="L1284" s="1">
        <v>93221.51</v>
      </c>
      <c r="M1284" s="1" t="str" cm="1">
        <f t="array" ref="M128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84" t="s">
        <v>39</v>
      </c>
      <c r="O1284" t="s">
        <v>23</v>
      </c>
      <c r="P1284" s="2" t="s">
        <v>389</v>
      </c>
      <c r="Q1284">
        <v>1</v>
      </c>
      <c r="R1284" t="s">
        <v>391</v>
      </c>
      <c r="S1284" s="1">
        <f>electric_vehicles_dataset[[#This Row],[Units_Sold_2024]]*electric_vehicles_dataset[[#This Row],[Price_USD]]</f>
        <v>669982992.37</v>
      </c>
      <c r="T1284">
        <v>3</v>
      </c>
      <c r="U1284">
        <v>7187</v>
      </c>
      <c r="V1284">
        <v>4</v>
      </c>
    </row>
    <row r="1285" spans="1:22" x14ac:dyDescent="0.35">
      <c r="A1285">
        <v>1284</v>
      </c>
      <c r="B1285" t="s">
        <v>222</v>
      </c>
      <c r="C1285" t="s">
        <v>295</v>
      </c>
      <c r="D1285">
        <v>2015</v>
      </c>
      <c r="E1285" t="s">
        <v>17</v>
      </c>
      <c r="F1285">
        <v>109.5</v>
      </c>
      <c r="G1285" t="s">
        <v>361</v>
      </c>
      <c r="H1285">
        <f>electric_vehicles_dataset[[#This Row],[Battery_Capacity_kWh]]/electric_vehicles_dataset[[#This Row],[Range_km]]</f>
        <v>0.58870967741935487</v>
      </c>
      <c r="I1285">
        <v>186</v>
      </c>
      <c r="J1285" t="s">
        <v>76</v>
      </c>
      <c r="K1285">
        <v>1</v>
      </c>
      <c r="L1285" s="1">
        <v>71740.259999999995</v>
      </c>
      <c r="M1285" s="1" t="str" cm="1">
        <f t="array" ref="M128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85" t="s">
        <v>55</v>
      </c>
      <c r="O1285" t="s">
        <v>23</v>
      </c>
      <c r="P1285" s="2" t="s">
        <v>389</v>
      </c>
      <c r="Q1285">
        <v>1</v>
      </c>
      <c r="R1285" t="s">
        <v>391</v>
      </c>
      <c r="S1285" s="1">
        <f>electric_vehicles_dataset[[#This Row],[Units_Sold_2024]]*electric_vehicles_dataset[[#This Row],[Price_USD]]</f>
        <v>9039272.7599999998</v>
      </c>
      <c r="T1285">
        <v>3</v>
      </c>
      <c r="U1285">
        <v>126</v>
      </c>
      <c r="V1285">
        <v>4</v>
      </c>
    </row>
    <row r="1286" spans="1:22" x14ac:dyDescent="0.35">
      <c r="A1286">
        <v>1285</v>
      </c>
      <c r="B1286" t="s">
        <v>16</v>
      </c>
      <c r="C1286" t="s">
        <v>347</v>
      </c>
      <c r="D1286">
        <v>2020</v>
      </c>
      <c r="E1286" t="s">
        <v>183</v>
      </c>
      <c r="F1286">
        <v>43.3</v>
      </c>
      <c r="G1286" t="s">
        <v>348</v>
      </c>
      <c r="H1286">
        <f>electric_vehicles_dataset[[#This Row],[Battery_Capacity_kWh]]/electric_vehicles_dataset[[#This Row],[Range_km]]</f>
        <v>0.19244444444444442</v>
      </c>
      <c r="I1286">
        <v>225</v>
      </c>
      <c r="J1286" t="s">
        <v>353</v>
      </c>
      <c r="K1286">
        <v>7</v>
      </c>
      <c r="L1286" s="1">
        <v>30229.32</v>
      </c>
      <c r="M1286" s="1" t="str" cm="1">
        <f t="array" ref="M128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86" t="s">
        <v>91</v>
      </c>
      <c r="O1286" t="s">
        <v>354</v>
      </c>
      <c r="P1286" s="2" t="s">
        <v>394</v>
      </c>
      <c r="Q1286">
        <v>3</v>
      </c>
      <c r="R1286" t="s">
        <v>397</v>
      </c>
      <c r="S1286" s="1">
        <f>electric_vehicles_dataset[[#This Row],[Units_Sold_2024]]*electric_vehicles_dataset[[#This Row],[Price_USD]]</f>
        <v>559212190.67999995</v>
      </c>
      <c r="T1286">
        <v>5</v>
      </c>
      <c r="U1286">
        <v>18499</v>
      </c>
      <c r="V1286">
        <v>5</v>
      </c>
    </row>
    <row r="1287" spans="1:22" x14ac:dyDescent="0.35">
      <c r="A1287">
        <v>1286</v>
      </c>
      <c r="B1287" t="s">
        <v>71</v>
      </c>
      <c r="C1287" t="s">
        <v>258</v>
      </c>
      <c r="D1287">
        <v>2022</v>
      </c>
      <c r="E1287" t="s">
        <v>42</v>
      </c>
      <c r="F1287">
        <v>89.4</v>
      </c>
      <c r="G1287" t="s">
        <v>350</v>
      </c>
      <c r="H1287">
        <f>electric_vehicles_dataset[[#This Row],[Battery_Capacity_kWh]]/electric_vehicles_dataset[[#This Row],[Range_km]]</f>
        <v>0.27850467289719627</v>
      </c>
      <c r="I1287">
        <v>321</v>
      </c>
      <c r="J1287" t="s">
        <v>85</v>
      </c>
      <c r="K1287">
        <v>10</v>
      </c>
      <c r="L1287" s="1">
        <v>120754.38</v>
      </c>
      <c r="M1287" s="1" t="str" cm="1">
        <f t="array" ref="M128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87" t="s">
        <v>100</v>
      </c>
      <c r="O1287" t="s">
        <v>159</v>
      </c>
      <c r="P1287" s="2" t="s">
        <v>389</v>
      </c>
      <c r="Q1287">
        <v>4</v>
      </c>
      <c r="R1287" t="s">
        <v>392</v>
      </c>
      <c r="S1287" s="1">
        <f>electric_vehicles_dataset[[#This Row],[Units_Sold_2024]]*electric_vehicles_dataset[[#This Row],[Price_USD]]</f>
        <v>2411344214.2200003</v>
      </c>
      <c r="T1287">
        <v>5</v>
      </c>
      <c r="U1287">
        <v>19969</v>
      </c>
      <c r="V1287">
        <v>4</v>
      </c>
    </row>
    <row r="1288" spans="1:22" x14ac:dyDescent="0.35">
      <c r="A1288">
        <v>1287</v>
      </c>
      <c r="B1288" t="s">
        <v>94</v>
      </c>
      <c r="C1288" t="s">
        <v>99</v>
      </c>
      <c r="D1288">
        <v>2018</v>
      </c>
      <c r="E1288" t="s">
        <v>26</v>
      </c>
      <c r="F1288">
        <v>82.9</v>
      </c>
      <c r="G1288" t="s">
        <v>350</v>
      </c>
      <c r="H1288">
        <f>electric_vehicles_dataset[[#This Row],[Battery_Capacity_kWh]]/electric_vehicles_dataset[[#This Row],[Range_km]]</f>
        <v>0.1480357142857143</v>
      </c>
      <c r="I1288">
        <v>560</v>
      </c>
      <c r="J1288" t="s">
        <v>364</v>
      </c>
      <c r="K1288">
        <v>6</v>
      </c>
      <c r="L1288" s="1">
        <v>106199.97</v>
      </c>
      <c r="M1288" s="1" t="str" cm="1">
        <f t="array" ref="M128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88" t="s">
        <v>238</v>
      </c>
      <c r="O1288" t="s">
        <v>107</v>
      </c>
      <c r="P1288" s="2" t="s">
        <v>394</v>
      </c>
      <c r="Q1288">
        <v>3</v>
      </c>
      <c r="R1288" t="s">
        <v>397</v>
      </c>
      <c r="S1288" s="1">
        <f>electric_vehicles_dataset[[#This Row],[Units_Sold_2024]]*electric_vehicles_dataset[[#This Row],[Price_USD]]</f>
        <v>1510482173.3099999</v>
      </c>
      <c r="T1288">
        <v>3</v>
      </c>
      <c r="U1288">
        <v>14223</v>
      </c>
      <c r="V1288">
        <v>5</v>
      </c>
    </row>
    <row r="1289" spans="1:22" x14ac:dyDescent="0.35">
      <c r="A1289">
        <v>1288</v>
      </c>
      <c r="B1289" t="s">
        <v>234</v>
      </c>
      <c r="C1289" t="s">
        <v>235</v>
      </c>
      <c r="D1289">
        <v>2015</v>
      </c>
      <c r="E1289" t="s">
        <v>58</v>
      </c>
      <c r="F1289">
        <v>44.7</v>
      </c>
      <c r="G1289" t="s">
        <v>348</v>
      </c>
      <c r="H1289">
        <f>electric_vehicles_dataset[[#This Row],[Battery_Capacity_kWh]]/electric_vehicles_dataset[[#This Row],[Range_km]]</f>
        <v>0.10182232346241459</v>
      </c>
      <c r="I1289">
        <v>439</v>
      </c>
      <c r="J1289" t="s">
        <v>85</v>
      </c>
      <c r="K1289">
        <v>3</v>
      </c>
      <c r="L1289" s="1">
        <v>57073.06</v>
      </c>
      <c r="M1289" s="1" t="str" cm="1">
        <f t="array" ref="M128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89" t="s">
        <v>160</v>
      </c>
      <c r="O1289" t="s">
        <v>44</v>
      </c>
      <c r="P1289" s="2" t="s">
        <v>389</v>
      </c>
      <c r="Q1289">
        <v>3</v>
      </c>
      <c r="R1289" t="s">
        <v>397</v>
      </c>
      <c r="S1289" s="1">
        <f>electric_vehicles_dataset[[#This Row],[Units_Sold_2024]]*electric_vehicles_dataset[[#This Row],[Price_USD]]</f>
        <v>653258244.75999999</v>
      </c>
      <c r="T1289">
        <v>3</v>
      </c>
      <c r="U1289">
        <v>11446</v>
      </c>
      <c r="V1289">
        <v>3</v>
      </c>
    </row>
    <row r="1290" spans="1:22" x14ac:dyDescent="0.35">
      <c r="A1290">
        <v>1289</v>
      </c>
      <c r="B1290" t="s">
        <v>45</v>
      </c>
      <c r="C1290" t="s">
        <v>46</v>
      </c>
      <c r="D1290">
        <v>2024</v>
      </c>
      <c r="E1290" t="s">
        <v>17</v>
      </c>
      <c r="F1290">
        <v>131.30000000000001</v>
      </c>
      <c r="G1290" t="s">
        <v>352</v>
      </c>
      <c r="H1290">
        <f>electric_vehicles_dataset[[#This Row],[Battery_Capacity_kWh]]/electric_vehicles_dataset[[#This Row],[Range_km]]</f>
        <v>0.3548648648648649</v>
      </c>
      <c r="I1290">
        <v>370</v>
      </c>
      <c r="J1290" t="s">
        <v>356</v>
      </c>
      <c r="K1290">
        <v>4</v>
      </c>
      <c r="L1290" s="1">
        <v>142547.47</v>
      </c>
      <c r="M1290" s="1" t="str" cm="1">
        <f t="array" ref="M129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90" t="s">
        <v>277</v>
      </c>
      <c r="O1290" t="s">
        <v>135</v>
      </c>
      <c r="P1290" s="2" t="s">
        <v>389</v>
      </c>
      <c r="Q1290">
        <v>3</v>
      </c>
      <c r="R1290" t="s">
        <v>397</v>
      </c>
      <c r="S1290" s="1">
        <f>electric_vehicles_dataset[[#This Row],[Units_Sold_2024]]*electric_vehicles_dataset[[#This Row],[Price_USD]]</f>
        <v>202845049.81</v>
      </c>
      <c r="T1290">
        <v>4</v>
      </c>
      <c r="U1290">
        <v>1423</v>
      </c>
      <c r="V1290">
        <v>4</v>
      </c>
    </row>
    <row r="1291" spans="1:22" x14ac:dyDescent="0.35">
      <c r="A1291">
        <v>1290</v>
      </c>
      <c r="B1291" t="s">
        <v>51</v>
      </c>
      <c r="C1291" t="s">
        <v>162</v>
      </c>
      <c r="D1291">
        <v>2020</v>
      </c>
      <c r="E1291" t="s">
        <v>26</v>
      </c>
      <c r="F1291">
        <v>95.7</v>
      </c>
      <c r="G1291" t="s">
        <v>350</v>
      </c>
      <c r="H1291">
        <f>electric_vehicles_dataset[[#This Row],[Battery_Capacity_kWh]]/electric_vehicles_dataset[[#This Row],[Range_km]]</f>
        <v>0.92912621359223302</v>
      </c>
      <c r="I1291">
        <v>103</v>
      </c>
      <c r="J1291" t="s">
        <v>48</v>
      </c>
      <c r="K1291">
        <v>10</v>
      </c>
      <c r="L1291" s="1">
        <v>127586.24000000001</v>
      </c>
      <c r="M1291" s="1" t="str" cm="1">
        <f t="array" ref="M129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291" t="s">
        <v>100</v>
      </c>
      <c r="O1291" t="s">
        <v>92</v>
      </c>
      <c r="P1291" s="2" t="s">
        <v>394</v>
      </c>
      <c r="Q1291">
        <v>3</v>
      </c>
      <c r="R1291" t="s">
        <v>397</v>
      </c>
      <c r="S1291" s="1">
        <f>electric_vehicles_dataset[[#This Row],[Units_Sold_2024]]*electric_vehicles_dataset[[#This Row],[Price_USD]]</f>
        <v>1925786706.5600002</v>
      </c>
      <c r="T1291">
        <v>3</v>
      </c>
      <c r="U1291">
        <v>15094</v>
      </c>
      <c r="V1291">
        <v>5</v>
      </c>
    </row>
    <row r="1292" spans="1:22" x14ac:dyDescent="0.35">
      <c r="A1292">
        <v>1291</v>
      </c>
      <c r="B1292" t="s">
        <v>136</v>
      </c>
      <c r="C1292" t="s">
        <v>137</v>
      </c>
      <c r="D1292">
        <v>2020</v>
      </c>
      <c r="E1292" t="s">
        <v>90</v>
      </c>
      <c r="F1292">
        <v>74.5</v>
      </c>
      <c r="G1292" t="s">
        <v>351</v>
      </c>
      <c r="H1292">
        <f>electric_vehicles_dataset[[#This Row],[Battery_Capacity_kWh]]/electric_vehicles_dataset[[#This Row],[Range_km]]</f>
        <v>0.13899253731343283</v>
      </c>
      <c r="I1292">
        <v>536</v>
      </c>
      <c r="J1292" t="s">
        <v>353</v>
      </c>
      <c r="K1292">
        <v>7</v>
      </c>
      <c r="L1292" s="1">
        <v>65869.03</v>
      </c>
      <c r="M1292" s="1" t="str" cm="1">
        <f t="array" ref="M129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92" t="s">
        <v>117</v>
      </c>
      <c r="O1292" t="s">
        <v>230</v>
      </c>
      <c r="P1292" s="2" t="s">
        <v>389</v>
      </c>
      <c r="Q1292">
        <v>5</v>
      </c>
      <c r="R1292" t="s">
        <v>392</v>
      </c>
      <c r="S1292" s="1">
        <f>electric_vehicles_dataset[[#This Row],[Units_Sold_2024]]*electric_vehicles_dataset[[#This Row],[Price_USD]]</f>
        <v>325195401.11000001</v>
      </c>
      <c r="T1292">
        <v>5</v>
      </c>
      <c r="U1292">
        <v>4937</v>
      </c>
      <c r="V1292">
        <v>5</v>
      </c>
    </row>
    <row r="1293" spans="1:22" x14ac:dyDescent="0.35">
      <c r="A1293">
        <v>1292</v>
      </c>
      <c r="B1293" t="s">
        <v>36</v>
      </c>
      <c r="C1293" t="s">
        <v>211</v>
      </c>
      <c r="D1293">
        <v>2020</v>
      </c>
      <c r="E1293" t="s">
        <v>17</v>
      </c>
      <c r="F1293">
        <v>143.9</v>
      </c>
      <c r="G1293" t="s">
        <v>386</v>
      </c>
      <c r="H1293">
        <f>electric_vehicles_dataset[[#This Row],[Battery_Capacity_kWh]]/electric_vehicles_dataset[[#This Row],[Range_km]]</f>
        <v>0.47335526315789478</v>
      </c>
      <c r="I1293">
        <v>304</v>
      </c>
      <c r="J1293" t="s">
        <v>34</v>
      </c>
      <c r="K1293">
        <v>9</v>
      </c>
      <c r="L1293" s="1">
        <v>103396.27</v>
      </c>
      <c r="M1293" s="1" t="str" cm="1">
        <f t="array" ref="M129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93" t="s">
        <v>91</v>
      </c>
      <c r="O1293" t="s">
        <v>182</v>
      </c>
      <c r="P1293" s="2" t="s">
        <v>394</v>
      </c>
      <c r="Q1293">
        <v>1</v>
      </c>
      <c r="R1293" t="s">
        <v>391</v>
      </c>
      <c r="S1293" s="1">
        <f>electric_vehicles_dataset[[#This Row],[Units_Sold_2024]]*electric_vehicles_dataset[[#This Row],[Price_USD]]</f>
        <v>1718446007.4000001</v>
      </c>
      <c r="T1293">
        <v>5</v>
      </c>
      <c r="U1293">
        <v>16620</v>
      </c>
      <c r="V1293">
        <v>5</v>
      </c>
    </row>
    <row r="1294" spans="1:22" x14ac:dyDescent="0.35">
      <c r="A1294">
        <v>1293</v>
      </c>
      <c r="B1294" t="s">
        <v>261</v>
      </c>
      <c r="C1294" t="s">
        <v>372</v>
      </c>
      <c r="D1294">
        <v>2020</v>
      </c>
      <c r="E1294" t="s">
        <v>104</v>
      </c>
      <c r="F1294">
        <v>49.1</v>
      </c>
      <c r="G1294" t="s">
        <v>348</v>
      </c>
      <c r="H1294">
        <f>electric_vehicles_dataset[[#This Row],[Battery_Capacity_kWh]]/electric_vehicles_dataset[[#This Row],[Range_km]]</f>
        <v>0.20543933054393307</v>
      </c>
      <c r="I1294">
        <v>239</v>
      </c>
      <c r="J1294" t="s">
        <v>358</v>
      </c>
      <c r="K1294">
        <v>8</v>
      </c>
      <c r="L1294" s="1">
        <v>31083.9</v>
      </c>
      <c r="M1294" s="1" t="str" cm="1">
        <f t="array" ref="M129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94" t="s">
        <v>172</v>
      </c>
      <c r="O1294" t="s">
        <v>111</v>
      </c>
      <c r="P1294" s="2" t="s">
        <v>389</v>
      </c>
      <c r="Q1294">
        <v>4</v>
      </c>
      <c r="R1294" t="s">
        <v>392</v>
      </c>
      <c r="S1294" s="1">
        <f>electric_vehicles_dataset[[#This Row],[Units_Sold_2024]]*electric_vehicles_dataset[[#This Row],[Price_USD]]</f>
        <v>273072061.5</v>
      </c>
      <c r="T1294">
        <v>4</v>
      </c>
      <c r="U1294">
        <v>8785</v>
      </c>
      <c r="V1294">
        <v>5</v>
      </c>
    </row>
    <row r="1295" spans="1:22" x14ac:dyDescent="0.35">
      <c r="A1295">
        <v>1294</v>
      </c>
      <c r="B1295" t="s">
        <v>173</v>
      </c>
      <c r="C1295" t="s">
        <v>249</v>
      </c>
      <c r="D1295">
        <v>2024</v>
      </c>
      <c r="E1295" t="s">
        <v>42</v>
      </c>
      <c r="F1295">
        <v>75</v>
      </c>
      <c r="G1295" t="s">
        <v>351</v>
      </c>
      <c r="H1295">
        <f>electric_vehicles_dataset[[#This Row],[Battery_Capacity_kWh]]/electric_vehicles_dataset[[#This Row],[Range_km]]</f>
        <v>0.29411764705882354</v>
      </c>
      <c r="I1295">
        <v>255</v>
      </c>
      <c r="J1295" t="s">
        <v>364</v>
      </c>
      <c r="K1295">
        <v>9</v>
      </c>
      <c r="L1295" s="1">
        <v>98891.32</v>
      </c>
      <c r="M1295" s="1" t="str" cm="1">
        <f t="array" ref="M12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295" t="s">
        <v>253</v>
      </c>
      <c r="O1295" t="s">
        <v>230</v>
      </c>
      <c r="P1295" s="2" t="s">
        <v>389</v>
      </c>
      <c r="Q1295">
        <v>4</v>
      </c>
      <c r="R1295" t="s">
        <v>392</v>
      </c>
      <c r="S1295" s="1">
        <f>electric_vehicles_dataset[[#This Row],[Units_Sold_2024]]*electric_vehicles_dataset[[#This Row],[Price_USD]]</f>
        <v>994747787.88000011</v>
      </c>
      <c r="T1295">
        <v>4</v>
      </c>
      <c r="U1295">
        <v>10059</v>
      </c>
      <c r="V1295">
        <v>5</v>
      </c>
    </row>
    <row r="1296" spans="1:22" x14ac:dyDescent="0.35">
      <c r="A1296">
        <v>1295</v>
      </c>
      <c r="B1296" t="s">
        <v>94</v>
      </c>
      <c r="C1296" t="s">
        <v>294</v>
      </c>
      <c r="D1296">
        <v>2019</v>
      </c>
      <c r="E1296" t="s">
        <v>47</v>
      </c>
      <c r="F1296">
        <v>65.8</v>
      </c>
      <c r="G1296" t="s">
        <v>351</v>
      </c>
      <c r="H1296">
        <f>electric_vehicles_dataset[[#This Row],[Battery_Capacity_kWh]]/electric_vehicles_dataset[[#This Row],[Range_km]]</f>
        <v>0.15817307692307692</v>
      </c>
      <c r="I1296">
        <v>416</v>
      </c>
      <c r="J1296" t="s">
        <v>54</v>
      </c>
      <c r="K1296">
        <v>5</v>
      </c>
      <c r="L1296" s="1">
        <v>39032.160000000003</v>
      </c>
      <c r="M1296" s="1" t="str" cm="1">
        <f t="array" ref="M129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96" t="s">
        <v>246</v>
      </c>
      <c r="O1296" t="s">
        <v>63</v>
      </c>
      <c r="P1296" s="2" t="s">
        <v>389</v>
      </c>
      <c r="Q1296">
        <v>4</v>
      </c>
      <c r="R1296" t="s">
        <v>392</v>
      </c>
      <c r="S1296" s="1">
        <f>electric_vehicles_dataset[[#This Row],[Units_Sold_2024]]*electric_vehicles_dataset[[#This Row],[Price_USD]]</f>
        <v>310188575.52000004</v>
      </c>
      <c r="T1296">
        <v>4</v>
      </c>
      <c r="U1296">
        <v>7947</v>
      </c>
      <c r="V1296">
        <v>4</v>
      </c>
    </row>
    <row r="1297" spans="1:22" x14ac:dyDescent="0.35">
      <c r="A1297">
        <v>1296</v>
      </c>
      <c r="B1297" t="s">
        <v>45</v>
      </c>
      <c r="C1297" t="s">
        <v>46</v>
      </c>
      <c r="D1297">
        <v>2025</v>
      </c>
      <c r="E1297" t="s">
        <v>104</v>
      </c>
      <c r="F1297">
        <v>46.8</v>
      </c>
      <c r="G1297" t="s">
        <v>348</v>
      </c>
      <c r="H1297">
        <f>electric_vehicles_dataset[[#This Row],[Battery_Capacity_kWh]]/electric_vehicles_dataset[[#This Row],[Range_km]]</f>
        <v>9.8526315789473684E-2</v>
      </c>
      <c r="I1297">
        <v>475</v>
      </c>
      <c r="J1297" t="s">
        <v>48</v>
      </c>
      <c r="K1297">
        <v>12</v>
      </c>
      <c r="L1297" s="1">
        <v>65156.08</v>
      </c>
      <c r="M1297" s="1" t="str" cm="1">
        <f t="array" ref="M12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97" t="s">
        <v>98</v>
      </c>
      <c r="O1297" t="s">
        <v>107</v>
      </c>
      <c r="P1297" s="2" t="s">
        <v>394</v>
      </c>
      <c r="Q1297">
        <v>4</v>
      </c>
      <c r="R1297" t="s">
        <v>392</v>
      </c>
      <c r="S1297" s="1">
        <f>electric_vehicles_dataset[[#This Row],[Units_Sold_2024]]*electric_vehicles_dataset[[#This Row],[Price_USD]]</f>
        <v>1291523817.76</v>
      </c>
      <c r="T1297">
        <v>4</v>
      </c>
      <c r="U1297">
        <v>19822</v>
      </c>
      <c r="V1297">
        <v>3</v>
      </c>
    </row>
    <row r="1298" spans="1:22" x14ac:dyDescent="0.35">
      <c r="A1298">
        <v>1297</v>
      </c>
      <c r="B1298" t="s">
        <v>68</v>
      </c>
      <c r="C1298" t="s">
        <v>289</v>
      </c>
      <c r="D1298">
        <v>2023</v>
      </c>
      <c r="E1298" t="s">
        <v>183</v>
      </c>
      <c r="F1298">
        <v>71.3</v>
      </c>
      <c r="G1298" t="s">
        <v>351</v>
      </c>
      <c r="H1298">
        <f>electric_vehicles_dataset[[#This Row],[Battery_Capacity_kWh]]/electric_vehicles_dataset[[#This Row],[Range_km]]</f>
        <v>0.67904761904761901</v>
      </c>
      <c r="I1298">
        <v>105</v>
      </c>
      <c r="J1298" t="s">
        <v>38</v>
      </c>
      <c r="K1298">
        <v>12</v>
      </c>
      <c r="L1298" s="1">
        <v>44192.11</v>
      </c>
      <c r="M1298" s="1" t="str" cm="1">
        <f t="array" ref="M129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98" t="s">
        <v>210</v>
      </c>
      <c r="O1298" t="s">
        <v>23</v>
      </c>
      <c r="P1298" s="2" t="s">
        <v>389</v>
      </c>
      <c r="Q1298">
        <v>3</v>
      </c>
      <c r="R1298" t="s">
        <v>397</v>
      </c>
      <c r="S1298" s="1">
        <f>electric_vehicles_dataset[[#This Row],[Units_Sold_2024]]*electric_vehicles_dataset[[#This Row],[Price_USD]]</f>
        <v>871468409.20000005</v>
      </c>
      <c r="T1298">
        <v>5</v>
      </c>
      <c r="U1298">
        <v>19720</v>
      </c>
      <c r="V1298">
        <v>3</v>
      </c>
    </row>
    <row r="1299" spans="1:22" x14ac:dyDescent="0.35">
      <c r="A1299">
        <v>1298</v>
      </c>
      <c r="B1299" t="s">
        <v>144</v>
      </c>
      <c r="C1299" t="s">
        <v>273</v>
      </c>
      <c r="D1299">
        <v>2019</v>
      </c>
      <c r="E1299" t="s">
        <v>47</v>
      </c>
      <c r="F1299">
        <v>128.4</v>
      </c>
      <c r="G1299" t="s">
        <v>352</v>
      </c>
      <c r="H1299">
        <f>electric_vehicles_dataset[[#This Row],[Battery_Capacity_kWh]]/electric_vehicles_dataset[[#This Row],[Range_km]]</f>
        <v>0.45371024734982335</v>
      </c>
      <c r="I1299">
        <v>283</v>
      </c>
      <c r="J1299" t="s">
        <v>48</v>
      </c>
      <c r="K1299">
        <v>9</v>
      </c>
      <c r="L1299" s="1">
        <v>30065.37</v>
      </c>
      <c r="M1299" s="1" t="str" cm="1">
        <f t="array" ref="M12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299" t="s">
        <v>19</v>
      </c>
      <c r="O1299" t="s">
        <v>182</v>
      </c>
      <c r="P1299" s="2" t="s">
        <v>394</v>
      </c>
      <c r="Q1299">
        <v>5</v>
      </c>
      <c r="R1299" t="s">
        <v>392</v>
      </c>
      <c r="S1299" s="1">
        <f>electric_vehicles_dataset[[#This Row],[Units_Sold_2024]]*electric_vehicles_dataset[[#This Row],[Price_USD]]</f>
        <v>532818487.13999999</v>
      </c>
      <c r="T1299">
        <v>4</v>
      </c>
      <c r="U1299">
        <v>17722</v>
      </c>
      <c r="V1299">
        <v>5</v>
      </c>
    </row>
    <row r="1300" spans="1:22" x14ac:dyDescent="0.35">
      <c r="A1300">
        <v>1299</v>
      </c>
      <c r="B1300" t="s">
        <v>87</v>
      </c>
      <c r="C1300" t="s">
        <v>381</v>
      </c>
      <c r="D1300">
        <v>2019</v>
      </c>
      <c r="E1300" t="s">
        <v>26</v>
      </c>
      <c r="F1300">
        <v>131.1</v>
      </c>
      <c r="G1300" t="s">
        <v>352</v>
      </c>
      <c r="H1300">
        <f>electric_vehicles_dataset[[#This Row],[Battery_Capacity_kWh]]/electric_vehicles_dataset[[#This Row],[Range_km]]</f>
        <v>0.85129870129870122</v>
      </c>
      <c r="I1300">
        <v>154</v>
      </c>
      <c r="J1300" t="s">
        <v>149</v>
      </c>
      <c r="K1300">
        <v>5</v>
      </c>
      <c r="L1300" s="1">
        <v>133859.25</v>
      </c>
      <c r="M1300" s="1" t="str" cm="1">
        <f t="array" ref="M130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00" t="s">
        <v>22</v>
      </c>
      <c r="O1300" t="s">
        <v>44</v>
      </c>
      <c r="P1300" s="2" t="s">
        <v>389</v>
      </c>
      <c r="Q1300">
        <v>3</v>
      </c>
      <c r="R1300" t="s">
        <v>397</v>
      </c>
      <c r="S1300" s="1">
        <f>electric_vehicles_dataset[[#This Row],[Units_Sold_2024]]*electric_vehicles_dataset[[#This Row],[Price_USD]]</f>
        <v>2677185</v>
      </c>
      <c r="T1300">
        <v>3</v>
      </c>
      <c r="U1300">
        <v>20</v>
      </c>
      <c r="V1300">
        <v>3</v>
      </c>
    </row>
    <row r="1301" spans="1:22" x14ac:dyDescent="0.35">
      <c r="A1301">
        <v>1300</v>
      </c>
      <c r="B1301" t="s">
        <v>108</v>
      </c>
      <c r="C1301" t="s">
        <v>369</v>
      </c>
      <c r="D1301">
        <v>2021</v>
      </c>
      <c r="E1301" t="s">
        <v>183</v>
      </c>
      <c r="F1301">
        <v>108.2</v>
      </c>
      <c r="G1301" t="s">
        <v>361</v>
      </c>
      <c r="H1301">
        <f>electric_vehicles_dataset[[#This Row],[Battery_Capacity_kWh]]/electric_vehicles_dataset[[#This Row],[Range_km]]</f>
        <v>0.71184210526315794</v>
      </c>
      <c r="I1301">
        <v>152</v>
      </c>
      <c r="J1301" t="s">
        <v>149</v>
      </c>
      <c r="K1301">
        <v>8</v>
      </c>
      <c r="L1301" s="1">
        <v>32074.49</v>
      </c>
      <c r="M1301" s="1" t="str" cm="1">
        <f t="array" ref="M130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01" t="s">
        <v>91</v>
      </c>
      <c r="O1301" t="s">
        <v>110</v>
      </c>
      <c r="P1301" s="2" t="s">
        <v>394</v>
      </c>
      <c r="Q1301">
        <v>4</v>
      </c>
      <c r="R1301" t="s">
        <v>392</v>
      </c>
      <c r="S1301" s="1">
        <f>electric_vehicles_dataset[[#This Row],[Units_Sold_2024]]*electric_vehicles_dataset[[#This Row],[Price_USD]]</f>
        <v>568969378.11000001</v>
      </c>
      <c r="T1301">
        <v>4</v>
      </c>
      <c r="U1301">
        <v>17739</v>
      </c>
      <c r="V1301">
        <v>5</v>
      </c>
    </row>
    <row r="1302" spans="1:22" x14ac:dyDescent="0.35">
      <c r="A1302">
        <v>1301</v>
      </c>
      <c r="B1302" t="s">
        <v>176</v>
      </c>
      <c r="C1302" t="s">
        <v>365</v>
      </c>
      <c r="D1302">
        <v>2022</v>
      </c>
      <c r="E1302" t="s">
        <v>90</v>
      </c>
      <c r="F1302">
        <v>26.7</v>
      </c>
      <c r="G1302" t="s">
        <v>357</v>
      </c>
      <c r="H1302">
        <f>electric_vehicles_dataset[[#This Row],[Battery_Capacity_kWh]]/electric_vehicles_dataset[[#This Row],[Range_km]]</f>
        <v>5.4601226993865028E-2</v>
      </c>
      <c r="I1302">
        <v>489</v>
      </c>
      <c r="J1302" t="s">
        <v>356</v>
      </c>
      <c r="K1302">
        <v>11</v>
      </c>
      <c r="L1302" s="1">
        <v>139471.94</v>
      </c>
      <c r="M1302" s="1" t="str" cm="1">
        <f t="array" ref="M130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02" t="s">
        <v>39</v>
      </c>
      <c r="O1302" t="s">
        <v>147</v>
      </c>
      <c r="P1302" s="2" t="s">
        <v>396</v>
      </c>
      <c r="Q1302">
        <v>1</v>
      </c>
      <c r="R1302" t="s">
        <v>391</v>
      </c>
      <c r="S1302" s="1">
        <f>electric_vehicles_dataset[[#This Row],[Units_Sold_2024]]*electric_vehicles_dataset[[#This Row],[Price_USD]]</f>
        <v>142679794.62</v>
      </c>
      <c r="T1302">
        <v>3</v>
      </c>
      <c r="U1302">
        <v>1023</v>
      </c>
      <c r="V1302">
        <v>3</v>
      </c>
    </row>
    <row r="1303" spans="1:22" x14ac:dyDescent="0.35">
      <c r="A1303">
        <v>1302</v>
      </c>
      <c r="B1303" t="s">
        <v>16</v>
      </c>
      <c r="C1303" t="s">
        <v>347</v>
      </c>
      <c r="D1303">
        <v>2021</v>
      </c>
      <c r="E1303" t="s">
        <v>104</v>
      </c>
      <c r="F1303">
        <v>135.5</v>
      </c>
      <c r="G1303" t="s">
        <v>352</v>
      </c>
      <c r="H1303">
        <f>electric_vehicles_dataset[[#This Row],[Battery_Capacity_kWh]]/electric_vehicles_dataset[[#This Row],[Range_km]]</f>
        <v>0.8364197530864198</v>
      </c>
      <c r="I1303">
        <v>162</v>
      </c>
      <c r="J1303" t="s">
        <v>27</v>
      </c>
      <c r="K1303">
        <v>3</v>
      </c>
      <c r="L1303" s="1">
        <v>140272.07999999999</v>
      </c>
      <c r="M1303" s="1" t="str" cm="1">
        <f t="array" ref="M130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03" t="s">
        <v>127</v>
      </c>
      <c r="O1303" t="s">
        <v>161</v>
      </c>
      <c r="P1303" s="2" t="s">
        <v>389</v>
      </c>
      <c r="Q1303">
        <v>1</v>
      </c>
      <c r="R1303" t="s">
        <v>391</v>
      </c>
      <c r="S1303" s="1">
        <f>electric_vehicles_dataset[[#This Row],[Units_Sold_2024]]*electric_vehicles_dataset[[#This Row],[Price_USD]]</f>
        <v>2224434644.6399999</v>
      </c>
      <c r="T1303">
        <v>4</v>
      </c>
      <c r="U1303">
        <v>15858</v>
      </c>
      <c r="V1303">
        <v>4</v>
      </c>
    </row>
    <row r="1304" spans="1:22" x14ac:dyDescent="0.35">
      <c r="A1304">
        <v>1303</v>
      </c>
      <c r="B1304" t="s">
        <v>68</v>
      </c>
      <c r="C1304" t="s">
        <v>69</v>
      </c>
      <c r="D1304">
        <v>2021</v>
      </c>
      <c r="E1304" t="s">
        <v>47</v>
      </c>
      <c r="F1304">
        <v>137.30000000000001</v>
      </c>
      <c r="G1304" t="s">
        <v>352</v>
      </c>
      <c r="H1304">
        <f>electric_vehicles_dataset[[#This Row],[Battery_Capacity_kWh]]/electric_vehicles_dataset[[#This Row],[Range_km]]</f>
        <v>0.45016393442622954</v>
      </c>
      <c r="I1304">
        <v>305</v>
      </c>
      <c r="J1304" t="s">
        <v>149</v>
      </c>
      <c r="K1304">
        <v>2</v>
      </c>
      <c r="L1304" s="1">
        <v>142799.82</v>
      </c>
      <c r="M1304" s="1" t="str" cm="1">
        <f t="array" ref="M130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04" t="s">
        <v>28</v>
      </c>
      <c r="O1304" t="s">
        <v>44</v>
      </c>
      <c r="P1304" s="2" t="s">
        <v>389</v>
      </c>
      <c r="Q1304">
        <v>1</v>
      </c>
      <c r="R1304" t="s">
        <v>391</v>
      </c>
      <c r="S1304" s="1">
        <f>electric_vehicles_dataset[[#This Row],[Units_Sold_2024]]*electric_vehicles_dataset[[#This Row],[Price_USD]]</f>
        <v>2795163676.6800003</v>
      </c>
      <c r="T1304">
        <v>5</v>
      </c>
      <c r="U1304">
        <v>19574</v>
      </c>
      <c r="V1304">
        <v>4</v>
      </c>
    </row>
    <row r="1305" spans="1:22" x14ac:dyDescent="0.35">
      <c r="A1305">
        <v>1304</v>
      </c>
      <c r="B1305" t="s">
        <v>173</v>
      </c>
      <c r="C1305" t="s">
        <v>249</v>
      </c>
      <c r="D1305">
        <v>2020</v>
      </c>
      <c r="E1305" t="s">
        <v>53</v>
      </c>
      <c r="F1305">
        <v>75.3</v>
      </c>
      <c r="G1305" t="s">
        <v>351</v>
      </c>
      <c r="H1305">
        <f>electric_vehicles_dataset[[#This Row],[Battery_Capacity_kWh]]/electric_vehicles_dataset[[#This Row],[Range_km]]</f>
        <v>0.39424083769633506</v>
      </c>
      <c r="I1305">
        <v>191</v>
      </c>
      <c r="J1305" t="s">
        <v>85</v>
      </c>
      <c r="K1305">
        <v>11</v>
      </c>
      <c r="L1305" s="1">
        <v>51696</v>
      </c>
      <c r="M1305" s="1" t="str" cm="1">
        <f t="array" ref="M13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05" t="s">
        <v>160</v>
      </c>
      <c r="O1305" t="s">
        <v>115</v>
      </c>
      <c r="P1305" s="2" t="s">
        <v>396</v>
      </c>
      <c r="Q1305">
        <v>1</v>
      </c>
      <c r="R1305" t="s">
        <v>391</v>
      </c>
      <c r="S1305" s="1">
        <f>electric_vehicles_dataset[[#This Row],[Units_Sold_2024]]*electric_vehicles_dataset[[#This Row],[Price_USD]]</f>
        <v>744629184</v>
      </c>
      <c r="T1305">
        <v>4</v>
      </c>
      <c r="U1305">
        <v>14404</v>
      </c>
      <c r="V1305">
        <v>3</v>
      </c>
    </row>
    <row r="1306" spans="1:22" x14ac:dyDescent="0.35">
      <c r="A1306">
        <v>1305</v>
      </c>
      <c r="B1306" t="s">
        <v>180</v>
      </c>
      <c r="C1306" t="s">
        <v>181</v>
      </c>
      <c r="D1306">
        <v>2019</v>
      </c>
      <c r="E1306" t="s">
        <v>130</v>
      </c>
      <c r="F1306">
        <v>137.1</v>
      </c>
      <c r="G1306" t="s">
        <v>352</v>
      </c>
      <c r="H1306">
        <f>electric_vehicles_dataset[[#This Row],[Battery_Capacity_kWh]]/electric_vehicles_dataset[[#This Row],[Range_km]]</f>
        <v>0.53764705882352937</v>
      </c>
      <c r="I1306">
        <v>255</v>
      </c>
      <c r="J1306" t="s">
        <v>54</v>
      </c>
      <c r="K1306">
        <v>8</v>
      </c>
      <c r="L1306" s="1">
        <v>69081.64</v>
      </c>
      <c r="M1306" s="1" t="str" cm="1">
        <f t="array" ref="M130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06" t="s">
        <v>160</v>
      </c>
      <c r="O1306" t="s">
        <v>159</v>
      </c>
      <c r="P1306" s="2" t="s">
        <v>389</v>
      </c>
      <c r="Q1306">
        <v>2</v>
      </c>
      <c r="R1306" t="s">
        <v>391</v>
      </c>
      <c r="S1306" s="1">
        <f>electric_vehicles_dataset[[#This Row],[Units_Sold_2024]]*electric_vehicles_dataset[[#This Row],[Price_USD]]</f>
        <v>1209619516.4000001</v>
      </c>
      <c r="T1306">
        <v>3</v>
      </c>
      <c r="U1306">
        <v>17510</v>
      </c>
      <c r="V1306">
        <v>3</v>
      </c>
    </row>
    <row r="1307" spans="1:22" x14ac:dyDescent="0.35">
      <c r="A1307">
        <v>1306</v>
      </c>
      <c r="B1307" t="s">
        <v>56</v>
      </c>
      <c r="C1307" t="s">
        <v>57</v>
      </c>
      <c r="D1307">
        <v>2022</v>
      </c>
      <c r="E1307" t="s">
        <v>26</v>
      </c>
      <c r="F1307">
        <v>30.6</v>
      </c>
      <c r="G1307" t="s">
        <v>357</v>
      </c>
      <c r="H1307">
        <f>electric_vehicles_dataset[[#This Row],[Battery_Capacity_kWh]]/electric_vehicles_dataset[[#This Row],[Range_km]]</f>
        <v>0.18000000000000002</v>
      </c>
      <c r="I1307">
        <v>170</v>
      </c>
      <c r="J1307" t="s">
        <v>54</v>
      </c>
      <c r="K1307">
        <v>4</v>
      </c>
      <c r="L1307" s="1">
        <v>71723.78</v>
      </c>
      <c r="M1307" s="1" t="str" cm="1">
        <f t="array" ref="M13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07" t="s">
        <v>175</v>
      </c>
      <c r="O1307" t="s">
        <v>23</v>
      </c>
      <c r="P1307" s="2" t="s">
        <v>389</v>
      </c>
      <c r="Q1307">
        <v>4</v>
      </c>
      <c r="R1307" t="s">
        <v>392</v>
      </c>
      <c r="S1307" s="1">
        <f>electric_vehicles_dataset[[#This Row],[Units_Sold_2024]]*electric_vehicles_dataset[[#This Row],[Price_USD]]</f>
        <v>300164019.30000001</v>
      </c>
      <c r="T1307">
        <v>4</v>
      </c>
      <c r="U1307">
        <v>4185</v>
      </c>
      <c r="V1307">
        <v>5</v>
      </c>
    </row>
    <row r="1308" spans="1:22" x14ac:dyDescent="0.35">
      <c r="A1308">
        <v>1307</v>
      </c>
      <c r="B1308" t="s">
        <v>120</v>
      </c>
      <c r="C1308" t="s">
        <v>252</v>
      </c>
      <c r="D1308">
        <v>2016</v>
      </c>
      <c r="E1308" t="s">
        <v>53</v>
      </c>
      <c r="F1308">
        <v>113.2</v>
      </c>
      <c r="G1308" t="s">
        <v>361</v>
      </c>
      <c r="H1308">
        <f>electric_vehicles_dataset[[#This Row],[Battery_Capacity_kWh]]/electric_vehicles_dataset[[#This Row],[Range_km]]</f>
        <v>0.33196480938416423</v>
      </c>
      <c r="I1308">
        <v>341</v>
      </c>
      <c r="J1308" t="s">
        <v>353</v>
      </c>
      <c r="K1308">
        <v>11</v>
      </c>
      <c r="L1308" s="1">
        <v>106811.1</v>
      </c>
      <c r="M1308" s="1" t="str" cm="1">
        <f t="array" ref="M130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08" t="s">
        <v>238</v>
      </c>
      <c r="O1308" t="s">
        <v>40</v>
      </c>
      <c r="P1308" s="2" t="s">
        <v>395</v>
      </c>
      <c r="Q1308">
        <v>3</v>
      </c>
      <c r="R1308" t="s">
        <v>397</v>
      </c>
      <c r="S1308" s="1">
        <f>electric_vehicles_dataset[[#This Row],[Units_Sold_2024]]*electric_vehicles_dataset[[#This Row],[Price_USD]]</f>
        <v>862286010.30000007</v>
      </c>
      <c r="T1308">
        <v>5</v>
      </c>
      <c r="U1308">
        <v>8073</v>
      </c>
      <c r="V1308">
        <v>5</v>
      </c>
    </row>
    <row r="1309" spans="1:22" x14ac:dyDescent="0.35">
      <c r="A1309">
        <v>1308</v>
      </c>
      <c r="B1309" t="s">
        <v>243</v>
      </c>
      <c r="C1309" t="s">
        <v>371</v>
      </c>
      <c r="D1309">
        <v>2025</v>
      </c>
      <c r="E1309" t="s">
        <v>104</v>
      </c>
      <c r="F1309">
        <v>92</v>
      </c>
      <c r="G1309" t="s">
        <v>350</v>
      </c>
      <c r="H1309">
        <f>electric_vehicles_dataset[[#This Row],[Battery_Capacity_kWh]]/electric_vehicles_dataset[[#This Row],[Range_km]]</f>
        <v>0.49197860962566847</v>
      </c>
      <c r="I1309">
        <v>187</v>
      </c>
      <c r="J1309" t="s">
        <v>85</v>
      </c>
      <c r="K1309">
        <v>7</v>
      </c>
      <c r="L1309" s="1">
        <v>66632.86</v>
      </c>
      <c r="M1309" s="1" t="str" cm="1">
        <f t="array" ref="M130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09" t="s">
        <v>106</v>
      </c>
      <c r="O1309" t="s">
        <v>202</v>
      </c>
      <c r="P1309" s="2" t="s">
        <v>393</v>
      </c>
      <c r="Q1309">
        <v>3</v>
      </c>
      <c r="R1309" t="s">
        <v>397</v>
      </c>
      <c r="S1309" s="1">
        <f>electric_vehicles_dataset[[#This Row],[Units_Sold_2024]]*electric_vehicles_dataset[[#This Row],[Price_USD]]</f>
        <v>1096843508.46</v>
      </c>
      <c r="T1309">
        <v>3</v>
      </c>
      <c r="U1309">
        <v>16461</v>
      </c>
      <c r="V1309">
        <v>4</v>
      </c>
    </row>
    <row r="1310" spans="1:22" x14ac:dyDescent="0.35">
      <c r="A1310">
        <v>1309</v>
      </c>
      <c r="B1310" t="s">
        <v>262</v>
      </c>
      <c r="C1310" t="s">
        <v>373</v>
      </c>
      <c r="D1310">
        <v>2024</v>
      </c>
      <c r="E1310" t="s">
        <v>58</v>
      </c>
      <c r="F1310">
        <v>78.3</v>
      </c>
      <c r="G1310" t="s">
        <v>351</v>
      </c>
      <c r="H1310">
        <f>electric_vehicles_dataset[[#This Row],[Battery_Capacity_kWh]]/electric_vehicles_dataset[[#This Row],[Range_km]]</f>
        <v>0.61171874999999998</v>
      </c>
      <c r="I1310">
        <v>128</v>
      </c>
      <c r="J1310" t="s">
        <v>38</v>
      </c>
      <c r="K1310">
        <v>11</v>
      </c>
      <c r="L1310" s="1">
        <v>93491.16</v>
      </c>
      <c r="M1310" s="1" t="str" cm="1">
        <f t="array" ref="M131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10" t="s">
        <v>238</v>
      </c>
      <c r="O1310" t="s">
        <v>67</v>
      </c>
      <c r="P1310" s="2" t="s">
        <v>394</v>
      </c>
      <c r="Q1310">
        <v>4</v>
      </c>
      <c r="R1310" t="s">
        <v>392</v>
      </c>
      <c r="S1310" s="1">
        <f>electric_vehicles_dataset[[#This Row],[Units_Sold_2024]]*electric_vehicles_dataset[[#This Row],[Price_USD]]</f>
        <v>824779013.51999998</v>
      </c>
      <c r="T1310">
        <v>4</v>
      </c>
      <c r="U1310">
        <v>8822</v>
      </c>
      <c r="V1310">
        <v>4</v>
      </c>
    </row>
    <row r="1311" spans="1:22" x14ac:dyDescent="0.35">
      <c r="A1311">
        <v>1310</v>
      </c>
      <c r="B1311" t="s">
        <v>128</v>
      </c>
      <c r="C1311" t="s">
        <v>129</v>
      </c>
      <c r="D1311">
        <v>2025</v>
      </c>
      <c r="E1311" t="s">
        <v>31</v>
      </c>
      <c r="F1311">
        <v>66.400000000000006</v>
      </c>
      <c r="G1311" t="s">
        <v>351</v>
      </c>
      <c r="H1311">
        <f>electric_vehicles_dataset[[#This Row],[Battery_Capacity_kWh]]/electric_vehicles_dataset[[#This Row],[Range_km]]</f>
        <v>0.38604651162790699</v>
      </c>
      <c r="I1311">
        <v>172</v>
      </c>
      <c r="J1311" t="s">
        <v>54</v>
      </c>
      <c r="K1311">
        <v>6</v>
      </c>
      <c r="L1311" s="1">
        <v>93470.93</v>
      </c>
      <c r="M1311" s="1" t="str" cm="1">
        <f t="array" ref="M13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11" t="s">
        <v>277</v>
      </c>
      <c r="O1311" t="s">
        <v>265</v>
      </c>
      <c r="P1311" s="2" t="s">
        <v>389</v>
      </c>
      <c r="Q1311">
        <v>4</v>
      </c>
      <c r="R1311" t="s">
        <v>392</v>
      </c>
      <c r="S1311" s="1">
        <f>electric_vehicles_dataset[[#This Row],[Units_Sold_2024]]*electric_vehicles_dataset[[#This Row],[Price_USD]]</f>
        <v>1778190972.3199999</v>
      </c>
      <c r="T1311">
        <v>4</v>
      </c>
      <c r="U1311">
        <v>19024</v>
      </c>
      <c r="V1311">
        <v>4</v>
      </c>
    </row>
    <row r="1312" spans="1:22" x14ac:dyDescent="0.35">
      <c r="A1312">
        <v>1311</v>
      </c>
      <c r="B1312" t="s">
        <v>136</v>
      </c>
      <c r="C1312" t="s">
        <v>137</v>
      </c>
      <c r="D1312">
        <v>2018</v>
      </c>
      <c r="E1312" t="s">
        <v>133</v>
      </c>
      <c r="F1312">
        <v>57.6</v>
      </c>
      <c r="G1312" t="s">
        <v>348</v>
      </c>
      <c r="H1312">
        <f>electric_vehicles_dataset[[#This Row],[Battery_Capacity_kWh]]/electric_vehicles_dataset[[#This Row],[Range_km]]</f>
        <v>0.10267379679144385</v>
      </c>
      <c r="I1312">
        <v>561</v>
      </c>
      <c r="J1312" t="s">
        <v>359</v>
      </c>
      <c r="K1312">
        <v>1</v>
      </c>
      <c r="L1312" s="1">
        <v>57764.160000000003</v>
      </c>
      <c r="M1312" s="1" t="str" cm="1">
        <f t="array" ref="M131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12" t="s">
        <v>246</v>
      </c>
      <c r="O1312" t="s">
        <v>107</v>
      </c>
      <c r="P1312" s="2" t="s">
        <v>394</v>
      </c>
      <c r="Q1312">
        <v>4</v>
      </c>
      <c r="R1312" t="s">
        <v>392</v>
      </c>
      <c r="S1312" s="1">
        <f>electric_vehicles_dataset[[#This Row],[Units_Sold_2024]]*electric_vehicles_dataset[[#This Row],[Price_USD]]</f>
        <v>157349571.84</v>
      </c>
      <c r="T1312">
        <v>4</v>
      </c>
      <c r="U1312">
        <v>2724</v>
      </c>
      <c r="V1312">
        <v>3</v>
      </c>
    </row>
    <row r="1313" spans="1:22" x14ac:dyDescent="0.35">
      <c r="A1313">
        <v>1312</v>
      </c>
      <c r="B1313" t="s">
        <v>136</v>
      </c>
      <c r="C1313" t="s">
        <v>137</v>
      </c>
      <c r="D1313">
        <v>2018</v>
      </c>
      <c r="E1313" t="s">
        <v>26</v>
      </c>
      <c r="F1313">
        <v>103.8</v>
      </c>
      <c r="G1313" t="s">
        <v>361</v>
      </c>
      <c r="H1313">
        <f>electric_vehicles_dataset[[#This Row],[Battery_Capacity_kWh]]/electric_vehicles_dataset[[#This Row],[Range_km]]</f>
        <v>0.18210526315789474</v>
      </c>
      <c r="I1313">
        <v>570</v>
      </c>
      <c r="J1313" t="s">
        <v>85</v>
      </c>
      <c r="K1313">
        <v>5</v>
      </c>
      <c r="L1313" s="1">
        <v>34492.15</v>
      </c>
      <c r="M1313" s="1" t="str" cm="1">
        <f t="array" ref="M13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13" t="s">
        <v>152</v>
      </c>
      <c r="O1313" t="s">
        <v>206</v>
      </c>
      <c r="P1313" s="2" t="s">
        <v>394</v>
      </c>
      <c r="Q1313">
        <v>1</v>
      </c>
      <c r="R1313" t="s">
        <v>391</v>
      </c>
      <c r="S1313" s="1">
        <f>electric_vehicles_dataset[[#This Row],[Units_Sold_2024]]*electric_vehicles_dataset[[#This Row],[Price_USD]]</f>
        <v>196743223.59999999</v>
      </c>
      <c r="T1313">
        <v>4</v>
      </c>
      <c r="U1313">
        <v>5704</v>
      </c>
      <c r="V1313">
        <v>4</v>
      </c>
    </row>
    <row r="1314" spans="1:22" x14ac:dyDescent="0.35">
      <c r="A1314">
        <v>1313</v>
      </c>
      <c r="B1314" t="s">
        <v>82</v>
      </c>
      <c r="C1314" t="s">
        <v>281</v>
      </c>
      <c r="D1314">
        <v>2018</v>
      </c>
      <c r="E1314" t="s">
        <v>84</v>
      </c>
      <c r="F1314">
        <v>57.1</v>
      </c>
      <c r="G1314" t="s">
        <v>348</v>
      </c>
      <c r="H1314">
        <f>electric_vehicles_dataset[[#This Row],[Battery_Capacity_kWh]]/electric_vehicles_dataset[[#This Row],[Range_km]]</f>
        <v>0.14869791666666668</v>
      </c>
      <c r="I1314">
        <v>384</v>
      </c>
      <c r="J1314" t="s">
        <v>358</v>
      </c>
      <c r="K1314">
        <v>3</v>
      </c>
      <c r="L1314" s="1">
        <v>112112.55</v>
      </c>
      <c r="M1314" s="1" t="str" cm="1">
        <f t="array" ref="M131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14" t="s">
        <v>146</v>
      </c>
      <c r="O1314" t="s">
        <v>86</v>
      </c>
      <c r="P1314" s="2" t="s">
        <v>389</v>
      </c>
      <c r="Q1314">
        <v>1</v>
      </c>
      <c r="R1314" t="s">
        <v>391</v>
      </c>
      <c r="S1314" s="1">
        <f>electric_vehicles_dataset[[#This Row],[Units_Sold_2024]]*electric_vehicles_dataset[[#This Row],[Price_USD]]</f>
        <v>781312360.95000005</v>
      </c>
      <c r="T1314">
        <v>5</v>
      </c>
      <c r="U1314">
        <v>6969</v>
      </c>
      <c r="V1314">
        <v>4</v>
      </c>
    </row>
    <row r="1315" spans="1:22" x14ac:dyDescent="0.35">
      <c r="A1315">
        <v>1314</v>
      </c>
      <c r="B1315" t="s">
        <v>259</v>
      </c>
      <c r="C1315" t="s">
        <v>298</v>
      </c>
      <c r="D1315">
        <v>2022</v>
      </c>
      <c r="E1315" t="s">
        <v>183</v>
      </c>
      <c r="F1315">
        <v>124.8</v>
      </c>
      <c r="G1315" t="s">
        <v>352</v>
      </c>
      <c r="H1315">
        <f>electric_vehicles_dataset[[#This Row],[Battery_Capacity_kWh]]/electric_vehicles_dataset[[#This Row],[Range_km]]</f>
        <v>0.34475138121546961</v>
      </c>
      <c r="I1315">
        <v>362</v>
      </c>
      <c r="J1315" t="s">
        <v>27</v>
      </c>
      <c r="K1315">
        <v>2</v>
      </c>
      <c r="L1315" s="1">
        <v>97743.01</v>
      </c>
      <c r="M1315" s="1" t="str" cm="1">
        <f t="array" ref="M131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15" t="s">
        <v>175</v>
      </c>
      <c r="O1315" t="s">
        <v>202</v>
      </c>
      <c r="P1315" s="2" t="s">
        <v>393</v>
      </c>
      <c r="Q1315">
        <v>3</v>
      </c>
      <c r="R1315" t="s">
        <v>397</v>
      </c>
      <c r="S1315" s="1">
        <f>electric_vehicles_dataset[[#This Row],[Units_Sold_2024]]*electric_vehicles_dataset[[#This Row],[Price_USD]]</f>
        <v>1590376515.7099998</v>
      </c>
      <c r="T1315">
        <v>4</v>
      </c>
      <c r="U1315">
        <v>16271</v>
      </c>
      <c r="V1315">
        <v>3</v>
      </c>
    </row>
    <row r="1316" spans="1:22" x14ac:dyDescent="0.35">
      <c r="A1316">
        <v>1315</v>
      </c>
      <c r="B1316" t="s">
        <v>269</v>
      </c>
      <c r="C1316" t="s">
        <v>340</v>
      </c>
      <c r="D1316">
        <v>2022</v>
      </c>
      <c r="E1316" t="s">
        <v>17</v>
      </c>
      <c r="F1316">
        <v>69.3</v>
      </c>
      <c r="G1316" t="s">
        <v>351</v>
      </c>
      <c r="H1316">
        <f>electric_vehicles_dataset[[#This Row],[Battery_Capacity_kWh]]/electric_vehicles_dataset[[#This Row],[Range_km]]</f>
        <v>0.37868852459016394</v>
      </c>
      <c r="I1316">
        <v>183</v>
      </c>
      <c r="J1316" t="s">
        <v>34</v>
      </c>
      <c r="K1316">
        <v>7</v>
      </c>
      <c r="L1316" s="1">
        <v>37836.53</v>
      </c>
      <c r="M1316" s="1" t="str" cm="1">
        <f t="array" ref="M131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16" t="s">
        <v>127</v>
      </c>
      <c r="O1316" t="s">
        <v>159</v>
      </c>
      <c r="P1316" s="2" t="s">
        <v>389</v>
      </c>
      <c r="Q1316">
        <v>3</v>
      </c>
      <c r="R1316" t="s">
        <v>397</v>
      </c>
      <c r="S1316" s="1">
        <f>electric_vehicles_dataset[[#This Row],[Units_Sold_2024]]*electric_vehicles_dataset[[#This Row],[Price_USD]]</f>
        <v>466259559.19</v>
      </c>
      <c r="T1316">
        <v>4</v>
      </c>
      <c r="U1316">
        <v>12323</v>
      </c>
      <c r="V1316">
        <v>5</v>
      </c>
    </row>
    <row r="1317" spans="1:22" x14ac:dyDescent="0.35">
      <c r="A1317">
        <v>1316</v>
      </c>
      <c r="B1317" t="s">
        <v>170</v>
      </c>
      <c r="C1317" t="s">
        <v>275</v>
      </c>
      <c r="D1317">
        <v>2019</v>
      </c>
      <c r="E1317" t="s">
        <v>53</v>
      </c>
      <c r="F1317">
        <v>64.400000000000006</v>
      </c>
      <c r="G1317" t="s">
        <v>351</v>
      </c>
      <c r="H1317">
        <f>electric_vehicles_dataset[[#This Row],[Battery_Capacity_kWh]]/electric_vehicles_dataset[[#This Row],[Range_km]]</f>
        <v>0.15631067961165049</v>
      </c>
      <c r="I1317">
        <v>412</v>
      </c>
      <c r="J1317" t="s">
        <v>76</v>
      </c>
      <c r="K1317">
        <v>8</v>
      </c>
      <c r="L1317" s="1">
        <v>43459.86</v>
      </c>
      <c r="M1317" s="1" t="str" cm="1">
        <f t="array" ref="M131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17" t="s">
        <v>19</v>
      </c>
      <c r="O1317" t="s">
        <v>139</v>
      </c>
      <c r="P1317" s="2" t="s">
        <v>389</v>
      </c>
      <c r="Q1317">
        <v>3</v>
      </c>
      <c r="R1317" t="s">
        <v>397</v>
      </c>
      <c r="S1317" s="1">
        <f>electric_vehicles_dataset[[#This Row],[Units_Sold_2024]]*electric_vehicles_dataset[[#This Row],[Price_USD]]</f>
        <v>333163286.75999999</v>
      </c>
      <c r="T1317">
        <v>4</v>
      </c>
      <c r="U1317">
        <v>7666</v>
      </c>
      <c r="V1317">
        <v>5</v>
      </c>
    </row>
    <row r="1318" spans="1:22" x14ac:dyDescent="0.35">
      <c r="A1318">
        <v>1317</v>
      </c>
      <c r="B1318" t="s">
        <v>215</v>
      </c>
      <c r="C1318" t="s">
        <v>377</v>
      </c>
      <c r="D1318">
        <v>2017</v>
      </c>
      <c r="E1318" t="s">
        <v>58</v>
      </c>
      <c r="F1318">
        <v>111.6</v>
      </c>
      <c r="G1318" t="s">
        <v>361</v>
      </c>
      <c r="H1318">
        <f>electric_vehicles_dataset[[#This Row],[Battery_Capacity_kWh]]/electric_vehicles_dataset[[#This Row],[Range_km]]</f>
        <v>0.29680851063829788</v>
      </c>
      <c r="I1318">
        <v>376</v>
      </c>
      <c r="J1318" t="s">
        <v>358</v>
      </c>
      <c r="K1318">
        <v>8</v>
      </c>
      <c r="L1318" s="1">
        <v>64861.13</v>
      </c>
      <c r="M1318" s="1" t="str" cm="1">
        <f t="array" ref="M131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18" t="s">
        <v>179</v>
      </c>
      <c r="O1318" t="s">
        <v>23</v>
      </c>
      <c r="P1318" s="2" t="s">
        <v>389</v>
      </c>
      <c r="Q1318">
        <v>3</v>
      </c>
      <c r="R1318" t="s">
        <v>397</v>
      </c>
      <c r="S1318" s="1">
        <f>electric_vehicles_dataset[[#This Row],[Units_Sold_2024]]*electric_vehicles_dataset[[#This Row],[Price_USD]]</f>
        <v>632331156.37</v>
      </c>
      <c r="T1318">
        <v>5</v>
      </c>
      <c r="U1318">
        <v>9749</v>
      </c>
      <c r="V1318">
        <v>5</v>
      </c>
    </row>
    <row r="1319" spans="1:22" x14ac:dyDescent="0.35">
      <c r="A1319">
        <v>1318</v>
      </c>
      <c r="B1319" t="s">
        <v>51</v>
      </c>
      <c r="C1319" t="s">
        <v>162</v>
      </c>
      <c r="D1319">
        <v>2024</v>
      </c>
      <c r="E1319" t="s">
        <v>17</v>
      </c>
      <c r="F1319">
        <v>79.5</v>
      </c>
      <c r="G1319" t="s">
        <v>351</v>
      </c>
      <c r="H1319">
        <f>electric_vehicles_dataset[[#This Row],[Battery_Capacity_kWh]]/electric_vehicles_dataset[[#This Row],[Range_km]]</f>
        <v>0.27508650519031141</v>
      </c>
      <c r="I1319">
        <v>289</v>
      </c>
      <c r="J1319" t="s">
        <v>345</v>
      </c>
      <c r="K1319">
        <v>3</v>
      </c>
      <c r="L1319" s="1">
        <v>139300.64000000001</v>
      </c>
      <c r="M1319" s="1" t="str" cm="1">
        <f t="array" ref="M131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19" t="s">
        <v>165</v>
      </c>
      <c r="O1319" t="s">
        <v>230</v>
      </c>
      <c r="P1319" s="2" t="s">
        <v>389</v>
      </c>
      <c r="Q1319">
        <v>5</v>
      </c>
      <c r="R1319" t="s">
        <v>392</v>
      </c>
      <c r="S1319" s="1">
        <f>electric_vehicles_dataset[[#This Row],[Units_Sold_2024]]*electric_vehicles_dataset[[#This Row],[Price_USD]]</f>
        <v>2365882069.7600002</v>
      </c>
      <c r="T1319">
        <v>3</v>
      </c>
      <c r="U1319">
        <v>16984</v>
      </c>
      <c r="V1319">
        <v>5</v>
      </c>
    </row>
    <row r="1320" spans="1:22" x14ac:dyDescent="0.35">
      <c r="A1320">
        <v>1319</v>
      </c>
      <c r="B1320" t="s">
        <v>64</v>
      </c>
      <c r="C1320" t="s">
        <v>65</v>
      </c>
      <c r="D1320">
        <v>2017</v>
      </c>
      <c r="E1320" t="s">
        <v>101</v>
      </c>
      <c r="F1320">
        <v>29.3</v>
      </c>
      <c r="G1320" t="s">
        <v>357</v>
      </c>
      <c r="H1320">
        <f>electric_vehicles_dataset[[#This Row],[Battery_Capacity_kWh]]/electric_vehicles_dataset[[#This Row],[Range_km]]</f>
        <v>6.0914760914760918E-2</v>
      </c>
      <c r="I1320">
        <v>481</v>
      </c>
      <c r="J1320" t="s">
        <v>345</v>
      </c>
      <c r="K1320">
        <v>9</v>
      </c>
      <c r="L1320" s="1">
        <v>103104.33</v>
      </c>
      <c r="M1320" s="1" t="str" cm="1">
        <f t="array" ref="M132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20" t="s">
        <v>117</v>
      </c>
      <c r="O1320" t="s">
        <v>92</v>
      </c>
      <c r="P1320" s="2" t="s">
        <v>394</v>
      </c>
      <c r="Q1320">
        <v>2</v>
      </c>
      <c r="R1320" t="s">
        <v>391</v>
      </c>
      <c r="S1320" s="1">
        <f>electric_vehicles_dataset[[#This Row],[Units_Sold_2024]]*electric_vehicles_dataset[[#This Row],[Price_USD]]</f>
        <v>1526562709.98</v>
      </c>
      <c r="T1320">
        <v>5</v>
      </c>
      <c r="U1320">
        <v>14806</v>
      </c>
      <c r="V1320">
        <v>3</v>
      </c>
    </row>
    <row r="1321" spans="1:22" x14ac:dyDescent="0.35">
      <c r="A1321">
        <v>1320</v>
      </c>
      <c r="B1321" t="s">
        <v>45</v>
      </c>
      <c r="C1321" t="s">
        <v>132</v>
      </c>
      <c r="D1321">
        <v>2020</v>
      </c>
      <c r="E1321" t="s">
        <v>183</v>
      </c>
      <c r="F1321">
        <v>95.5</v>
      </c>
      <c r="G1321" t="s">
        <v>350</v>
      </c>
      <c r="H1321">
        <f>electric_vehicles_dataset[[#This Row],[Battery_Capacity_kWh]]/electric_vehicles_dataset[[#This Row],[Range_km]]</f>
        <v>0.37747035573122528</v>
      </c>
      <c r="I1321">
        <v>253</v>
      </c>
      <c r="J1321" t="s">
        <v>105</v>
      </c>
      <c r="K1321">
        <v>11</v>
      </c>
      <c r="L1321" s="1">
        <v>127306.22</v>
      </c>
      <c r="M1321" s="1" t="str" cm="1">
        <f t="array" ref="M132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21" t="s">
        <v>81</v>
      </c>
      <c r="O1321" t="s">
        <v>134</v>
      </c>
      <c r="P1321" s="2" t="s">
        <v>389</v>
      </c>
      <c r="Q1321">
        <v>1</v>
      </c>
      <c r="R1321" t="s">
        <v>391</v>
      </c>
      <c r="S1321" s="1">
        <f>electric_vehicles_dataset[[#This Row],[Units_Sold_2024]]*electric_vehicles_dataset[[#This Row],[Price_USD]]</f>
        <v>2182028610.8000002</v>
      </c>
      <c r="T1321">
        <v>3</v>
      </c>
      <c r="U1321">
        <v>17140</v>
      </c>
      <c r="V1321">
        <v>4</v>
      </c>
    </row>
    <row r="1322" spans="1:22" x14ac:dyDescent="0.35">
      <c r="A1322">
        <v>1321</v>
      </c>
      <c r="B1322" t="s">
        <v>207</v>
      </c>
      <c r="C1322" t="s">
        <v>304</v>
      </c>
      <c r="D1322">
        <v>2016</v>
      </c>
      <c r="E1322" t="s">
        <v>101</v>
      </c>
      <c r="F1322">
        <v>114.4</v>
      </c>
      <c r="G1322" t="s">
        <v>361</v>
      </c>
      <c r="H1322">
        <f>electric_vehicles_dataset[[#This Row],[Battery_Capacity_kWh]]/electric_vehicles_dataset[[#This Row],[Range_km]]</f>
        <v>0.26854460093896715</v>
      </c>
      <c r="I1322">
        <v>426</v>
      </c>
      <c r="J1322" t="s">
        <v>76</v>
      </c>
      <c r="K1322">
        <v>3</v>
      </c>
      <c r="L1322" s="1">
        <v>90333.3</v>
      </c>
      <c r="M1322" s="1" t="str" cm="1">
        <f t="array" ref="M132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22" t="s">
        <v>62</v>
      </c>
      <c r="O1322" t="s">
        <v>199</v>
      </c>
      <c r="P1322" s="2" t="s">
        <v>394</v>
      </c>
      <c r="Q1322">
        <v>0</v>
      </c>
      <c r="R1322" t="s">
        <v>390</v>
      </c>
      <c r="S1322" s="1">
        <f>electric_vehicles_dataset[[#This Row],[Units_Sold_2024]]*electric_vehicles_dataset[[#This Row],[Price_USD]]</f>
        <v>1455359796.3</v>
      </c>
      <c r="T1322">
        <v>5</v>
      </c>
      <c r="U1322">
        <v>16111</v>
      </c>
      <c r="V1322">
        <v>5</v>
      </c>
    </row>
    <row r="1323" spans="1:22" x14ac:dyDescent="0.35">
      <c r="A1323">
        <v>1322</v>
      </c>
      <c r="B1323" t="s">
        <v>200</v>
      </c>
      <c r="C1323" t="s">
        <v>327</v>
      </c>
      <c r="D1323">
        <v>2020</v>
      </c>
      <c r="E1323" t="s">
        <v>90</v>
      </c>
      <c r="F1323">
        <v>21.5</v>
      </c>
      <c r="G1323" t="s">
        <v>357</v>
      </c>
      <c r="H1323">
        <f>electric_vehicles_dataset[[#This Row],[Battery_Capacity_kWh]]/electric_vehicles_dataset[[#This Row],[Range_km]]</f>
        <v>4.1346153846153845E-2</v>
      </c>
      <c r="I1323">
        <v>520</v>
      </c>
      <c r="J1323" t="s">
        <v>76</v>
      </c>
      <c r="K1323">
        <v>9</v>
      </c>
      <c r="L1323" s="1">
        <v>104063.42</v>
      </c>
      <c r="M1323" s="1" t="str" cm="1">
        <f t="array" ref="M132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23" t="s">
        <v>142</v>
      </c>
      <c r="O1323" t="s">
        <v>182</v>
      </c>
      <c r="P1323" s="2" t="s">
        <v>394</v>
      </c>
      <c r="Q1323">
        <v>1</v>
      </c>
      <c r="R1323" t="s">
        <v>391</v>
      </c>
      <c r="S1323" s="1">
        <f>electric_vehicles_dataset[[#This Row],[Units_Sold_2024]]*electric_vehicles_dataset[[#This Row],[Price_USD]]</f>
        <v>160153603.38</v>
      </c>
      <c r="T1323">
        <v>5</v>
      </c>
      <c r="U1323">
        <v>1539</v>
      </c>
      <c r="V1323">
        <v>4</v>
      </c>
    </row>
    <row r="1324" spans="1:22" x14ac:dyDescent="0.35">
      <c r="A1324">
        <v>1323</v>
      </c>
      <c r="B1324" t="s">
        <v>56</v>
      </c>
      <c r="C1324" t="s">
        <v>57</v>
      </c>
      <c r="D1324">
        <v>2023</v>
      </c>
      <c r="E1324" t="s">
        <v>26</v>
      </c>
      <c r="F1324">
        <v>75.3</v>
      </c>
      <c r="G1324" t="s">
        <v>351</v>
      </c>
      <c r="H1324">
        <f>electric_vehicles_dataset[[#This Row],[Battery_Capacity_kWh]]/electric_vehicles_dataset[[#This Row],[Range_km]]</f>
        <v>0.23829113924050632</v>
      </c>
      <c r="I1324">
        <v>316</v>
      </c>
      <c r="J1324" t="s">
        <v>359</v>
      </c>
      <c r="K1324">
        <v>3</v>
      </c>
      <c r="L1324" s="1">
        <v>124718.24</v>
      </c>
      <c r="M1324" s="1" t="str" cm="1">
        <f t="array" ref="M132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24" t="s">
        <v>143</v>
      </c>
      <c r="O1324" t="s">
        <v>89</v>
      </c>
      <c r="P1324" s="2" t="s">
        <v>389</v>
      </c>
      <c r="Q1324">
        <v>4</v>
      </c>
      <c r="R1324" t="s">
        <v>392</v>
      </c>
      <c r="S1324" s="1">
        <f>electric_vehicles_dataset[[#This Row],[Units_Sold_2024]]*electric_vehicles_dataset[[#This Row],[Price_USD]]</f>
        <v>48515395.359999999</v>
      </c>
      <c r="T1324">
        <v>4</v>
      </c>
      <c r="U1324">
        <v>389</v>
      </c>
      <c r="V1324">
        <v>5</v>
      </c>
    </row>
    <row r="1325" spans="1:22" x14ac:dyDescent="0.35">
      <c r="A1325">
        <v>1324</v>
      </c>
      <c r="B1325" t="s">
        <v>56</v>
      </c>
      <c r="C1325" t="s">
        <v>57</v>
      </c>
      <c r="D1325">
        <v>2017</v>
      </c>
      <c r="E1325" t="s">
        <v>73</v>
      </c>
      <c r="F1325">
        <v>71.3</v>
      </c>
      <c r="G1325" t="s">
        <v>351</v>
      </c>
      <c r="H1325">
        <f>electric_vehicles_dataset[[#This Row],[Battery_Capacity_kWh]]/electric_vehicles_dataset[[#This Row],[Range_km]]</f>
        <v>0.1479253112033195</v>
      </c>
      <c r="I1325">
        <v>482</v>
      </c>
      <c r="J1325" t="s">
        <v>48</v>
      </c>
      <c r="K1325">
        <v>2</v>
      </c>
      <c r="L1325" s="1">
        <v>58935.73</v>
      </c>
      <c r="M1325" s="1" t="str" cm="1">
        <f t="array" ref="M132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25" t="s">
        <v>98</v>
      </c>
      <c r="O1325" t="s">
        <v>20</v>
      </c>
      <c r="P1325" s="2" t="s">
        <v>389</v>
      </c>
      <c r="Q1325">
        <v>4</v>
      </c>
      <c r="R1325" t="s">
        <v>392</v>
      </c>
      <c r="S1325" s="1">
        <f>electric_vehicles_dataset[[#This Row],[Units_Sold_2024]]*electric_vehicles_dataset[[#This Row],[Price_USD]]</f>
        <v>915979115.66000009</v>
      </c>
      <c r="T1325">
        <v>5</v>
      </c>
      <c r="U1325">
        <v>15542</v>
      </c>
      <c r="V1325">
        <v>4</v>
      </c>
    </row>
    <row r="1326" spans="1:22" x14ac:dyDescent="0.35">
      <c r="A1326">
        <v>1325</v>
      </c>
      <c r="B1326" t="s">
        <v>60</v>
      </c>
      <c r="C1326" t="s">
        <v>61</v>
      </c>
      <c r="D1326">
        <v>2020</v>
      </c>
      <c r="E1326" t="s">
        <v>104</v>
      </c>
      <c r="F1326">
        <v>35.799999999999997</v>
      </c>
      <c r="G1326" t="s">
        <v>357</v>
      </c>
      <c r="H1326">
        <f>electric_vehicles_dataset[[#This Row],[Battery_Capacity_kWh]]/electric_vehicles_dataset[[#This Row],[Range_km]]</f>
        <v>7.6170212765957437E-2</v>
      </c>
      <c r="I1326">
        <v>470</v>
      </c>
      <c r="J1326" t="s">
        <v>358</v>
      </c>
      <c r="K1326">
        <v>1</v>
      </c>
      <c r="L1326" s="1">
        <v>37088.5</v>
      </c>
      <c r="M1326" s="1" t="str" cm="1">
        <f t="array" ref="M132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26" t="s">
        <v>212</v>
      </c>
      <c r="O1326" t="s">
        <v>89</v>
      </c>
      <c r="P1326" s="2" t="s">
        <v>389</v>
      </c>
      <c r="Q1326">
        <v>0</v>
      </c>
      <c r="R1326" t="s">
        <v>390</v>
      </c>
      <c r="S1326" s="1">
        <f>electric_vehicles_dataset[[#This Row],[Units_Sold_2024]]*electric_vehicles_dataset[[#This Row],[Price_USD]]</f>
        <v>344403811</v>
      </c>
      <c r="T1326">
        <v>3</v>
      </c>
      <c r="U1326">
        <v>9286</v>
      </c>
      <c r="V1326">
        <v>4</v>
      </c>
    </row>
    <row r="1327" spans="1:22" x14ac:dyDescent="0.35">
      <c r="A1327">
        <v>1326</v>
      </c>
      <c r="B1327" t="s">
        <v>71</v>
      </c>
      <c r="C1327" t="s">
        <v>315</v>
      </c>
      <c r="D1327">
        <v>2019</v>
      </c>
      <c r="E1327" t="s">
        <v>31</v>
      </c>
      <c r="F1327">
        <v>112.9</v>
      </c>
      <c r="G1327" t="s">
        <v>361</v>
      </c>
      <c r="H1327">
        <f>electric_vehicles_dataset[[#This Row],[Battery_Capacity_kWh]]/electric_vehicles_dataset[[#This Row],[Range_km]]</f>
        <v>0.55073170731707322</v>
      </c>
      <c r="I1327">
        <v>205</v>
      </c>
      <c r="J1327" t="s">
        <v>34</v>
      </c>
      <c r="K1327">
        <v>1</v>
      </c>
      <c r="L1327" s="1">
        <v>71190.12</v>
      </c>
      <c r="M1327" s="1" t="str" cm="1">
        <f t="array" ref="M132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27" t="s">
        <v>35</v>
      </c>
      <c r="O1327" t="s">
        <v>121</v>
      </c>
      <c r="P1327" s="2" t="s">
        <v>398</v>
      </c>
      <c r="Q1327">
        <v>3</v>
      </c>
      <c r="R1327" t="s">
        <v>397</v>
      </c>
      <c r="S1327" s="1">
        <f>electric_vehicles_dataset[[#This Row],[Units_Sold_2024]]*electric_vehicles_dataset[[#This Row],[Price_USD]]</f>
        <v>183955270.07999998</v>
      </c>
      <c r="T1327">
        <v>4</v>
      </c>
      <c r="U1327">
        <v>2584</v>
      </c>
      <c r="V1327">
        <v>3</v>
      </c>
    </row>
    <row r="1328" spans="1:22" x14ac:dyDescent="0.35">
      <c r="A1328">
        <v>1327</v>
      </c>
      <c r="B1328" t="s">
        <v>136</v>
      </c>
      <c r="C1328" t="s">
        <v>137</v>
      </c>
      <c r="D1328">
        <v>2023</v>
      </c>
      <c r="E1328" t="s">
        <v>17</v>
      </c>
      <c r="F1328">
        <v>97.9</v>
      </c>
      <c r="G1328" t="s">
        <v>350</v>
      </c>
      <c r="H1328">
        <f>electric_vehicles_dataset[[#This Row],[Battery_Capacity_kWh]]/electric_vehicles_dataset[[#This Row],[Range_km]]</f>
        <v>0.25102564102564107</v>
      </c>
      <c r="I1328">
        <v>390</v>
      </c>
      <c r="J1328" t="s">
        <v>353</v>
      </c>
      <c r="K1328">
        <v>3</v>
      </c>
      <c r="L1328" s="1">
        <v>59039.34</v>
      </c>
      <c r="M1328" s="1" t="str" cm="1">
        <f t="array" ref="M132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28" t="s">
        <v>217</v>
      </c>
      <c r="O1328" t="s">
        <v>67</v>
      </c>
      <c r="P1328" s="2" t="s">
        <v>394</v>
      </c>
      <c r="Q1328">
        <v>5</v>
      </c>
      <c r="R1328" t="s">
        <v>392</v>
      </c>
      <c r="S1328" s="1">
        <f>electric_vehicles_dataset[[#This Row],[Units_Sold_2024]]*electric_vehicles_dataset[[#This Row],[Price_USD]]</f>
        <v>174756446.39999998</v>
      </c>
      <c r="T1328">
        <v>4</v>
      </c>
      <c r="U1328">
        <v>2960</v>
      </c>
      <c r="V1328">
        <v>4</v>
      </c>
    </row>
    <row r="1329" spans="1:22" x14ac:dyDescent="0.35">
      <c r="A1329">
        <v>1328</v>
      </c>
      <c r="B1329" t="s">
        <v>16</v>
      </c>
      <c r="C1329" t="s">
        <v>347</v>
      </c>
      <c r="D1329">
        <v>2022</v>
      </c>
      <c r="E1329" t="s">
        <v>73</v>
      </c>
      <c r="F1329">
        <v>52</v>
      </c>
      <c r="G1329" t="s">
        <v>348</v>
      </c>
      <c r="H1329">
        <f>electric_vehicles_dataset[[#This Row],[Battery_Capacity_kWh]]/electric_vehicles_dataset[[#This Row],[Range_km]]</f>
        <v>0.12009237875288684</v>
      </c>
      <c r="I1329">
        <v>433</v>
      </c>
      <c r="J1329" t="s">
        <v>38</v>
      </c>
      <c r="K1329">
        <v>10</v>
      </c>
      <c r="L1329" s="1">
        <v>128449.36</v>
      </c>
      <c r="M1329" s="1" t="str" cm="1">
        <f t="array" ref="M132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29" t="s">
        <v>100</v>
      </c>
      <c r="O1329" t="s">
        <v>167</v>
      </c>
      <c r="P1329" s="2" t="s">
        <v>394</v>
      </c>
      <c r="Q1329">
        <v>1</v>
      </c>
      <c r="R1329" t="s">
        <v>391</v>
      </c>
      <c r="S1329" s="1">
        <f>electric_vehicles_dataset[[#This Row],[Units_Sold_2024]]*electric_vehicles_dataset[[#This Row],[Price_USD]]</f>
        <v>426194976.48000002</v>
      </c>
      <c r="T1329">
        <v>3</v>
      </c>
      <c r="U1329">
        <v>3318</v>
      </c>
      <c r="V1329">
        <v>4</v>
      </c>
    </row>
    <row r="1330" spans="1:22" x14ac:dyDescent="0.35">
      <c r="A1330">
        <v>1329</v>
      </c>
      <c r="B1330" t="s">
        <v>176</v>
      </c>
      <c r="C1330" t="s">
        <v>326</v>
      </c>
      <c r="D1330">
        <v>2021</v>
      </c>
      <c r="E1330" t="s">
        <v>73</v>
      </c>
      <c r="F1330">
        <v>99.7</v>
      </c>
      <c r="G1330" t="s">
        <v>350</v>
      </c>
      <c r="H1330">
        <f>electric_vehicles_dataset[[#This Row],[Battery_Capacity_kWh]]/electric_vehicles_dataset[[#This Row],[Range_km]]</f>
        <v>0.22814645308924486</v>
      </c>
      <c r="I1330">
        <v>437</v>
      </c>
      <c r="J1330" t="s">
        <v>18</v>
      </c>
      <c r="K1330">
        <v>10</v>
      </c>
      <c r="L1330" s="1">
        <v>139321.63</v>
      </c>
      <c r="M1330" s="1" t="str" cm="1">
        <f t="array" ref="M13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30" t="s">
        <v>152</v>
      </c>
      <c r="O1330" t="s">
        <v>230</v>
      </c>
      <c r="P1330" s="2" t="s">
        <v>389</v>
      </c>
      <c r="Q1330">
        <v>0</v>
      </c>
      <c r="R1330" t="s">
        <v>390</v>
      </c>
      <c r="S1330" s="1">
        <f>electric_vehicles_dataset[[#This Row],[Units_Sold_2024]]*electric_vehicles_dataset[[#This Row],[Price_USD]]</f>
        <v>1726612960.5900002</v>
      </c>
      <c r="T1330">
        <v>4</v>
      </c>
      <c r="U1330">
        <v>12393</v>
      </c>
      <c r="V1330">
        <v>4</v>
      </c>
    </row>
    <row r="1331" spans="1:22" x14ac:dyDescent="0.35">
      <c r="A1331">
        <v>1330</v>
      </c>
      <c r="B1331" t="s">
        <v>79</v>
      </c>
      <c r="C1331" t="s">
        <v>299</v>
      </c>
      <c r="D1331">
        <v>2018</v>
      </c>
      <c r="E1331" t="s">
        <v>133</v>
      </c>
      <c r="F1331">
        <v>43</v>
      </c>
      <c r="G1331" t="s">
        <v>348</v>
      </c>
      <c r="H1331">
        <f>electric_vehicles_dataset[[#This Row],[Battery_Capacity_kWh]]/electric_vehicles_dataset[[#This Row],[Range_km]]</f>
        <v>0.30281690140845069</v>
      </c>
      <c r="I1331">
        <v>142</v>
      </c>
      <c r="J1331" t="s">
        <v>34</v>
      </c>
      <c r="K1331">
        <v>10</v>
      </c>
      <c r="L1331" s="1">
        <v>60770.97</v>
      </c>
      <c r="M1331" s="1" t="str" cm="1">
        <f t="array" ref="M133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31" t="s">
        <v>257</v>
      </c>
      <c r="O1331" t="s">
        <v>169</v>
      </c>
      <c r="P1331" s="2" t="s">
        <v>394</v>
      </c>
      <c r="Q1331">
        <v>0</v>
      </c>
      <c r="R1331" t="s">
        <v>390</v>
      </c>
      <c r="S1331" s="1">
        <f>electric_vehicles_dataset[[#This Row],[Units_Sold_2024]]*electric_vehicles_dataset[[#This Row],[Price_USD]]</f>
        <v>919647089.00999999</v>
      </c>
      <c r="T1331">
        <v>5</v>
      </c>
      <c r="U1331">
        <v>15133</v>
      </c>
      <c r="V1331">
        <v>4</v>
      </c>
    </row>
    <row r="1332" spans="1:22" x14ac:dyDescent="0.35">
      <c r="A1332">
        <v>1331</v>
      </c>
      <c r="B1332" t="s">
        <v>16</v>
      </c>
      <c r="C1332" t="s">
        <v>347</v>
      </c>
      <c r="D1332">
        <v>2020</v>
      </c>
      <c r="E1332" t="s">
        <v>47</v>
      </c>
      <c r="F1332">
        <v>133.4</v>
      </c>
      <c r="G1332" t="s">
        <v>352</v>
      </c>
      <c r="H1332">
        <f>electric_vehicles_dataset[[#This Row],[Battery_Capacity_kWh]]/electric_vehicles_dataset[[#This Row],[Range_km]]</f>
        <v>0.3138823529411765</v>
      </c>
      <c r="I1332">
        <v>425</v>
      </c>
      <c r="J1332" t="s">
        <v>54</v>
      </c>
      <c r="K1332">
        <v>5</v>
      </c>
      <c r="L1332" s="1">
        <v>61872.12</v>
      </c>
      <c r="M1332" s="1" t="str" cm="1">
        <f t="array" ref="M133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32" t="s">
        <v>165</v>
      </c>
      <c r="O1332" t="s">
        <v>147</v>
      </c>
      <c r="P1332" s="2" t="s">
        <v>396</v>
      </c>
      <c r="Q1332">
        <v>0</v>
      </c>
      <c r="R1332" t="s">
        <v>390</v>
      </c>
      <c r="S1332" s="1">
        <f>electric_vehicles_dataset[[#This Row],[Units_Sold_2024]]*electric_vehicles_dataset[[#This Row],[Price_USD]]</f>
        <v>994223096.28000009</v>
      </c>
      <c r="T1332">
        <v>3</v>
      </c>
      <c r="U1332">
        <v>16069</v>
      </c>
      <c r="V1332">
        <v>3</v>
      </c>
    </row>
    <row r="1333" spans="1:22" x14ac:dyDescent="0.35">
      <c r="A1333">
        <v>1332</v>
      </c>
      <c r="B1333" t="s">
        <v>79</v>
      </c>
      <c r="C1333" t="s">
        <v>299</v>
      </c>
      <c r="D1333">
        <v>2017</v>
      </c>
      <c r="E1333" t="s">
        <v>130</v>
      </c>
      <c r="F1333">
        <v>74.599999999999994</v>
      </c>
      <c r="G1333" t="s">
        <v>351</v>
      </c>
      <c r="H1333">
        <f>electric_vehicles_dataset[[#This Row],[Battery_Capacity_kWh]]/electric_vehicles_dataset[[#This Row],[Range_km]]</f>
        <v>0.23607594936708859</v>
      </c>
      <c r="I1333">
        <v>316</v>
      </c>
      <c r="J1333" t="s">
        <v>18</v>
      </c>
      <c r="K1333">
        <v>11</v>
      </c>
      <c r="L1333" s="1">
        <v>91093.22</v>
      </c>
      <c r="M1333" s="1" t="str" cm="1">
        <f t="array" ref="M133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33" t="s">
        <v>175</v>
      </c>
      <c r="O1333" t="s">
        <v>161</v>
      </c>
      <c r="P1333" s="2" t="s">
        <v>389</v>
      </c>
      <c r="Q1333">
        <v>5</v>
      </c>
      <c r="R1333" t="s">
        <v>392</v>
      </c>
      <c r="S1333" s="1">
        <f>electric_vehicles_dataset[[#This Row],[Units_Sold_2024]]*electric_vehicles_dataset[[#This Row],[Price_USD]]</f>
        <v>686205226.25999999</v>
      </c>
      <c r="T1333">
        <v>5</v>
      </c>
      <c r="U1333">
        <v>7533</v>
      </c>
      <c r="V1333">
        <v>5</v>
      </c>
    </row>
    <row r="1334" spans="1:22" x14ac:dyDescent="0.35">
      <c r="A1334">
        <v>1333</v>
      </c>
      <c r="B1334" t="s">
        <v>56</v>
      </c>
      <c r="C1334" t="s">
        <v>57</v>
      </c>
      <c r="D1334">
        <v>2015</v>
      </c>
      <c r="E1334" t="s">
        <v>90</v>
      </c>
      <c r="F1334">
        <v>73.5</v>
      </c>
      <c r="G1334" t="s">
        <v>351</v>
      </c>
      <c r="H1334">
        <f>electric_vehicles_dataset[[#This Row],[Battery_Capacity_kWh]]/electric_vehicles_dataset[[#This Row],[Range_km]]</f>
        <v>0.14468503937007873</v>
      </c>
      <c r="I1334">
        <v>508</v>
      </c>
      <c r="J1334" t="s">
        <v>27</v>
      </c>
      <c r="K1334">
        <v>5</v>
      </c>
      <c r="L1334" s="1">
        <v>78255.83</v>
      </c>
      <c r="M1334" s="1" t="str" cm="1">
        <f t="array" ref="M13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34" t="s">
        <v>35</v>
      </c>
      <c r="O1334" t="s">
        <v>139</v>
      </c>
      <c r="P1334" s="2" t="s">
        <v>389</v>
      </c>
      <c r="Q1334">
        <v>5</v>
      </c>
      <c r="R1334" t="s">
        <v>392</v>
      </c>
      <c r="S1334" s="1">
        <f>electric_vehicles_dataset[[#This Row],[Units_Sold_2024]]*electric_vehicles_dataset[[#This Row],[Price_USD]]</f>
        <v>1296620847.27</v>
      </c>
      <c r="T1334">
        <v>3</v>
      </c>
      <c r="U1334">
        <v>16569</v>
      </c>
      <c r="V1334">
        <v>5</v>
      </c>
    </row>
    <row r="1335" spans="1:22" x14ac:dyDescent="0.35">
      <c r="A1335">
        <v>1334</v>
      </c>
      <c r="B1335" t="s">
        <v>51</v>
      </c>
      <c r="C1335" t="s">
        <v>239</v>
      </c>
      <c r="D1335">
        <v>2024</v>
      </c>
      <c r="E1335" t="s">
        <v>47</v>
      </c>
      <c r="F1335">
        <v>79.099999999999994</v>
      </c>
      <c r="G1335" t="s">
        <v>351</v>
      </c>
      <c r="H1335">
        <f>electric_vehicles_dataset[[#This Row],[Battery_Capacity_kWh]]/electric_vehicles_dataset[[#This Row],[Range_km]]</f>
        <v>0.33235294117647057</v>
      </c>
      <c r="I1335">
        <v>238</v>
      </c>
      <c r="J1335" t="s">
        <v>38</v>
      </c>
      <c r="K1335">
        <v>9</v>
      </c>
      <c r="L1335" s="1">
        <v>72072.600000000006</v>
      </c>
      <c r="M1335" s="1" t="str" cm="1">
        <f t="array" ref="M133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35" t="s">
        <v>77</v>
      </c>
      <c r="O1335" t="s">
        <v>78</v>
      </c>
      <c r="P1335" s="2" t="s">
        <v>389</v>
      </c>
      <c r="Q1335">
        <v>2</v>
      </c>
      <c r="R1335" t="s">
        <v>391</v>
      </c>
      <c r="S1335" s="1">
        <f>electric_vehicles_dataset[[#This Row],[Units_Sold_2024]]*electric_vehicles_dataset[[#This Row],[Price_USD]]</f>
        <v>1159431916.2</v>
      </c>
      <c r="T1335">
        <v>3</v>
      </c>
      <c r="U1335">
        <v>16087</v>
      </c>
      <c r="V1335">
        <v>3</v>
      </c>
    </row>
    <row r="1336" spans="1:22" x14ac:dyDescent="0.35">
      <c r="A1336">
        <v>1335</v>
      </c>
      <c r="B1336" t="s">
        <v>45</v>
      </c>
      <c r="C1336" t="s">
        <v>283</v>
      </c>
      <c r="D1336">
        <v>2018</v>
      </c>
      <c r="E1336" t="s">
        <v>84</v>
      </c>
      <c r="F1336">
        <v>103.4</v>
      </c>
      <c r="G1336" t="s">
        <v>361</v>
      </c>
      <c r="H1336">
        <f>electric_vehicles_dataset[[#This Row],[Battery_Capacity_kWh]]/electric_vehicles_dataset[[#This Row],[Range_km]]</f>
        <v>0.32618296529968455</v>
      </c>
      <c r="I1336">
        <v>317</v>
      </c>
      <c r="J1336" t="s">
        <v>48</v>
      </c>
      <c r="K1336">
        <v>10</v>
      </c>
      <c r="L1336" s="1">
        <v>120907.08</v>
      </c>
      <c r="M1336" s="1" t="str" cm="1">
        <f t="array" ref="M133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36" t="s">
        <v>142</v>
      </c>
      <c r="O1336" t="s">
        <v>134</v>
      </c>
      <c r="P1336" s="2" t="s">
        <v>389</v>
      </c>
      <c r="Q1336">
        <v>0</v>
      </c>
      <c r="R1336" t="s">
        <v>390</v>
      </c>
      <c r="S1336" s="1">
        <f>electric_vehicles_dataset[[#This Row],[Units_Sold_2024]]*electric_vehicles_dataset[[#This Row],[Price_USD]]</f>
        <v>1996296797.8800001</v>
      </c>
      <c r="T1336">
        <v>5</v>
      </c>
      <c r="U1336">
        <v>16511</v>
      </c>
      <c r="V1336">
        <v>5</v>
      </c>
    </row>
    <row r="1337" spans="1:22" x14ac:dyDescent="0.35">
      <c r="A1337">
        <v>1336</v>
      </c>
      <c r="B1337" t="s">
        <v>29</v>
      </c>
      <c r="C1337" t="s">
        <v>378</v>
      </c>
      <c r="D1337">
        <v>2022</v>
      </c>
      <c r="E1337" t="s">
        <v>31</v>
      </c>
      <c r="F1337">
        <v>91.3</v>
      </c>
      <c r="G1337" t="s">
        <v>350</v>
      </c>
      <c r="H1337">
        <f>electric_vehicles_dataset[[#This Row],[Battery_Capacity_kWh]]/electric_vehicles_dataset[[#This Row],[Range_km]]</f>
        <v>0.28006134969325153</v>
      </c>
      <c r="I1337">
        <v>326</v>
      </c>
      <c r="J1337" t="s">
        <v>149</v>
      </c>
      <c r="K1337">
        <v>12</v>
      </c>
      <c r="L1337" s="1">
        <v>56693.36</v>
      </c>
      <c r="M1337" s="1" t="str" cm="1">
        <f t="array" ref="M13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37" t="s">
        <v>102</v>
      </c>
      <c r="O1337" t="s">
        <v>124</v>
      </c>
      <c r="P1337" s="2" t="s">
        <v>389</v>
      </c>
      <c r="Q1337">
        <v>3</v>
      </c>
      <c r="R1337" t="s">
        <v>397</v>
      </c>
      <c r="S1337" s="1">
        <f>electric_vehicles_dataset[[#This Row],[Units_Sold_2024]]*electric_vehicles_dataset[[#This Row],[Price_USD]]</f>
        <v>432003403.19999999</v>
      </c>
      <c r="T1337">
        <v>3</v>
      </c>
      <c r="U1337">
        <v>7620</v>
      </c>
      <c r="V1337">
        <v>5</v>
      </c>
    </row>
    <row r="1338" spans="1:22" x14ac:dyDescent="0.35">
      <c r="A1338">
        <v>1337</v>
      </c>
      <c r="B1338" t="s">
        <v>79</v>
      </c>
      <c r="C1338" t="s">
        <v>151</v>
      </c>
      <c r="D1338">
        <v>2015</v>
      </c>
      <c r="E1338" t="s">
        <v>90</v>
      </c>
      <c r="F1338">
        <v>138.69999999999999</v>
      </c>
      <c r="G1338" t="s">
        <v>352</v>
      </c>
      <c r="H1338">
        <f>electric_vehicles_dataset[[#This Row],[Battery_Capacity_kWh]]/electric_vehicles_dataset[[#This Row],[Range_km]]</f>
        <v>0.23831615120274913</v>
      </c>
      <c r="I1338">
        <v>582</v>
      </c>
      <c r="J1338" t="s">
        <v>149</v>
      </c>
      <c r="K1338">
        <v>3</v>
      </c>
      <c r="L1338" s="1">
        <v>129108.56</v>
      </c>
      <c r="M1338" s="1" t="str" cm="1">
        <f t="array" ref="M133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38" t="s">
        <v>70</v>
      </c>
      <c r="O1338" t="s">
        <v>135</v>
      </c>
      <c r="P1338" s="2" t="s">
        <v>389</v>
      </c>
      <c r="Q1338">
        <v>1</v>
      </c>
      <c r="R1338" t="s">
        <v>391</v>
      </c>
      <c r="S1338" s="1">
        <f>electric_vehicles_dataset[[#This Row],[Units_Sold_2024]]*electric_vehicles_dataset[[#This Row],[Price_USD]]</f>
        <v>167066476.63999999</v>
      </c>
      <c r="T1338">
        <v>3</v>
      </c>
      <c r="U1338">
        <v>1294</v>
      </c>
      <c r="V1338">
        <v>4</v>
      </c>
    </row>
    <row r="1339" spans="1:22" x14ac:dyDescent="0.35">
      <c r="A1339">
        <v>1338</v>
      </c>
      <c r="B1339" t="s">
        <v>29</v>
      </c>
      <c r="C1339" t="s">
        <v>197</v>
      </c>
      <c r="D1339">
        <v>2018</v>
      </c>
      <c r="E1339" t="s">
        <v>53</v>
      </c>
      <c r="F1339">
        <v>31</v>
      </c>
      <c r="G1339" t="s">
        <v>357</v>
      </c>
      <c r="H1339">
        <f>electric_vehicles_dataset[[#This Row],[Battery_Capacity_kWh]]/electric_vehicles_dataset[[#This Row],[Range_km]]</f>
        <v>0.26495726495726496</v>
      </c>
      <c r="I1339">
        <v>117</v>
      </c>
      <c r="J1339" t="s">
        <v>149</v>
      </c>
      <c r="K1339">
        <v>6</v>
      </c>
      <c r="L1339" s="1">
        <v>46074.06</v>
      </c>
      <c r="M1339" s="1" t="str" cm="1">
        <f t="array" ref="M13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39" t="s">
        <v>49</v>
      </c>
      <c r="O1339" t="s">
        <v>134</v>
      </c>
      <c r="P1339" s="2" t="s">
        <v>389</v>
      </c>
      <c r="Q1339">
        <v>1</v>
      </c>
      <c r="R1339" t="s">
        <v>391</v>
      </c>
      <c r="S1339" s="1">
        <f>electric_vehicles_dataset[[#This Row],[Units_Sold_2024]]*electric_vehicles_dataset[[#This Row],[Price_USD]]</f>
        <v>893099579.03999996</v>
      </c>
      <c r="T1339">
        <v>5</v>
      </c>
      <c r="U1339">
        <v>19384</v>
      </c>
      <c r="V1339">
        <v>5</v>
      </c>
    </row>
    <row r="1340" spans="1:22" x14ac:dyDescent="0.35">
      <c r="A1340">
        <v>1339</v>
      </c>
      <c r="B1340" t="s">
        <v>122</v>
      </c>
      <c r="C1340" t="s">
        <v>186</v>
      </c>
      <c r="D1340">
        <v>2024</v>
      </c>
      <c r="E1340" t="s">
        <v>31</v>
      </c>
      <c r="F1340">
        <v>40.700000000000003</v>
      </c>
      <c r="G1340" t="s">
        <v>348</v>
      </c>
      <c r="H1340">
        <f>electric_vehicles_dataset[[#This Row],[Battery_Capacity_kWh]]/electric_vehicles_dataset[[#This Row],[Range_km]]</f>
        <v>0.14034482758620689</v>
      </c>
      <c r="I1340">
        <v>290</v>
      </c>
      <c r="J1340" t="s">
        <v>353</v>
      </c>
      <c r="K1340">
        <v>10</v>
      </c>
      <c r="L1340" s="1">
        <v>107189.59</v>
      </c>
      <c r="M1340" s="1" t="str" cm="1">
        <f t="array" ref="M134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40" t="s">
        <v>279</v>
      </c>
      <c r="O1340" t="s">
        <v>118</v>
      </c>
      <c r="P1340" s="2" t="s">
        <v>389</v>
      </c>
      <c r="Q1340">
        <v>4</v>
      </c>
      <c r="R1340" t="s">
        <v>392</v>
      </c>
      <c r="S1340" s="1">
        <f>electric_vehicles_dataset[[#This Row],[Units_Sold_2024]]*electric_vehicles_dataset[[#This Row],[Price_USD]]</f>
        <v>506470812.75</v>
      </c>
      <c r="T1340">
        <v>3</v>
      </c>
      <c r="U1340">
        <v>4725</v>
      </c>
      <c r="V1340">
        <v>4</v>
      </c>
    </row>
    <row r="1341" spans="1:22" x14ac:dyDescent="0.35">
      <c r="A1341">
        <v>1340</v>
      </c>
      <c r="B1341" t="s">
        <v>82</v>
      </c>
      <c r="C1341" t="s">
        <v>281</v>
      </c>
      <c r="D1341">
        <v>2015</v>
      </c>
      <c r="E1341" t="s">
        <v>90</v>
      </c>
      <c r="F1341">
        <v>114.9</v>
      </c>
      <c r="G1341" t="s">
        <v>361</v>
      </c>
      <c r="H1341">
        <f>electric_vehicles_dataset[[#This Row],[Battery_Capacity_kWh]]/electric_vehicles_dataset[[#This Row],[Range_km]]</f>
        <v>0.29844155844155845</v>
      </c>
      <c r="I1341">
        <v>385</v>
      </c>
      <c r="J1341" t="s">
        <v>356</v>
      </c>
      <c r="K1341">
        <v>2</v>
      </c>
      <c r="L1341" s="1">
        <v>76772.95</v>
      </c>
      <c r="M1341" s="1" t="str" cm="1">
        <f t="array" ref="M13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41" t="s">
        <v>189</v>
      </c>
      <c r="O1341" t="s">
        <v>182</v>
      </c>
      <c r="P1341" s="2" t="s">
        <v>394</v>
      </c>
      <c r="Q1341">
        <v>1</v>
      </c>
      <c r="R1341" t="s">
        <v>391</v>
      </c>
      <c r="S1341" s="1">
        <f>electric_vehicles_dataset[[#This Row],[Units_Sold_2024]]*electric_vehicles_dataset[[#This Row],[Price_USD]]</f>
        <v>1247790756.3499999</v>
      </c>
      <c r="T1341">
        <v>4</v>
      </c>
      <c r="U1341">
        <v>16253</v>
      </c>
      <c r="V1341">
        <v>4</v>
      </c>
    </row>
    <row r="1342" spans="1:22" x14ac:dyDescent="0.35">
      <c r="A1342">
        <v>1341</v>
      </c>
      <c r="B1342" t="s">
        <v>170</v>
      </c>
      <c r="C1342" t="s">
        <v>171</v>
      </c>
      <c r="D1342">
        <v>2017</v>
      </c>
      <c r="E1342" t="s">
        <v>133</v>
      </c>
      <c r="F1342">
        <v>21.8</v>
      </c>
      <c r="G1342" t="s">
        <v>357</v>
      </c>
      <c r="H1342">
        <f>electric_vehicles_dataset[[#This Row],[Battery_Capacity_kWh]]/electric_vehicles_dataset[[#This Row],[Range_km]]</f>
        <v>4.144486692015209E-2</v>
      </c>
      <c r="I1342">
        <v>526</v>
      </c>
      <c r="J1342" t="s">
        <v>359</v>
      </c>
      <c r="K1342">
        <v>3</v>
      </c>
      <c r="L1342" s="1">
        <v>41961.45</v>
      </c>
      <c r="M1342" s="1" t="str" cm="1">
        <f t="array" ref="M134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42" t="s">
        <v>19</v>
      </c>
      <c r="O1342" t="s">
        <v>118</v>
      </c>
      <c r="P1342" s="2" t="s">
        <v>389</v>
      </c>
      <c r="Q1342">
        <v>1</v>
      </c>
      <c r="R1342" t="s">
        <v>391</v>
      </c>
      <c r="S1342" s="1">
        <f>electric_vehicles_dataset[[#This Row],[Units_Sold_2024]]*electric_vehicles_dataset[[#This Row],[Price_USD]]</f>
        <v>136416673.94999999</v>
      </c>
      <c r="T1342">
        <v>4</v>
      </c>
      <c r="U1342">
        <v>3251</v>
      </c>
      <c r="V1342">
        <v>5</v>
      </c>
    </row>
    <row r="1343" spans="1:22" x14ac:dyDescent="0.35">
      <c r="A1343">
        <v>1342</v>
      </c>
      <c r="B1343" t="s">
        <v>24</v>
      </c>
      <c r="C1343" t="s">
        <v>341</v>
      </c>
      <c r="D1343">
        <v>2015</v>
      </c>
      <c r="E1343" t="s">
        <v>130</v>
      </c>
      <c r="F1343">
        <v>21.6</v>
      </c>
      <c r="G1343" t="s">
        <v>357</v>
      </c>
      <c r="H1343">
        <f>electric_vehicles_dataset[[#This Row],[Battery_Capacity_kWh]]/electric_vehicles_dataset[[#This Row],[Range_km]]</f>
        <v>5.699208443271768E-2</v>
      </c>
      <c r="I1343">
        <v>379</v>
      </c>
      <c r="J1343" t="s">
        <v>34</v>
      </c>
      <c r="K1343">
        <v>6</v>
      </c>
      <c r="L1343" s="1">
        <v>108335.73</v>
      </c>
      <c r="M1343" s="1" t="str" cm="1">
        <f t="array" ref="M134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43" t="s">
        <v>279</v>
      </c>
      <c r="O1343" t="s">
        <v>44</v>
      </c>
      <c r="P1343" s="2" t="s">
        <v>389</v>
      </c>
      <c r="Q1343">
        <v>0</v>
      </c>
      <c r="R1343" t="s">
        <v>390</v>
      </c>
      <c r="S1343" s="1">
        <f>electric_vehicles_dataset[[#This Row],[Units_Sold_2024]]*electric_vehicles_dataset[[#This Row],[Price_USD]]</f>
        <v>1387672365.5699999</v>
      </c>
      <c r="T1343">
        <v>3</v>
      </c>
      <c r="U1343">
        <v>12809</v>
      </c>
      <c r="V1343">
        <v>4</v>
      </c>
    </row>
    <row r="1344" spans="1:22" x14ac:dyDescent="0.35">
      <c r="A1344">
        <v>1343</v>
      </c>
      <c r="B1344" t="s">
        <v>259</v>
      </c>
      <c r="C1344" t="s">
        <v>298</v>
      </c>
      <c r="D1344">
        <v>2016</v>
      </c>
      <c r="E1344" t="s">
        <v>90</v>
      </c>
      <c r="F1344">
        <v>66.900000000000006</v>
      </c>
      <c r="G1344" t="s">
        <v>351</v>
      </c>
      <c r="H1344">
        <f>electric_vehicles_dataset[[#This Row],[Battery_Capacity_kWh]]/electric_vehicles_dataset[[#This Row],[Range_km]]</f>
        <v>0.21650485436893205</v>
      </c>
      <c r="I1344">
        <v>309</v>
      </c>
      <c r="J1344" t="s">
        <v>76</v>
      </c>
      <c r="K1344">
        <v>1</v>
      </c>
      <c r="L1344" s="1">
        <v>85781.56</v>
      </c>
      <c r="M1344" s="1" t="str" cm="1">
        <f t="array" ref="M134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44" t="s">
        <v>160</v>
      </c>
      <c r="O1344" t="s">
        <v>89</v>
      </c>
      <c r="P1344" s="2" t="s">
        <v>389</v>
      </c>
      <c r="Q1344">
        <v>0</v>
      </c>
      <c r="R1344" t="s">
        <v>390</v>
      </c>
      <c r="S1344" s="1">
        <f>electric_vehicles_dataset[[#This Row],[Units_Sold_2024]]*electric_vehicles_dataset[[#This Row],[Price_USD]]</f>
        <v>1582755563.5599999</v>
      </c>
      <c r="T1344">
        <v>4</v>
      </c>
      <c r="U1344">
        <v>18451</v>
      </c>
      <c r="V1344">
        <v>3</v>
      </c>
    </row>
    <row r="1345" spans="1:22" x14ac:dyDescent="0.35">
      <c r="A1345">
        <v>1344</v>
      </c>
      <c r="B1345" t="s">
        <v>144</v>
      </c>
      <c r="C1345" t="s">
        <v>145</v>
      </c>
      <c r="D1345">
        <v>2018</v>
      </c>
      <c r="E1345" t="s">
        <v>90</v>
      </c>
      <c r="F1345">
        <v>80</v>
      </c>
      <c r="G1345" t="s">
        <v>351</v>
      </c>
      <c r="H1345">
        <f>electric_vehicles_dataset[[#This Row],[Battery_Capacity_kWh]]/electric_vehicles_dataset[[#This Row],[Range_km]]</f>
        <v>0.40609137055837563</v>
      </c>
      <c r="I1345">
        <v>197</v>
      </c>
      <c r="J1345" t="s">
        <v>27</v>
      </c>
      <c r="K1345">
        <v>8</v>
      </c>
      <c r="L1345" s="1">
        <v>50599.82</v>
      </c>
      <c r="M1345" s="1" t="str" cm="1">
        <f t="array" ref="M134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45" t="s">
        <v>143</v>
      </c>
      <c r="O1345" t="s">
        <v>93</v>
      </c>
      <c r="P1345" s="2" t="s">
        <v>389</v>
      </c>
      <c r="Q1345">
        <v>3</v>
      </c>
      <c r="R1345" t="s">
        <v>397</v>
      </c>
      <c r="S1345" s="1">
        <f>electric_vehicles_dataset[[#This Row],[Units_Sold_2024]]*electric_vehicles_dataset[[#This Row],[Price_USD]]</f>
        <v>125285154.31999999</v>
      </c>
      <c r="T1345">
        <v>4</v>
      </c>
      <c r="U1345">
        <v>2476</v>
      </c>
      <c r="V1345">
        <v>5</v>
      </c>
    </row>
    <row r="1346" spans="1:22" x14ac:dyDescent="0.35">
      <c r="A1346">
        <v>1345</v>
      </c>
      <c r="B1346" t="s">
        <v>24</v>
      </c>
      <c r="C1346" t="s">
        <v>343</v>
      </c>
      <c r="D1346">
        <v>2017</v>
      </c>
      <c r="E1346" t="s">
        <v>101</v>
      </c>
      <c r="F1346">
        <v>35.6</v>
      </c>
      <c r="G1346" t="s">
        <v>357</v>
      </c>
      <c r="H1346">
        <f>electric_vehicles_dataset[[#This Row],[Battery_Capacity_kWh]]/electric_vehicles_dataset[[#This Row],[Range_km]]</f>
        <v>6.9667318982387483E-2</v>
      </c>
      <c r="I1346">
        <v>511</v>
      </c>
      <c r="J1346" t="s">
        <v>105</v>
      </c>
      <c r="K1346">
        <v>4</v>
      </c>
      <c r="L1346" s="1">
        <v>140645.92000000001</v>
      </c>
      <c r="M1346" s="1" t="str" cm="1">
        <f t="array" ref="M134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46" t="s">
        <v>168</v>
      </c>
      <c r="O1346" t="s">
        <v>134</v>
      </c>
      <c r="P1346" s="2" t="s">
        <v>389</v>
      </c>
      <c r="Q1346">
        <v>0</v>
      </c>
      <c r="R1346" t="s">
        <v>390</v>
      </c>
      <c r="S1346" s="1">
        <f>electric_vehicles_dataset[[#This Row],[Units_Sold_2024]]*electric_vehicles_dataset[[#This Row],[Price_USD]]</f>
        <v>2521640699.6800003</v>
      </c>
      <c r="T1346">
        <v>3</v>
      </c>
      <c r="U1346">
        <v>17929</v>
      </c>
      <c r="V1346">
        <v>3</v>
      </c>
    </row>
    <row r="1347" spans="1:22" x14ac:dyDescent="0.35">
      <c r="A1347">
        <v>1346</v>
      </c>
      <c r="B1347" t="s">
        <v>173</v>
      </c>
      <c r="C1347" t="s">
        <v>249</v>
      </c>
      <c r="D1347">
        <v>2022</v>
      </c>
      <c r="E1347" t="s">
        <v>133</v>
      </c>
      <c r="F1347">
        <v>59.8</v>
      </c>
      <c r="G1347" t="s">
        <v>348</v>
      </c>
      <c r="H1347">
        <f>electric_vehicles_dataset[[#This Row],[Battery_Capacity_kWh]]/electric_vehicles_dataset[[#This Row],[Range_km]]</f>
        <v>0.19415584415584414</v>
      </c>
      <c r="I1347">
        <v>308</v>
      </c>
      <c r="J1347" t="s">
        <v>27</v>
      </c>
      <c r="K1347">
        <v>12</v>
      </c>
      <c r="L1347" s="1">
        <v>47363.97</v>
      </c>
      <c r="M1347" s="1" t="str" cm="1">
        <f t="array" ref="M134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47" t="s">
        <v>102</v>
      </c>
      <c r="O1347" t="s">
        <v>111</v>
      </c>
      <c r="P1347" s="2" t="s">
        <v>389</v>
      </c>
      <c r="Q1347">
        <v>1</v>
      </c>
      <c r="R1347" t="s">
        <v>391</v>
      </c>
      <c r="S1347" s="1">
        <f>electric_vehicles_dataset[[#This Row],[Units_Sold_2024]]*electric_vehicles_dataset[[#This Row],[Price_USD]]</f>
        <v>616631525.43000007</v>
      </c>
      <c r="T1347">
        <v>5</v>
      </c>
      <c r="U1347">
        <v>13019</v>
      </c>
      <c r="V1347">
        <v>3</v>
      </c>
    </row>
    <row r="1348" spans="1:22" x14ac:dyDescent="0.35">
      <c r="A1348">
        <v>1347</v>
      </c>
      <c r="B1348" t="s">
        <v>153</v>
      </c>
      <c r="C1348" t="s">
        <v>154</v>
      </c>
      <c r="D1348">
        <v>2017</v>
      </c>
      <c r="E1348" t="s">
        <v>31</v>
      </c>
      <c r="F1348">
        <v>138.5</v>
      </c>
      <c r="G1348" t="s">
        <v>352</v>
      </c>
      <c r="H1348">
        <f>electric_vehicles_dataset[[#This Row],[Battery_Capacity_kWh]]/electric_vehicles_dataset[[#This Row],[Range_km]]</f>
        <v>0.58193277310924374</v>
      </c>
      <c r="I1348">
        <v>238</v>
      </c>
      <c r="J1348" t="s">
        <v>364</v>
      </c>
      <c r="K1348">
        <v>2</v>
      </c>
      <c r="L1348" s="1">
        <v>117908.21</v>
      </c>
      <c r="M1348" s="1" t="str" cm="1">
        <f t="array" ref="M134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48" t="s">
        <v>117</v>
      </c>
      <c r="O1348" t="s">
        <v>135</v>
      </c>
      <c r="P1348" s="2" t="s">
        <v>389</v>
      </c>
      <c r="Q1348">
        <v>2</v>
      </c>
      <c r="R1348" t="s">
        <v>391</v>
      </c>
      <c r="S1348" s="1">
        <f>electric_vehicles_dataset[[#This Row],[Units_Sold_2024]]*electric_vehicles_dataset[[#This Row],[Price_USD]]</f>
        <v>696483796.47000003</v>
      </c>
      <c r="T1348">
        <v>4</v>
      </c>
      <c r="U1348">
        <v>5907</v>
      </c>
      <c r="V1348">
        <v>4</v>
      </c>
    </row>
    <row r="1349" spans="1:22" x14ac:dyDescent="0.35">
      <c r="A1349">
        <v>1348</v>
      </c>
      <c r="B1349" t="s">
        <v>155</v>
      </c>
      <c r="C1349" t="s">
        <v>156</v>
      </c>
      <c r="D1349">
        <v>2018</v>
      </c>
      <c r="E1349" t="s">
        <v>73</v>
      </c>
      <c r="F1349">
        <v>43.7</v>
      </c>
      <c r="G1349" t="s">
        <v>348</v>
      </c>
      <c r="H1349">
        <f>electric_vehicles_dataset[[#This Row],[Battery_Capacity_kWh]]/electric_vehicles_dataset[[#This Row],[Range_km]]</f>
        <v>0.10210280373831776</v>
      </c>
      <c r="I1349">
        <v>428</v>
      </c>
      <c r="J1349" t="s">
        <v>149</v>
      </c>
      <c r="K1349">
        <v>4</v>
      </c>
      <c r="L1349" s="1">
        <v>56957.919999999998</v>
      </c>
      <c r="M1349" s="1" t="str" cm="1">
        <f t="array" ref="M134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49" t="s">
        <v>131</v>
      </c>
      <c r="O1349" t="s">
        <v>226</v>
      </c>
      <c r="P1349" s="2" t="s">
        <v>395</v>
      </c>
      <c r="Q1349">
        <v>5</v>
      </c>
      <c r="R1349" t="s">
        <v>392</v>
      </c>
      <c r="S1349" s="1">
        <f>electric_vehicles_dataset[[#This Row],[Units_Sold_2024]]*electric_vehicles_dataset[[#This Row],[Price_USD]]</f>
        <v>1039937703.36</v>
      </c>
      <c r="T1349">
        <v>5</v>
      </c>
      <c r="U1349">
        <v>18258</v>
      </c>
      <c r="V1349">
        <v>3</v>
      </c>
    </row>
    <row r="1350" spans="1:22" x14ac:dyDescent="0.35">
      <c r="A1350">
        <v>1349</v>
      </c>
      <c r="B1350" t="s">
        <v>94</v>
      </c>
      <c r="C1350" t="s">
        <v>99</v>
      </c>
      <c r="D1350">
        <v>2019</v>
      </c>
      <c r="E1350" t="s">
        <v>104</v>
      </c>
      <c r="F1350">
        <v>127.5</v>
      </c>
      <c r="G1350" t="s">
        <v>352</v>
      </c>
      <c r="H1350">
        <f>electric_vehicles_dataset[[#This Row],[Battery_Capacity_kWh]]/electric_vehicles_dataset[[#This Row],[Range_km]]</f>
        <v>0.45053003533568903</v>
      </c>
      <c r="I1350">
        <v>283</v>
      </c>
      <c r="J1350" t="s">
        <v>149</v>
      </c>
      <c r="K1350">
        <v>2</v>
      </c>
      <c r="L1350" s="1">
        <v>34446.65</v>
      </c>
      <c r="M1350" s="1" t="str" cm="1">
        <f t="array" ref="M135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50" t="s">
        <v>175</v>
      </c>
      <c r="O1350" t="s">
        <v>93</v>
      </c>
      <c r="P1350" s="2" t="s">
        <v>389</v>
      </c>
      <c r="Q1350">
        <v>0</v>
      </c>
      <c r="R1350" t="s">
        <v>390</v>
      </c>
      <c r="S1350" s="1">
        <f>electric_vehicles_dataset[[#This Row],[Units_Sold_2024]]*electric_vehicles_dataset[[#This Row],[Price_USD]]</f>
        <v>102616570.35000001</v>
      </c>
      <c r="T1350">
        <v>5</v>
      </c>
      <c r="U1350">
        <v>2979</v>
      </c>
      <c r="V1350">
        <v>3</v>
      </c>
    </row>
    <row r="1351" spans="1:22" x14ac:dyDescent="0.35">
      <c r="A1351">
        <v>1350</v>
      </c>
      <c r="B1351" t="s">
        <v>74</v>
      </c>
      <c r="C1351" t="s">
        <v>75</v>
      </c>
      <c r="D1351">
        <v>2023</v>
      </c>
      <c r="E1351" t="s">
        <v>53</v>
      </c>
      <c r="F1351">
        <v>72.599999999999994</v>
      </c>
      <c r="G1351" t="s">
        <v>351</v>
      </c>
      <c r="H1351">
        <f>electric_vehicles_dataset[[#This Row],[Battery_Capacity_kWh]]/electric_vehicles_dataset[[#This Row],[Range_km]]</f>
        <v>0.14907597535934292</v>
      </c>
      <c r="I1351">
        <v>487</v>
      </c>
      <c r="J1351" t="s">
        <v>54</v>
      </c>
      <c r="K1351">
        <v>9</v>
      </c>
      <c r="L1351" s="1">
        <v>126280.05</v>
      </c>
      <c r="M1351" s="1" t="str" cm="1">
        <f t="array" ref="M135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51" t="s">
        <v>70</v>
      </c>
      <c r="O1351" t="s">
        <v>161</v>
      </c>
      <c r="P1351" s="2" t="s">
        <v>389</v>
      </c>
      <c r="Q1351">
        <v>3</v>
      </c>
      <c r="R1351" t="s">
        <v>397</v>
      </c>
      <c r="S1351" s="1">
        <f>electric_vehicles_dataset[[#This Row],[Units_Sold_2024]]*electric_vehicles_dataset[[#This Row],[Price_USD]]</f>
        <v>1743296090.25</v>
      </c>
      <c r="T1351">
        <v>5</v>
      </c>
      <c r="U1351">
        <v>13805</v>
      </c>
      <c r="V1351">
        <v>3</v>
      </c>
    </row>
    <row r="1352" spans="1:22" x14ac:dyDescent="0.35">
      <c r="A1352">
        <v>1351</v>
      </c>
      <c r="B1352" t="s">
        <v>192</v>
      </c>
      <c r="C1352" t="s">
        <v>198</v>
      </c>
      <c r="D1352">
        <v>2021</v>
      </c>
      <c r="E1352" t="s">
        <v>84</v>
      </c>
      <c r="F1352">
        <v>138</v>
      </c>
      <c r="G1352" t="s">
        <v>352</v>
      </c>
      <c r="H1352">
        <f>electric_vehicles_dataset[[#This Row],[Battery_Capacity_kWh]]/electric_vehicles_dataset[[#This Row],[Range_km]]</f>
        <v>0.38764044943820225</v>
      </c>
      <c r="I1352">
        <v>356</v>
      </c>
      <c r="J1352" t="s">
        <v>105</v>
      </c>
      <c r="K1352">
        <v>4</v>
      </c>
      <c r="L1352" s="1">
        <v>61058.15</v>
      </c>
      <c r="M1352" s="1" t="str" cm="1">
        <f t="array" ref="M135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52" t="s">
        <v>246</v>
      </c>
      <c r="O1352" t="s">
        <v>159</v>
      </c>
      <c r="P1352" s="2" t="s">
        <v>389</v>
      </c>
      <c r="Q1352">
        <v>5</v>
      </c>
      <c r="R1352" t="s">
        <v>392</v>
      </c>
      <c r="S1352" s="1">
        <f>electric_vehicles_dataset[[#This Row],[Units_Sold_2024]]*electric_vehicles_dataset[[#This Row],[Price_USD]]</f>
        <v>1129514716.8500001</v>
      </c>
      <c r="T1352">
        <v>4</v>
      </c>
      <c r="U1352">
        <v>18499</v>
      </c>
      <c r="V1352">
        <v>3</v>
      </c>
    </row>
    <row r="1353" spans="1:22" x14ac:dyDescent="0.35">
      <c r="A1353">
        <v>1352</v>
      </c>
      <c r="B1353" t="s">
        <v>261</v>
      </c>
      <c r="C1353" t="s">
        <v>372</v>
      </c>
      <c r="D1353">
        <v>2022</v>
      </c>
      <c r="E1353" t="s">
        <v>133</v>
      </c>
      <c r="F1353">
        <v>100.6</v>
      </c>
      <c r="G1353" t="s">
        <v>361</v>
      </c>
      <c r="H1353">
        <f>electric_vehicles_dataset[[#This Row],[Battery_Capacity_kWh]]/electric_vehicles_dataset[[#This Row],[Range_km]]</f>
        <v>0.25794871794871793</v>
      </c>
      <c r="I1353">
        <v>390</v>
      </c>
      <c r="J1353" t="s">
        <v>18</v>
      </c>
      <c r="K1353">
        <v>2</v>
      </c>
      <c r="L1353" s="1">
        <v>66093.06</v>
      </c>
      <c r="M1353" s="1" t="str" cm="1">
        <f t="array" ref="M135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53" t="s">
        <v>279</v>
      </c>
      <c r="O1353" t="s">
        <v>164</v>
      </c>
      <c r="P1353" s="2" t="s">
        <v>394</v>
      </c>
      <c r="Q1353">
        <v>5</v>
      </c>
      <c r="R1353" t="s">
        <v>392</v>
      </c>
      <c r="S1353" s="1">
        <f>electric_vehicles_dataset[[#This Row],[Units_Sold_2024]]*electric_vehicles_dataset[[#This Row],[Price_USD]]</f>
        <v>851212519.74000001</v>
      </c>
      <c r="T1353">
        <v>3</v>
      </c>
      <c r="U1353">
        <v>12879</v>
      </c>
      <c r="V1353">
        <v>5</v>
      </c>
    </row>
    <row r="1354" spans="1:22" x14ac:dyDescent="0.35">
      <c r="A1354">
        <v>1353</v>
      </c>
      <c r="B1354" t="s">
        <v>259</v>
      </c>
      <c r="C1354" t="s">
        <v>298</v>
      </c>
      <c r="D1354">
        <v>2018</v>
      </c>
      <c r="E1354" t="s">
        <v>183</v>
      </c>
      <c r="F1354">
        <v>62.4</v>
      </c>
      <c r="G1354" t="s">
        <v>351</v>
      </c>
      <c r="H1354">
        <f>electric_vehicles_dataset[[#This Row],[Battery_Capacity_kWh]]/electric_vehicles_dataset[[#This Row],[Range_km]]</f>
        <v>0.28755760368663597</v>
      </c>
      <c r="I1354">
        <v>217</v>
      </c>
      <c r="J1354" t="s">
        <v>105</v>
      </c>
      <c r="K1354">
        <v>7</v>
      </c>
      <c r="L1354" s="1">
        <v>91183.38</v>
      </c>
      <c r="M1354" s="1" t="str" cm="1">
        <f t="array" ref="M135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54" t="s">
        <v>49</v>
      </c>
      <c r="O1354" t="s">
        <v>236</v>
      </c>
      <c r="P1354" s="2" t="s">
        <v>394</v>
      </c>
      <c r="Q1354">
        <v>0</v>
      </c>
      <c r="R1354" t="s">
        <v>390</v>
      </c>
      <c r="S1354" s="1">
        <f>electric_vehicles_dataset[[#This Row],[Units_Sold_2024]]*electric_vehicles_dataset[[#This Row],[Price_USD]]</f>
        <v>1576925373.72</v>
      </c>
      <c r="T1354">
        <v>5</v>
      </c>
      <c r="U1354">
        <v>17294</v>
      </c>
      <c r="V1354">
        <v>4</v>
      </c>
    </row>
    <row r="1355" spans="1:22" x14ac:dyDescent="0.35">
      <c r="A1355">
        <v>1354</v>
      </c>
      <c r="B1355" t="s">
        <v>56</v>
      </c>
      <c r="C1355" t="s">
        <v>57</v>
      </c>
      <c r="D1355">
        <v>2021</v>
      </c>
      <c r="E1355" t="s">
        <v>101</v>
      </c>
      <c r="F1355">
        <v>39.200000000000003</v>
      </c>
      <c r="G1355" t="s">
        <v>357</v>
      </c>
      <c r="H1355">
        <f>electric_vehicles_dataset[[#This Row],[Battery_Capacity_kWh]]/electric_vehicles_dataset[[#This Row],[Range_km]]</f>
        <v>7.2862453531598523E-2</v>
      </c>
      <c r="I1355">
        <v>538</v>
      </c>
      <c r="J1355" t="s">
        <v>76</v>
      </c>
      <c r="K1355">
        <v>2</v>
      </c>
      <c r="L1355" s="1">
        <v>149744.53</v>
      </c>
      <c r="M1355" s="1" t="str" cm="1">
        <f t="array" ref="M135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55" t="s">
        <v>55</v>
      </c>
      <c r="O1355" t="s">
        <v>230</v>
      </c>
      <c r="P1355" s="2" t="s">
        <v>389</v>
      </c>
      <c r="Q1355">
        <v>5</v>
      </c>
      <c r="R1355" t="s">
        <v>392</v>
      </c>
      <c r="S1355" s="1">
        <f>electric_vehicles_dataset[[#This Row],[Units_Sold_2024]]*electric_vehicles_dataset[[#This Row],[Price_USD]]</f>
        <v>1613497310.75</v>
      </c>
      <c r="T1355">
        <v>4</v>
      </c>
      <c r="U1355">
        <v>10775</v>
      </c>
      <c r="V1355">
        <v>3</v>
      </c>
    </row>
    <row r="1356" spans="1:22" x14ac:dyDescent="0.35">
      <c r="A1356">
        <v>1355</v>
      </c>
      <c r="B1356" t="s">
        <v>192</v>
      </c>
      <c r="C1356" t="s">
        <v>316</v>
      </c>
      <c r="D1356">
        <v>2015</v>
      </c>
      <c r="E1356" t="s">
        <v>84</v>
      </c>
      <c r="F1356">
        <v>22.7</v>
      </c>
      <c r="G1356" t="s">
        <v>357</v>
      </c>
      <c r="H1356">
        <f>electric_vehicles_dataset[[#This Row],[Battery_Capacity_kWh]]/electric_vehicles_dataset[[#This Row],[Range_km]]</f>
        <v>5.9736842105263158E-2</v>
      </c>
      <c r="I1356">
        <v>380</v>
      </c>
      <c r="J1356" t="s">
        <v>34</v>
      </c>
      <c r="K1356">
        <v>3</v>
      </c>
      <c r="L1356" s="1">
        <v>65002.9</v>
      </c>
      <c r="M1356" s="1" t="str" cm="1">
        <f t="array" ref="M135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56" t="s">
        <v>66</v>
      </c>
      <c r="O1356" t="s">
        <v>164</v>
      </c>
      <c r="P1356" s="2" t="s">
        <v>394</v>
      </c>
      <c r="Q1356">
        <v>4</v>
      </c>
      <c r="R1356" t="s">
        <v>392</v>
      </c>
      <c r="S1356" s="1">
        <f>electric_vehicles_dataset[[#This Row],[Units_Sold_2024]]*electric_vehicles_dataset[[#This Row],[Price_USD]]</f>
        <v>1099394047.7</v>
      </c>
      <c r="T1356">
        <v>4</v>
      </c>
      <c r="U1356">
        <v>16913</v>
      </c>
      <c r="V1356">
        <v>5</v>
      </c>
    </row>
    <row r="1357" spans="1:22" x14ac:dyDescent="0.35">
      <c r="A1357">
        <v>1356</v>
      </c>
      <c r="B1357" t="s">
        <v>261</v>
      </c>
      <c r="C1357" t="s">
        <v>370</v>
      </c>
      <c r="D1357">
        <v>2016</v>
      </c>
      <c r="E1357" t="s">
        <v>58</v>
      </c>
      <c r="F1357">
        <v>52.8</v>
      </c>
      <c r="G1357" t="s">
        <v>348</v>
      </c>
      <c r="H1357">
        <f>electric_vehicles_dataset[[#This Row],[Battery_Capacity_kWh]]/electric_vehicles_dataset[[#This Row],[Range_km]]</f>
        <v>0.17198697068403909</v>
      </c>
      <c r="I1357">
        <v>307</v>
      </c>
      <c r="J1357" t="s">
        <v>76</v>
      </c>
      <c r="K1357">
        <v>1</v>
      </c>
      <c r="L1357" s="1">
        <v>144593.4</v>
      </c>
      <c r="M1357" s="1" t="str" cm="1">
        <f t="array" ref="M135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57" t="s">
        <v>77</v>
      </c>
      <c r="O1357" t="s">
        <v>20</v>
      </c>
      <c r="P1357" s="2" t="s">
        <v>389</v>
      </c>
      <c r="Q1357">
        <v>5</v>
      </c>
      <c r="R1357" t="s">
        <v>392</v>
      </c>
      <c r="S1357" s="1">
        <f>electric_vehicles_dataset[[#This Row],[Units_Sold_2024]]*electric_vehicles_dataset[[#This Row],[Price_USD]]</f>
        <v>2342702266.7999997</v>
      </c>
      <c r="T1357">
        <v>3</v>
      </c>
      <c r="U1357">
        <v>16202</v>
      </c>
      <c r="V1357">
        <v>3</v>
      </c>
    </row>
    <row r="1358" spans="1:22" x14ac:dyDescent="0.35">
      <c r="A1358">
        <v>1357</v>
      </c>
      <c r="B1358" t="s">
        <v>45</v>
      </c>
      <c r="C1358" t="s">
        <v>46</v>
      </c>
      <c r="D1358">
        <v>2024</v>
      </c>
      <c r="E1358" t="s">
        <v>73</v>
      </c>
      <c r="F1358">
        <v>89.2</v>
      </c>
      <c r="G1358" t="s">
        <v>350</v>
      </c>
      <c r="H1358">
        <f>electric_vehicles_dataset[[#This Row],[Battery_Capacity_kWh]]/electric_vehicles_dataset[[#This Row],[Range_km]]</f>
        <v>0.1802020202020202</v>
      </c>
      <c r="I1358">
        <v>495</v>
      </c>
      <c r="J1358" t="s">
        <v>345</v>
      </c>
      <c r="K1358">
        <v>9</v>
      </c>
      <c r="L1358" s="1">
        <v>104133.11</v>
      </c>
      <c r="M1358" s="1" t="str" cm="1">
        <f t="array" ref="M135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58" t="s">
        <v>28</v>
      </c>
      <c r="O1358" t="s">
        <v>115</v>
      </c>
      <c r="P1358" s="2" t="s">
        <v>396</v>
      </c>
      <c r="Q1358">
        <v>5</v>
      </c>
      <c r="R1358" t="s">
        <v>392</v>
      </c>
      <c r="S1358" s="1">
        <f>electric_vehicles_dataset[[#This Row],[Units_Sold_2024]]*electric_vehicles_dataset[[#This Row],[Price_USD]]</f>
        <v>1868564525.8399999</v>
      </c>
      <c r="T1358">
        <v>3</v>
      </c>
      <c r="U1358">
        <v>17944</v>
      </c>
      <c r="V1358">
        <v>4</v>
      </c>
    </row>
    <row r="1359" spans="1:22" x14ac:dyDescent="0.35">
      <c r="A1359">
        <v>1358</v>
      </c>
      <c r="B1359" t="s">
        <v>173</v>
      </c>
      <c r="C1359" t="s">
        <v>174</v>
      </c>
      <c r="D1359">
        <v>2021</v>
      </c>
      <c r="E1359" t="s">
        <v>31</v>
      </c>
      <c r="F1359">
        <v>25.3</v>
      </c>
      <c r="G1359" t="s">
        <v>357</v>
      </c>
      <c r="H1359">
        <f>electric_vehicles_dataset[[#This Row],[Battery_Capacity_kWh]]/electric_vehicles_dataset[[#This Row],[Range_km]]</f>
        <v>0.22792792792792793</v>
      </c>
      <c r="I1359">
        <v>111</v>
      </c>
      <c r="J1359" t="s">
        <v>105</v>
      </c>
      <c r="K1359">
        <v>8</v>
      </c>
      <c r="L1359" s="1">
        <v>59884.94</v>
      </c>
      <c r="M1359" s="1" t="str" cm="1">
        <f t="array" ref="M135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59" t="s">
        <v>43</v>
      </c>
      <c r="O1359" t="s">
        <v>93</v>
      </c>
      <c r="P1359" s="2" t="s">
        <v>389</v>
      </c>
      <c r="Q1359">
        <v>1</v>
      </c>
      <c r="R1359" t="s">
        <v>391</v>
      </c>
      <c r="S1359" s="1">
        <f>electric_vehicles_dataset[[#This Row],[Units_Sold_2024]]*electric_vehicles_dataset[[#This Row],[Price_USD]]</f>
        <v>188577676.06</v>
      </c>
      <c r="T1359">
        <v>4</v>
      </c>
      <c r="U1359">
        <v>3149</v>
      </c>
      <c r="V1359">
        <v>5</v>
      </c>
    </row>
    <row r="1360" spans="1:22" x14ac:dyDescent="0.35">
      <c r="A1360">
        <v>1359</v>
      </c>
      <c r="B1360" t="s">
        <v>200</v>
      </c>
      <c r="C1360" t="s">
        <v>327</v>
      </c>
      <c r="D1360">
        <v>2016</v>
      </c>
      <c r="E1360" t="s">
        <v>73</v>
      </c>
      <c r="F1360">
        <v>98.5</v>
      </c>
      <c r="G1360" t="s">
        <v>350</v>
      </c>
      <c r="H1360">
        <f>electric_vehicles_dataset[[#This Row],[Battery_Capacity_kWh]]/electric_vehicles_dataset[[#This Row],[Range_km]]</f>
        <v>0.22906976744186047</v>
      </c>
      <c r="I1360">
        <v>430</v>
      </c>
      <c r="J1360" t="s">
        <v>149</v>
      </c>
      <c r="K1360">
        <v>9</v>
      </c>
      <c r="L1360" s="1">
        <v>69567.13</v>
      </c>
      <c r="M1360" s="1" t="str" cm="1">
        <f t="array" ref="M136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60" t="s">
        <v>240</v>
      </c>
      <c r="O1360" t="s">
        <v>182</v>
      </c>
      <c r="P1360" s="2" t="s">
        <v>394</v>
      </c>
      <c r="Q1360">
        <v>2</v>
      </c>
      <c r="R1360" t="s">
        <v>391</v>
      </c>
      <c r="S1360" s="1">
        <f>electric_vehicles_dataset[[#This Row],[Units_Sold_2024]]*electric_vehicles_dataset[[#This Row],[Price_USD]]</f>
        <v>592155410.56000006</v>
      </c>
      <c r="T1360">
        <v>4</v>
      </c>
      <c r="U1360">
        <v>8512</v>
      </c>
      <c r="V1360">
        <v>5</v>
      </c>
    </row>
    <row r="1361" spans="1:22" x14ac:dyDescent="0.35">
      <c r="A1361">
        <v>1360</v>
      </c>
      <c r="B1361" t="s">
        <v>79</v>
      </c>
      <c r="C1361" t="s">
        <v>267</v>
      </c>
      <c r="D1361">
        <v>2020</v>
      </c>
      <c r="E1361" t="s">
        <v>31</v>
      </c>
      <c r="F1361">
        <v>62.1</v>
      </c>
      <c r="G1361" t="s">
        <v>351</v>
      </c>
      <c r="H1361">
        <f>electric_vehicles_dataset[[#This Row],[Battery_Capacity_kWh]]/electric_vehicles_dataset[[#This Row],[Range_km]]</f>
        <v>0.27972972972972976</v>
      </c>
      <c r="I1361">
        <v>222</v>
      </c>
      <c r="J1361" t="s">
        <v>105</v>
      </c>
      <c r="K1361">
        <v>5</v>
      </c>
      <c r="L1361" s="1">
        <v>33596.559999999998</v>
      </c>
      <c r="M1361" s="1" t="str" cm="1">
        <f t="array" ref="M136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61" t="s">
        <v>146</v>
      </c>
      <c r="O1361" t="s">
        <v>110</v>
      </c>
      <c r="P1361" s="2" t="s">
        <v>394</v>
      </c>
      <c r="Q1361">
        <v>4</v>
      </c>
      <c r="R1361" t="s">
        <v>392</v>
      </c>
      <c r="S1361" s="1">
        <f>electric_vehicles_dataset[[#This Row],[Units_Sold_2024]]*electric_vehicles_dataset[[#This Row],[Price_USD]]</f>
        <v>300890791.35999995</v>
      </c>
      <c r="T1361">
        <v>5</v>
      </c>
      <c r="U1361">
        <v>8956</v>
      </c>
      <c r="V1361">
        <v>4</v>
      </c>
    </row>
    <row r="1362" spans="1:22" x14ac:dyDescent="0.35">
      <c r="A1362">
        <v>1361</v>
      </c>
      <c r="B1362" t="s">
        <v>222</v>
      </c>
      <c r="C1362" t="s">
        <v>295</v>
      </c>
      <c r="D1362">
        <v>2017</v>
      </c>
      <c r="E1362" t="s">
        <v>17</v>
      </c>
      <c r="F1362">
        <v>27</v>
      </c>
      <c r="G1362" t="s">
        <v>357</v>
      </c>
      <c r="H1362">
        <f>electric_vehicles_dataset[[#This Row],[Battery_Capacity_kWh]]/electric_vehicles_dataset[[#This Row],[Range_km]]</f>
        <v>0.20930232558139536</v>
      </c>
      <c r="I1362">
        <v>129</v>
      </c>
      <c r="J1362" t="s">
        <v>18</v>
      </c>
      <c r="K1362">
        <v>4</v>
      </c>
      <c r="L1362" s="1">
        <v>107275.49</v>
      </c>
      <c r="M1362" s="1" t="str" cm="1">
        <f t="array" ref="M13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62" t="s">
        <v>301</v>
      </c>
      <c r="O1362" t="s">
        <v>150</v>
      </c>
      <c r="P1362" s="2" t="s">
        <v>389</v>
      </c>
      <c r="Q1362">
        <v>4</v>
      </c>
      <c r="R1362" t="s">
        <v>392</v>
      </c>
      <c r="S1362" s="1">
        <f>electric_vehicles_dataset[[#This Row],[Units_Sold_2024]]*electric_vehicles_dataset[[#This Row],[Price_USD]]</f>
        <v>484241561.86000001</v>
      </c>
      <c r="T1362">
        <v>3</v>
      </c>
      <c r="U1362">
        <v>4514</v>
      </c>
      <c r="V1362">
        <v>5</v>
      </c>
    </row>
    <row r="1363" spans="1:22" x14ac:dyDescent="0.35">
      <c r="A1363">
        <v>1362</v>
      </c>
      <c r="B1363" t="s">
        <v>128</v>
      </c>
      <c r="C1363" t="s">
        <v>332</v>
      </c>
      <c r="D1363">
        <v>2024</v>
      </c>
      <c r="E1363" t="s">
        <v>53</v>
      </c>
      <c r="F1363">
        <v>119.7</v>
      </c>
      <c r="G1363" t="s">
        <v>361</v>
      </c>
      <c r="H1363">
        <f>electric_vehicles_dataset[[#This Row],[Battery_Capacity_kWh]]/electric_vehicles_dataset[[#This Row],[Range_km]]</f>
        <v>0.20117647058823529</v>
      </c>
      <c r="I1363">
        <v>595</v>
      </c>
      <c r="J1363" t="s">
        <v>76</v>
      </c>
      <c r="K1363">
        <v>2</v>
      </c>
      <c r="L1363" s="1">
        <v>136881.95000000001</v>
      </c>
      <c r="M1363" s="1" t="str" cm="1">
        <f t="array" ref="M13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63" t="s">
        <v>240</v>
      </c>
      <c r="O1363" t="s">
        <v>95</v>
      </c>
      <c r="P1363" s="2" t="s">
        <v>394</v>
      </c>
      <c r="Q1363">
        <v>4</v>
      </c>
      <c r="R1363" t="s">
        <v>392</v>
      </c>
      <c r="S1363" s="1">
        <f>electric_vehicles_dataset[[#This Row],[Units_Sold_2024]]*electric_vehicles_dataset[[#This Row],[Price_USD]]</f>
        <v>1456560829.95</v>
      </c>
      <c r="T1363">
        <v>5</v>
      </c>
      <c r="U1363">
        <v>10641</v>
      </c>
      <c r="V1363">
        <v>3</v>
      </c>
    </row>
    <row r="1364" spans="1:22" x14ac:dyDescent="0.35">
      <c r="A1364">
        <v>1363</v>
      </c>
      <c r="B1364" t="s">
        <v>45</v>
      </c>
      <c r="C1364" t="s">
        <v>132</v>
      </c>
      <c r="D1364">
        <v>2020</v>
      </c>
      <c r="E1364" t="s">
        <v>73</v>
      </c>
      <c r="F1364">
        <v>146.19999999999999</v>
      </c>
      <c r="G1364" t="s">
        <v>386</v>
      </c>
      <c r="H1364">
        <f>electric_vehicles_dataset[[#This Row],[Battery_Capacity_kWh]]/electric_vehicles_dataset[[#This Row],[Range_km]]</f>
        <v>0.4716129032258064</v>
      </c>
      <c r="I1364">
        <v>310</v>
      </c>
      <c r="J1364" t="s">
        <v>54</v>
      </c>
      <c r="K1364">
        <v>2</v>
      </c>
      <c r="L1364" s="1">
        <v>141666.25</v>
      </c>
      <c r="M1364" s="1" t="str" cm="1">
        <f t="array" ref="M13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64" t="s">
        <v>91</v>
      </c>
      <c r="O1364" t="s">
        <v>40</v>
      </c>
      <c r="P1364" s="2" t="s">
        <v>395</v>
      </c>
      <c r="Q1364">
        <v>4</v>
      </c>
      <c r="R1364" t="s">
        <v>392</v>
      </c>
      <c r="S1364" s="1">
        <f>electric_vehicles_dataset[[#This Row],[Units_Sold_2024]]*electric_vehicles_dataset[[#This Row],[Price_USD]]</f>
        <v>2599575687.5</v>
      </c>
      <c r="T1364">
        <v>3</v>
      </c>
      <c r="U1364">
        <v>18350</v>
      </c>
      <c r="V1364">
        <v>3</v>
      </c>
    </row>
    <row r="1365" spans="1:22" x14ac:dyDescent="0.35">
      <c r="A1365">
        <v>1364</v>
      </c>
      <c r="B1365" t="s">
        <v>21</v>
      </c>
      <c r="C1365" t="s">
        <v>363</v>
      </c>
      <c r="D1365">
        <v>2016</v>
      </c>
      <c r="E1365" t="s">
        <v>47</v>
      </c>
      <c r="F1365">
        <v>35.1</v>
      </c>
      <c r="G1365" t="s">
        <v>357</v>
      </c>
      <c r="H1365">
        <f>electric_vehicles_dataset[[#This Row],[Battery_Capacity_kWh]]/electric_vehicles_dataset[[#This Row],[Range_km]]</f>
        <v>0.11178343949044586</v>
      </c>
      <c r="I1365">
        <v>314</v>
      </c>
      <c r="J1365" t="s">
        <v>364</v>
      </c>
      <c r="K1365">
        <v>8</v>
      </c>
      <c r="L1365" s="1">
        <v>124356.21</v>
      </c>
      <c r="M1365" s="1" t="str" cm="1">
        <f t="array" ref="M136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65" t="s">
        <v>146</v>
      </c>
      <c r="O1365" t="s">
        <v>202</v>
      </c>
      <c r="P1365" s="2" t="s">
        <v>393</v>
      </c>
      <c r="Q1365">
        <v>2</v>
      </c>
      <c r="R1365" t="s">
        <v>391</v>
      </c>
      <c r="S1365" s="1">
        <f>electric_vehicles_dataset[[#This Row],[Units_Sold_2024]]*electric_vehicles_dataset[[#This Row],[Price_USD]]</f>
        <v>129081745.98</v>
      </c>
      <c r="T1365">
        <v>3</v>
      </c>
      <c r="U1365">
        <v>1038</v>
      </c>
      <c r="V1365">
        <v>3</v>
      </c>
    </row>
    <row r="1366" spans="1:22" x14ac:dyDescent="0.35">
      <c r="A1366">
        <v>1365</v>
      </c>
      <c r="B1366" t="s">
        <v>45</v>
      </c>
      <c r="C1366" t="s">
        <v>46</v>
      </c>
      <c r="D1366">
        <v>2017</v>
      </c>
      <c r="E1366" t="s">
        <v>31</v>
      </c>
      <c r="F1366">
        <v>27.2</v>
      </c>
      <c r="G1366" t="s">
        <v>357</v>
      </c>
      <c r="H1366">
        <f>electric_vehicles_dataset[[#This Row],[Battery_Capacity_kWh]]/electric_vehicles_dataset[[#This Row],[Range_km]]</f>
        <v>8.5534591194968548E-2</v>
      </c>
      <c r="I1366">
        <v>318</v>
      </c>
      <c r="J1366" t="s">
        <v>358</v>
      </c>
      <c r="K1366">
        <v>1</v>
      </c>
      <c r="L1366" s="1">
        <v>40230.370000000003</v>
      </c>
      <c r="M1366" s="1" t="str" cm="1">
        <f t="array" ref="M136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66" t="s">
        <v>114</v>
      </c>
      <c r="O1366" t="s">
        <v>78</v>
      </c>
      <c r="P1366" s="2" t="s">
        <v>389</v>
      </c>
      <c r="Q1366">
        <v>3</v>
      </c>
      <c r="R1366" t="s">
        <v>397</v>
      </c>
      <c r="S1366" s="1">
        <f>electric_vehicles_dataset[[#This Row],[Units_Sold_2024]]*electric_vehicles_dataset[[#This Row],[Price_USD]]</f>
        <v>231686700.83000001</v>
      </c>
      <c r="T1366">
        <v>4</v>
      </c>
      <c r="U1366">
        <v>5759</v>
      </c>
      <c r="V1366">
        <v>3</v>
      </c>
    </row>
    <row r="1367" spans="1:22" x14ac:dyDescent="0.35">
      <c r="A1367">
        <v>1366</v>
      </c>
      <c r="B1367" t="s">
        <v>60</v>
      </c>
      <c r="C1367" t="s">
        <v>248</v>
      </c>
      <c r="D1367">
        <v>2025</v>
      </c>
      <c r="E1367" t="s">
        <v>42</v>
      </c>
      <c r="F1367">
        <v>28.9</v>
      </c>
      <c r="G1367" t="s">
        <v>357</v>
      </c>
      <c r="H1367">
        <f>electric_vehicles_dataset[[#This Row],[Battery_Capacity_kWh]]/electric_vehicles_dataset[[#This Row],[Range_km]]</f>
        <v>0.19931034482758619</v>
      </c>
      <c r="I1367">
        <v>145</v>
      </c>
      <c r="J1367" t="s">
        <v>18</v>
      </c>
      <c r="K1367">
        <v>1</v>
      </c>
      <c r="L1367" s="1">
        <v>138533.93</v>
      </c>
      <c r="M1367" s="1" t="str" cm="1">
        <f t="array" ref="M136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67" t="s">
        <v>19</v>
      </c>
      <c r="O1367" t="s">
        <v>33</v>
      </c>
      <c r="P1367" s="2" t="s">
        <v>393</v>
      </c>
      <c r="Q1367">
        <v>3</v>
      </c>
      <c r="R1367" t="s">
        <v>397</v>
      </c>
      <c r="S1367" s="1">
        <f>electric_vehicles_dataset[[#This Row],[Units_Sold_2024]]*electric_vehicles_dataset[[#This Row],[Price_USD]]</f>
        <v>1018501453.3599999</v>
      </c>
      <c r="T1367">
        <v>4</v>
      </c>
      <c r="U1367">
        <v>7352</v>
      </c>
      <c r="V1367">
        <v>5</v>
      </c>
    </row>
    <row r="1368" spans="1:22" x14ac:dyDescent="0.35">
      <c r="A1368">
        <v>1367</v>
      </c>
      <c r="B1368" t="s">
        <v>51</v>
      </c>
      <c r="C1368" t="s">
        <v>239</v>
      </c>
      <c r="D1368">
        <v>2019</v>
      </c>
      <c r="E1368" t="s">
        <v>42</v>
      </c>
      <c r="F1368">
        <v>114.3</v>
      </c>
      <c r="G1368" t="s">
        <v>361</v>
      </c>
      <c r="H1368">
        <f>electric_vehicles_dataset[[#This Row],[Battery_Capacity_kWh]]/electric_vehicles_dataset[[#This Row],[Range_km]]</f>
        <v>0.19177852348993288</v>
      </c>
      <c r="I1368">
        <v>596</v>
      </c>
      <c r="J1368" t="s">
        <v>54</v>
      </c>
      <c r="K1368">
        <v>8</v>
      </c>
      <c r="L1368" s="1">
        <v>137260.04</v>
      </c>
      <c r="M1368" s="1" t="str" cm="1">
        <f t="array" ref="M136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68" t="s">
        <v>172</v>
      </c>
      <c r="O1368" t="s">
        <v>169</v>
      </c>
      <c r="P1368" s="2" t="s">
        <v>394</v>
      </c>
      <c r="Q1368">
        <v>5</v>
      </c>
      <c r="R1368" t="s">
        <v>392</v>
      </c>
      <c r="S1368" s="1">
        <f>electric_vehicles_dataset[[#This Row],[Units_Sold_2024]]*electric_vehicles_dataset[[#This Row],[Price_USD]]</f>
        <v>481508220.32000005</v>
      </c>
      <c r="T1368">
        <v>3</v>
      </c>
      <c r="U1368">
        <v>3508</v>
      </c>
      <c r="V1368">
        <v>5</v>
      </c>
    </row>
    <row r="1369" spans="1:22" x14ac:dyDescent="0.35">
      <c r="A1369">
        <v>1368</v>
      </c>
      <c r="B1369" t="s">
        <v>200</v>
      </c>
      <c r="C1369" t="s">
        <v>327</v>
      </c>
      <c r="D1369">
        <v>2018</v>
      </c>
      <c r="E1369" t="s">
        <v>84</v>
      </c>
      <c r="F1369">
        <v>67.599999999999994</v>
      </c>
      <c r="G1369" t="s">
        <v>351</v>
      </c>
      <c r="H1369">
        <f>electric_vehicles_dataset[[#This Row],[Battery_Capacity_kWh]]/electric_vehicles_dataset[[#This Row],[Range_km]]</f>
        <v>0.14444444444444443</v>
      </c>
      <c r="I1369">
        <v>468</v>
      </c>
      <c r="J1369" t="s">
        <v>359</v>
      </c>
      <c r="K1369">
        <v>12</v>
      </c>
      <c r="L1369" s="1">
        <v>67095.320000000007</v>
      </c>
      <c r="M1369" s="1" t="str" cm="1">
        <f t="array" ref="M136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69" t="s">
        <v>77</v>
      </c>
      <c r="O1369" t="s">
        <v>44</v>
      </c>
      <c r="P1369" s="2" t="s">
        <v>389</v>
      </c>
      <c r="Q1369">
        <v>2</v>
      </c>
      <c r="R1369" t="s">
        <v>391</v>
      </c>
      <c r="S1369" s="1">
        <f>electric_vehicles_dataset[[#This Row],[Units_Sold_2024]]*electric_vehicles_dataset[[#This Row],[Price_USD]]</f>
        <v>901023052.28000009</v>
      </c>
      <c r="T1369">
        <v>4</v>
      </c>
      <c r="U1369">
        <v>13429</v>
      </c>
      <c r="V1369">
        <v>5</v>
      </c>
    </row>
    <row r="1370" spans="1:22" x14ac:dyDescent="0.35">
      <c r="A1370">
        <v>1369</v>
      </c>
      <c r="B1370" t="s">
        <v>220</v>
      </c>
      <c r="C1370" t="s">
        <v>337</v>
      </c>
      <c r="D1370">
        <v>2020</v>
      </c>
      <c r="E1370" t="s">
        <v>183</v>
      </c>
      <c r="F1370">
        <v>33.200000000000003</v>
      </c>
      <c r="G1370" t="s">
        <v>357</v>
      </c>
      <c r="H1370">
        <f>electric_vehicles_dataset[[#This Row],[Battery_Capacity_kWh]]/electric_vehicles_dataset[[#This Row],[Range_km]]</f>
        <v>7.4272930648769581E-2</v>
      </c>
      <c r="I1370">
        <v>447</v>
      </c>
      <c r="J1370" t="s">
        <v>18</v>
      </c>
      <c r="K1370">
        <v>10</v>
      </c>
      <c r="L1370" s="1">
        <v>110181.42</v>
      </c>
      <c r="M1370" s="1" t="str" cm="1">
        <f t="array" ref="M137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70" t="s">
        <v>229</v>
      </c>
      <c r="O1370" t="s">
        <v>164</v>
      </c>
      <c r="P1370" s="2" t="s">
        <v>394</v>
      </c>
      <c r="Q1370">
        <v>0</v>
      </c>
      <c r="R1370" t="s">
        <v>390</v>
      </c>
      <c r="S1370" s="1">
        <f>electric_vehicles_dataset[[#This Row],[Units_Sold_2024]]*electric_vehicles_dataset[[#This Row],[Price_USD]]</f>
        <v>1398753126.9000001</v>
      </c>
      <c r="T1370">
        <v>5</v>
      </c>
      <c r="U1370">
        <v>12695</v>
      </c>
      <c r="V1370">
        <v>4</v>
      </c>
    </row>
    <row r="1371" spans="1:22" x14ac:dyDescent="0.35">
      <c r="A1371">
        <v>1370</v>
      </c>
      <c r="B1371" t="s">
        <v>136</v>
      </c>
      <c r="C1371" t="s">
        <v>137</v>
      </c>
      <c r="D1371">
        <v>2017</v>
      </c>
      <c r="E1371" t="s">
        <v>26</v>
      </c>
      <c r="F1371">
        <v>36.9</v>
      </c>
      <c r="G1371" t="s">
        <v>357</v>
      </c>
      <c r="H1371">
        <f>electric_vehicles_dataset[[#This Row],[Battery_Capacity_kWh]]/electric_vehicles_dataset[[#This Row],[Range_km]]</f>
        <v>0.26546762589928058</v>
      </c>
      <c r="I1371">
        <v>139</v>
      </c>
      <c r="J1371" t="s">
        <v>345</v>
      </c>
      <c r="K1371">
        <v>11</v>
      </c>
      <c r="L1371" s="1">
        <v>79052.37</v>
      </c>
      <c r="M1371" s="1" t="str" cm="1">
        <f t="array" ref="M137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71" t="s">
        <v>19</v>
      </c>
      <c r="O1371" t="s">
        <v>236</v>
      </c>
      <c r="P1371" s="2" t="s">
        <v>394</v>
      </c>
      <c r="Q1371">
        <v>2</v>
      </c>
      <c r="R1371" t="s">
        <v>391</v>
      </c>
      <c r="S1371" s="1">
        <f>electric_vehicles_dataset[[#This Row],[Units_Sold_2024]]*electric_vehicles_dataset[[#This Row],[Price_USD]]</f>
        <v>208540152.06</v>
      </c>
      <c r="T1371">
        <v>4</v>
      </c>
      <c r="U1371">
        <v>2638</v>
      </c>
      <c r="V1371">
        <v>5</v>
      </c>
    </row>
    <row r="1372" spans="1:22" x14ac:dyDescent="0.35">
      <c r="A1372">
        <v>1371</v>
      </c>
      <c r="B1372" t="s">
        <v>220</v>
      </c>
      <c r="C1372" t="s">
        <v>335</v>
      </c>
      <c r="D1372">
        <v>2025</v>
      </c>
      <c r="E1372" t="s">
        <v>31</v>
      </c>
      <c r="F1372">
        <v>67</v>
      </c>
      <c r="G1372" t="s">
        <v>351</v>
      </c>
      <c r="H1372">
        <f>electric_vehicles_dataset[[#This Row],[Battery_Capacity_kWh]]/electric_vehicles_dataset[[#This Row],[Range_km]]</f>
        <v>0.56779661016949157</v>
      </c>
      <c r="I1372">
        <v>118</v>
      </c>
      <c r="J1372" t="s">
        <v>358</v>
      </c>
      <c r="K1372">
        <v>12</v>
      </c>
      <c r="L1372" s="1">
        <v>43062.37</v>
      </c>
      <c r="M1372" s="1" t="str" cm="1">
        <f t="array" ref="M13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72" t="s">
        <v>246</v>
      </c>
      <c r="O1372" t="s">
        <v>111</v>
      </c>
      <c r="P1372" s="2" t="s">
        <v>389</v>
      </c>
      <c r="Q1372">
        <v>3</v>
      </c>
      <c r="R1372" t="s">
        <v>397</v>
      </c>
      <c r="S1372" s="1">
        <f>electric_vehicles_dataset[[#This Row],[Units_Sold_2024]]*electric_vehicles_dataset[[#This Row],[Price_USD]]</f>
        <v>332010872.70000005</v>
      </c>
      <c r="T1372">
        <v>3</v>
      </c>
      <c r="U1372">
        <v>7710</v>
      </c>
      <c r="V1372">
        <v>4</v>
      </c>
    </row>
    <row r="1373" spans="1:22" x14ac:dyDescent="0.35">
      <c r="A1373">
        <v>1372</v>
      </c>
      <c r="B1373" t="s">
        <v>122</v>
      </c>
      <c r="C1373" t="s">
        <v>186</v>
      </c>
      <c r="D1373">
        <v>2019</v>
      </c>
      <c r="E1373" t="s">
        <v>84</v>
      </c>
      <c r="F1373">
        <v>59.9</v>
      </c>
      <c r="G1373" t="s">
        <v>348</v>
      </c>
      <c r="H1373">
        <f>electric_vehicles_dataset[[#This Row],[Battery_Capacity_kWh]]/electric_vehicles_dataset[[#This Row],[Range_km]]</f>
        <v>0.19076433121019107</v>
      </c>
      <c r="I1373">
        <v>314</v>
      </c>
      <c r="J1373" t="s">
        <v>34</v>
      </c>
      <c r="K1373">
        <v>7</v>
      </c>
      <c r="L1373" s="1">
        <v>143696.91</v>
      </c>
      <c r="M1373" s="1" t="str" cm="1">
        <f t="array" ref="M137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73" t="s">
        <v>240</v>
      </c>
      <c r="O1373" t="s">
        <v>20</v>
      </c>
      <c r="P1373" s="2" t="s">
        <v>389</v>
      </c>
      <c r="Q1373">
        <v>5</v>
      </c>
      <c r="R1373" t="s">
        <v>392</v>
      </c>
      <c r="S1373" s="1">
        <f>electric_vehicles_dataset[[#This Row],[Units_Sold_2024]]*electric_vehicles_dataset[[#This Row],[Price_USD]]</f>
        <v>1677517727.3400002</v>
      </c>
      <c r="T1373">
        <v>5</v>
      </c>
      <c r="U1373">
        <v>11674</v>
      </c>
      <c r="V1373">
        <v>3</v>
      </c>
    </row>
    <row r="1374" spans="1:22" x14ac:dyDescent="0.35">
      <c r="A1374">
        <v>1373</v>
      </c>
      <c r="B1374" t="s">
        <v>243</v>
      </c>
      <c r="C1374" t="s">
        <v>371</v>
      </c>
      <c r="D1374">
        <v>2024</v>
      </c>
      <c r="E1374" t="s">
        <v>183</v>
      </c>
      <c r="F1374">
        <v>42.4</v>
      </c>
      <c r="G1374" t="s">
        <v>348</v>
      </c>
      <c r="H1374">
        <f>electric_vehicles_dataset[[#This Row],[Battery_Capacity_kWh]]/electric_vehicles_dataset[[#This Row],[Range_km]]</f>
        <v>7.1140939597315433E-2</v>
      </c>
      <c r="I1374">
        <v>596</v>
      </c>
      <c r="J1374" t="s">
        <v>34</v>
      </c>
      <c r="K1374">
        <v>8</v>
      </c>
      <c r="L1374" s="1">
        <v>63169.47</v>
      </c>
      <c r="M1374" s="1" t="str" cm="1">
        <f t="array" ref="M13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74" t="s">
        <v>179</v>
      </c>
      <c r="O1374" t="s">
        <v>20</v>
      </c>
      <c r="P1374" s="2" t="s">
        <v>389</v>
      </c>
      <c r="Q1374">
        <v>0</v>
      </c>
      <c r="R1374" t="s">
        <v>390</v>
      </c>
      <c r="S1374" s="1">
        <f>electric_vehicles_dataset[[#This Row],[Units_Sold_2024]]*electric_vehicles_dataset[[#This Row],[Price_USD]]</f>
        <v>1131617885.5799999</v>
      </c>
      <c r="T1374">
        <v>3</v>
      </c>
      <c r="U1374">
        <v>17914</v>
      </c>
      <c r="V1374">
        <v>5</v>
      </c>
    </row>
    <row r="1375" spans="1:22" x14ac:dyDescent="0.35">
      <c r="A1375">
        <v>1374</v>
      </c>
      <c r="B1375" t="s">
        <v>200</v>
      </c>
      <c r="C1375" t="s">
        <v>338</v>
      </c>
      <c r="D1375">
        <v>2022</v>
      </c>
      <c r="E1375" t="s">
        <v>31</v>
      </c>
      <c r="F1375">
        <v>20.3</v>
      </c>
      <c r="G1375" t="s">
        <v>357</v>
      </c>
      <c r="H1375">
        <f>electric_vehicles_dataset[[#This Row],[Battery_Capacity_kWh]]/electric_vehicles_dataset[[#This Row],[Range_km]]</f>
        <v>4.5927601809954754E-2</v>
      </c>
      <c r="I1375">
        <v>442</v>
      </c>
      <c r="J1375" t="s">
        <v>358</v>
      </c>
      <c r="K1375">
        <v>3</v>
      </c>
      <c r="L1375" s="1">
        <v>57041.68</v>
      </c>
      <c r="M1375" s="1" t="str" cm="1">
        <f t="array" ref="M137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75" t="s">
        <v>106</v>
      </c>
      <c r="O1375" t="s">
        <v>167</v>
      </c>
      <c r="P1375" s="2" t="s">
        <v>394</v>
      </c>
      <c r="Q1375">
        <v>4</v>
      </c>
      <c r="R1375" t="s">
        <v>392</v>
      </c>
      <c r="S1375" s="1">
        <f>electric_vehicles_dataset[[#This Row],[Units_Sold_2024]]*electric_vehicles_dataset[[#This Row],[Price_USD]]</f>
        <v>121042444.95999999</v>
      </c>
      <c r="T1375">
        <v>3</v>
      </c>
      <c r="U1375">
        <v>2122</v>
      </c>
      <c r="V1375">
        <v>5</v>
      </c>
    </row>
    <row r="1376" spans="1:22" x14ac:dyDescent="0.35">
      <c r="A1376">
        <v>1375</v>
      </c>
      <c r="B1376" t="s">
        <v>207</v>
      </c>
      <c r="C1376" t="s">
        <v>287</v>
      </c>
      <c r="D1376">
        <v>2024</v>
      </c>
      <c r="E1376" t="s">
        <v>183</v>
      </c>
      <c r="F1376">
        <v>74.599999999999994</v>
      </c>
      <c r="G1376" t="s">
        <v>351</v>
      </c>
      <c r="H1376">
        <f>electric_vehicles_dataset[[#This Row],[Battery_Capacity_kWh]]/electric_vehicles_dataset[[#This Row],[Range_km]]</f>
        <v>0.67207207207207198</v>
      </c>
      <c r="I1376">
        <v>111</v>
      </c>
      <c r="J1376" t="s">
        <v>34</v>
      </c>
      <c r="K1376">
        <v>5</v>
      </c>
      <c r="L1376" s="1">
        <v>133940.56</v>
      </c>
      <c r="M1376" s="1" t="str" cm="1">
        <f t="array" ref="M137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76" t="s">
        <v>301</v>
      </c>
      <c r="O1376" t="s">
        <v>202</v>
      </c>
      <c r="P1376" s="2" t="s">
        <v>393</v>
      </c>
      <c r="Q1376">
        <v>0</v>
      </c>
      <c r="R1376" t="s">
        <v>390</v>
      </c>
      <c r="S1376" s="1">
        <f>electric_vehicles_dataset[[#This Row],[Units_Sold_2024]]*electric_vehicles_dataset[[#This Row],[Price_USD]]</f>
        <v>1628583269.04</v>
      </c>
      <c r="T1376">
        <v>3</v>
      </c>
      <c r="U1376">
        <v>12159</v>
      </c>
      <c r="V1376">
        <v>4</v>
      </c>
    </row>
    <row r="1377" spans="1:22" x14ac:dyDescent="0.35">
      <c r="A1377">
        <v>1376</v>
      </c>
      <c r="B1377" t="s">
        <v>112</v>
      </c>
      <c r="C1377" t="s">
        <v>237</v>
      </c>
      <c r="D1377">
        <v>2019</v>
      </c>
      <c r="E1377" t="s">
        <v>58</v>
      </c>
      <c r="F1377">
        <v>124.3</v>
      </c>
      <c r="G1377" t="s">
        <v>352</v>
      </c>
      <c r="H1377">
        <f>electric_vehicles_dataset[[#This Row],[Battery_Capacity_kWh]]/electric_vehicles_dataset[[#This Row],[Range_km]]</f>
        <v>0.63743589743589746</v>
      </c>
      <c r="I1377">
        <v>195</v>
      </c>
      <c r="J1377" t="s">
        <v>353</v>
      </c>
      <c r="K1377">
        <v>10</v>
      </c>
      <c r="L1377" s="1">
        <v>44215.66</v>
      </c>
      <c r="M1377" s="1" t="str" cm="1">
        <f t="array" ref="M137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77" t="s">
        <v>253</v>
      </c>
      <c r="O1377" t="s">
        <v>67</v>
      </c>
      <c r="P1377" s="2" t="s">
        <v>394</v>
      </c>
      <c r="Q1377">
        <v>5</v>
      </c>
      <c r="R1377" t="s">
        <v>392</v>
      </c>
      <c r="S1377" s="1">
        <f>electric_vehicles_dataset[[#This Row],[Units_Sold_2024]]*electric_vehicles_dataset[[#This Row],[Price_USD]]</f>
        <v>719565650.84000003</v>
      </c>
      <c r="T1377">
        <v>3</v>
      </c>
      <c r="U1377">
        <v>16274</v>
      </c>
      <c r="V1377">
        <v>3</v>
      </c>
    </row>
    <row r="1378" spans="1:22" x14ac:dyDescent="0.35">
      <c r="A1378">
        <v>1377</v>
      </c>
      <c r="B1378" t="s">
        <v>184</v>
      </c>
      <c r="C1378" t="s">
        <v>309</v>
      </c>
      <c r="D1378">
        <v>2015</v>
      </c>
      <c r="E1378" t="s">
        <v>84</v>
      </c>
      <c r="F1378">
        <v>46.3</v>
      </c>
      <c r="G1378" t="s">
        <v>348</v>
      </c>
      <c r="H1378">
        <f>electric_vehicles_dataset[[#This Row],[Battery_Capacity_kWh]]/electric_vehicles_dataset[[#This Row],[Range_km]]</f>
        <v>0.35343511450381676</v>
      </c>
      <c r="I1378">
        <v>131</v>
      </c>
      <c r="J1378" t="s">
        <v>359</v>
      </c>
      <c r="K1378">
        <v>2</v>
      </c>
      <c r="L1378" s="1">
        <v>83606.62</v>
      </c>
      <c r="M1378" s="1" t="str" cm="1">
        <f t="array" ref="M137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78" t="s">
        <v>257</v>
      </c>
      <c r="O1378" t="s">
        <v>167</v>
      </c>
      <c r="P1378" s="2" t="s">
        <v>394</v>
      </c>
      <c r="Q1378">
        <v>0</v>
      </c>
      <c r="R1378" t="s">
        <v>390</v>
      </c>
      <c r="S1378" s="1">
        <f>electric_vehicles_dataset[[#This Row],[Units_Sold_2024]]*electric_vehicles_dataset[[#This Row],[Price_USD]]</f>
        <v>36118059.839999996</v>
      </c>
      <c r="T1378">
        <v>3</v>
      </c>
      <c r="U1378">
        <v>432</v>
      </c>
      <c r="V1378">
        <v>3</v>
      </c>
    </row>
    <row r="1379" spans="1:22" x14ac:dyDescent="0.35">
      <c r="A1379">
        <v>1378</v>
      </c>
      <c r="B1379" t="s">
        <v>234</v>
      </c>
      <c r="C1379" t="s">
        <v>235</v>
      </c>
      <c r="D1379">
        <v>2016</v>
      </c>
      <c r="E1379" t="s">
        <v>31</v>
      </c>
      <c r="F1379">
        <v>33.9</v>
      </c>
      <c r="G1379" t="s">
        <v>357</v>
      </c>
      <c r="H1379">
        <f>electric_vehicles_dataset[[#This Row],[Battery_Capacity_kWh]]/electric_vehicles_dataset[[#This Row],[Range_km]]</f>
        <v>7.4834437086092706E-2</v>
      </c>
      <c r="I1379">
        <v>453</v>
      </c>
      <c r="J1379" t="s">
        <v>356</v>
      </c>
      <c r="K1379">
        <v>9</v>
      </c>
      <c r="L1379" s="1">
        <v>100763.28</v>
      </c>
      <c r="M1379" s="1" t="str" cm="1">
        <f t="array" ref="M137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79" t="s">
        <v>32</v>
      </c>
      <c r="O1379" t="s">
        <v>354</v>
      </c>
      <c r="P1379" s="2" t="s">
        <v>394</v>
      </c>
      <c r="Q1379">
        <v>5</v>
      </c>
      <c r="R1379" t="s">
        <v>392</v>
      </c>
      <c r="S1379" s="1">
        <f>electric_vehicles_dataset[[#This Row],[Units_Sold_2024]]*electric_vehicles_dataset[[#This Row],[Price_USD]]</f>
        <v>513691201.44</v>
      </c>
      <c r="T1379">
        <v>4</v>
      </c>
      <c r="U1379">
        <v>5098</v>
      </c>
      <c r="V1379">
        <v>4</v>
      </c>
    </row>
    <row r="1380" spans="1:22" x14ac:dyDescent="0.35">
      <c r="A1380">
        <v>1379</v>
      </c>
      <c r="B1380" t="s">
        <v>94</v>
      </c>
      <c r="C1380" t="s">
        <v>360</v>
      </c>
      <c r="D1380">
        <v>2024</v>
      </c>
      <c r="E1380" t="s">
        <v>183</v>
      </c>
      <c r="F1380">
        <v>148.80000000000001</v>
      </c>
      <c r="G1380" t="s">
        <v>386</v>
      </c>
      <c r="H1380">
        <f>electric_vehicles_dataset[[#This Row],[Battery_Capacity_kWh]]/electric_vehicles_dataset[[#This Row],[Range_km]]</f>
        <v>0.31727078891257998</v>
      </c>
      <c r="I1380">
        <v>469</v>
      </c>
      <c r="J1380" t="s">
        <v>105</v>
      </c>
      <c r="K1380">
        <v>2</v>
      </c>
      <c r="L1380" s="1">
        <v>107761.7</v>
      </c>
      <c r="M1380" s="1" t="str" cm="1">
        <f t="array" ref="M138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80" t="s">
        <v>77</v>
      </c>
      <c r="O1380" t="s">
        <v>40</v>
      </c>
      <c r="P1380" s="2" t="s">
        <v>395</v>
      </c>
      <c r="Q1380">
        <v>2</v>
      </c>
      <c r="R1380" t="s">
        <v>391</v>
      </c>
      <c r="S1380" s="1">
        <f>electric_vehicles_dataset[[#This Row],[Units_Sold_2024]]*electric_vehicles_dataset[[#This Row],[Price_USD]]</f>
        <v>425335429.89999998</v>
      </c>
      <c r="T1380">
        <v>5</v>
      </c>
      <c r="U1380">
        <v>3947</v>
      </c>
      <c r="V1380">
        <v>3</v>
      </c>
    </row>
    <row r="1381" spans="1:22" x14ac:dyDescent="0.35">
      <c r="A1381">
        <v>1380</v>
      </c>
      <c r="B1381" t="s">
        <v>192</v>
      </c>
      <c r="C1381" t="s">
        <v>198</v>
      </c>
      <c r="D1381">
        <v>2020</v>
      </c>
      <c r="E1381" t="s">
        <v>31</v>
      </c>
      <c r="F1381">
        <v>63.9</v>
      </c>
      <c r="G1381" t="s">
        <v>351</v>
      </c>
      <c r="H1381">
        <f>electric_vehicles_dataset[[#This Row],[Battery_Capacity_kWh]]/electric_vehicles_dataset[[#This Row],[Range_km]]</f>
        <v>0.34728260869565214</v>
      </c>
      <c r="I1381">
        <v>184</v>
      </c>
      <c r="J1381" t="s">
        <v>48</v>
      </c>
      <c r="K1381">
        <v>1</v>
      </c>
      <c r="L1381" s="1">
        <v>140714.88</v>
      </c>
      <c r="M1381" s="1" t="str" cm="1">
        <f t="array" ref="M138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81" t="s">
        <v>114</v>
      </c>
      <c r="O1381" t="s">
        <v>121</v>
      </c>
      <c r="P1381" s="2" t="s">
        <v>398</v>
      </c>
      <c r="Q1381">
        <v>3</v>
      </c>
      <c r="R1381" t="s">
        <v>397</v>
      </c>
      <c r="S1381" s="1">
        <f>electric_vehicles_dataset[[#This Row],[Units_Sold_2024]]*electric_vehicles_dataset[[#This Row],[Price_USD]]</f>
        <v>634342679.03999996</v>
      </c>
      <c r="T1381">
        <v>4</v>
      </c>
      <c r="U1381">
        <v>4508</v>
      </c>
      <c r="V1381">
        <v>4</v>
      </c>
    </row>
    <row r="1382" spans="1:22" x14ac:dyDescent="0.35">
      <c r="A1382">
        <v>1381</v>
      </c>
      <c r="B1382" t="s">
        <v>157</v>
      </c>
      <c r="C1382" t="s">
        <v>296</v>
      </c>
      <c r="D1382">
        <v>2018</v>
      </c>
      <c r="E1382" t="s">
        <v>130</v>
      </c>
      <c r="F1382">
        <v>34.6</v>
      </c>
      <c r="G1382" t="s">
        <v>357</v>
      </c>
      <c r="H1382">
        <f>electric_vehicles_dataset[[#This Row],[Battery_Capacity_kWh]]/electric_vehicles_dataset[[#This Row],[Range_km]]</f>
        <v>0.11089743589743591</v>
      </c>
      <c r="I1382">
        <v>312</v>
      </c>
      <c r="J1382" t="s">
        <v>48</v>
      </c>
      <c r="K1382">
        <v>5</v>
      </c>
      <c r="L1382" s="1">
        <v>96302.98</v>
      </c>
      <c r="M1382" s="1" t="str" cm="1">
        <f t="array" ref="M138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82" t="s">
        <v>246</v>
      </c>
      <c r="O1382" t="s">
        <v>147</v>
      </c>
      <c r="P1382" s="2" t="s">
        <v>396</v>
      </c>
      <c r="Q1382">
        <v>3</v>
      </c>
      <c r="R1382" t="s">
        <v>397</v>
      </c>
      <c r="S1382" s="1">
        <f>electric_vehicles_dataset[[#This Row],[Units_Sold_2024]]*electric_vehicles_dataset[[#This Row],[Price_USD]]</f>
        <v>1879834169.5999999</v>
      </c>
      <c r="T1382">
        <v>3</v>
      </c>
      <c r="U1382">
        <v>19520</v>
      </c>
      <c r="V1382">
        <v>5</v>
      </c>
    </row>
    <row r="1383" spans="1:22" x14ac:dyDescent="0.35">
      <c r="A1383">
        <v>1382</v>
      </c>
      <c r="B1383" t="s">
        <v>16</v>
      </c>
      <c r="C1383" t="s">
        <v>347</v>
      </c>
      <c r="D1383">
        <v>2019</v>
      </c>
      <c r="E1383" t="s">
        <v>130</v>
      </c>
      <c r="F1383">
        <v>83.8</v>
      </c>
      <c r="G1383" t="s">
        <v>350</v>
      </c>
      <c r="H1383">
        <f>electric_vehicles_dataset[[#This Row],[Battery_Capacity_kWh]]/electric_vehicles_dataset[[#This Row],[Range_km]]</f>
        <v>0.52049689440993785</v>
      </c>
      <c r="I1383">
        <v>161</v>
      </c>
      <c r="J1383" t="s">
        <v>359</v>
      </c>
      <c r="K1383">
        <v>6</v>
      </c>
      <c r="L1383" s="1">
        <v>130500.15</v>
      </c>
      <c r="M1383" s="1" t="str" cm="1">
        <f t="array" ref="M138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83" t="s">
        <v>210</v>
      </c>
      <c r="O1383" t="s">
        <v>236</v>
      </c>
      <c r="P1383" s="2" t="s">
        <v>394</v>
      </c>
      <c r="Q1383">
        <v>4</v>
      </c>
      <c r="R1383" t="s">
        <v>392</v>
      </c>
      <c r="S1383" s="1">
        <f>electric_vehicles_dataset[[#This Row],[Units_Sold_2024]]*electric_vehicles_dataset[[#This Row],[Price_USD]]</f>
        <v>778433394.75</v>
      </c>
      <c r="T1383">
        <v>3</v>
      </c>
      <c r="U1383">
        <v>5965</v>
      </c>
      <c r="V1383">
        <v>4</v>
      </c>
    </row>
    <row r="1384" spans="1:22" x14ac:dyDescent="0.35">
      <c r="A1384">
        <v>1383</v>
      </c>
      <c r="B1384" t="s">
        <v>21</v>
      </c>
      <c r="C1384" t="s">
        <v>349</v>
      </c>
      <c r="D1384">
        <v>2025</v>
      </c>
      <c r="E1384" t="s">
        <v>17</v>
      </c>
      <c r="F1384">
        <v>113.1</v>
      </c>
      <c r="G1384" t="s">
        <v>361</v>
      </c>
      <c r="H1384">
        <f>electric_vehicles_dataset[[#This Row],[Battery_Capacity_kWh]]/electric_vehicles_dataset[[#This Row],[Range_km]]</f>
        <v>0.3940766550522648</v>
      </c>
      <c r="I1384">
        <v>287</v>
      </c>
      <c r="J1384" t="s">
        <v>149</v>
      </c>
      <c r="K1384">
        <v>6</v>
      </c>
      <c r="L1384" s="1">
        <v>146433.67000000001</v>
      </c>
      <c r="M1384" s="1" t="str" cm="1">
        <f t="array" ref="M138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84" t="s">
        <v>210</v>
      </c>
      <c r="O1384" t="s">
        <v>115</v>
      </c>
      <c r="P1384" s="2" t="s">
        <v>396</v>
      </c>
      <c r="Q1384">
        <v>2</v>
      </c>
      <c r="R1384" t="s">
        <v>391</v>
      </c>
      <c r="S1384" s="1">
        <f>electric_vehicles_dataset[[#This Row],[Units_Sold_2024]]*electric_vehicles_dataset[[#This Row],[Price_USD]]</f>
        <v>1023278485.96</v>
      </c>
      <c r="T1384">
        <v>3</v>
      </c>
      <c r="U1384">
        <v>6988</v>
      </c>
      <c r="V1384">
        <v>4</v>
      </c>
    </row>
    <row r="1385" spans="1:22" x14ac:dyDescent="0.35">
      <c r="A1385">
        <v>1384</v>
      </c>
      <c r="B1385" t="s">
        <v>120</v>
      </c>
      <c r="C1385" t="s">
        <v>288</v>
      </c>
      <c r="D1385">
        <v>2016</v>
      </c>
      <c r="E1385" t="s">
        <v>42</v>
      </c>
      <c r="F1385">
        <v>96.1</v>
      </c>
      <c r="G1385" t="s">
        <v>350</v>
      </c>
      <c r="H1385">
        <f>electric_vehicles_dataset[[#This Row],[Battery_Capacity_kWh]]/electric_vehicles_dataset[[#This Row],[Range_km]]</f>
        <v>0.19067460317460316</v>
      </c>
      <c r="I1385">
        <v>504</v>
      </c>
      <c r="J1385" t="s">
        <v>34</v>
      </c>
      <c r="K1385">
        <v>7</v>
      </c>
      <c r="L1385" s="1">
        <v>121610.2</v>
      </c>
      <c r="M1385" s="1" t="str" cm="1">
        <f t="array" ref="M138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85" t="s">
        <v>114</v>
      </c>
      <c r="O1385" t="s">
        <v>202</v>
      </c>
      <c r="P1385" s="2" t="s">
        <v>393</v>
      </c>
      <c r="Q1385">
        <v>2</v>
      </c>
      <c r="R1385" t="s">
        <v>391</v>
      </c>
      <c r="S1385" s="1">
        <f>electric_vehicles_dataset[[#This Row],[Units_Sold_2024]]*electric_vehicles_dataset[[#This Row],[Price_USD]]</f>
        <v>1763226289.8</v>
      </c>
      <c r="T1385">
        <v>4</v>
      </c>
      <c r="U1385">
        <v>14499</v>
      </c>
      <c r="V1385">
        <v>5</v>
      </c>
    </row>
    <row r="1386" spans="1:22" x14ac:dyDescent="0.35">
      <c r="A1386">
        <v>1385</v>
      </c>
      <c r="B1386" t="s">
        <v>94</v>
      </c>
      <c r="C1386" t="s">
        <v>294</v>
      </c>
      <c r="D1386">
        <v>2016</v>
      </c>
      <c r="E1386" t="s">
        <v>42</v>
      </c>
      <c r="F1386">
        <v>100.6</v>
      </c>
      <c r="G1386" t="s">
        <v>361</v>
      </c>
      <c r="H1386">
        <f>electric_vehicles_dataset[[#This Row],[Battery_Capacity_kWh]]/electric_vehicles_dataset[[#This Row],[Range_km]]</f>
        <v>0.62874999999999992</v>
      </c>
      <c r="I1386">
        <v>160</v>
      </c>
      <c r="J1386" t="s">
        <v>353</v>
      </c>
      <c r="K1386">
        <v>7</v>
      </c>
      <c r="L1386" s="1">
        <v>147905.13</v>
      </c>
      <c r="M1386" s="1" t="str" cm="1">
        <f t="array" ref="M138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86" t="s">
        <v>165</v>
      </c>
      <c r="O1386" t="s">
        <v>44</v>
      </c>
      <c r="P1386" s="2" t="s">
        <v>389</v>
      </c>
      <c r="Q1386">
        <v>2</v>
      </c>
      <c r="R1386" t="s">
        <v>391</v>
      </c>
      <c r="S1386" s="1">
        <f>electric_vehicles_dataset[[#This Row],[Units_Sold_2024]]*electric_vehicles_dataset[[#This Row],[Price_USD]]</f>
        <v>1445181025.23</v>
      </c>
      <c r="T1386">
        <v>4</v>
      </c>
      <c r="U1386">
        <v>9771</v>
      </c>
      <c r="V1386">
        <v>3</v>
      </c>
    </row>
    <row r="1387" spans="1:22" x14ac:dyDescent="0.35">
      <c r="A1387">
        <v>1386</v>
      </c>
      <c r="B1387" t="s">
        <v>24</v>
      </c>
      <c r="C1387" t="s">
        <v>25</v>
      </c>
      <c r="D1387">
        <v>2015</v>
      </c>
      <c r="E1387" t="s">
        <v>130</v>
      </c>
      <c r="F1387">
        <v>140.6</v>
      </c>
      <c r="G1387" t="s">
        <v>386</v>
      </c>
      <c r="H1387">
        <f>electric_vehicles_dataset[[#This Row],[Battery_Capacity_kWh]]/electric_vehicles_dataset[[#This Row],[Range_km]]</f>
        <v>0.66635071090047393</v>
      </c>
      <c r="I1387">
        <v>211</v>
      </c>
      <c r="J1387" t="s">
        <v>359</v>
      </c>
      <c r="K1387">
        <v>5</v>
      </c>
      <c r="L1387" s="1">
        <v>147507.01999999999</v>
      </c>
      <c r="M1387" s="1" t="str" cm="1">
        <f t="array" ref="M138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87" t="s">
        <v>257</v>
      </c>
      <c r="O1387" t="s">
        <v>121</v>
      </c>
      <c r="P1387" s="2" t="s">
        <v>398</v>
      </c>
      <c r="Q1387">
        <v>1</v>
      </c>
      <c r="R1387" t="s">
        <v>391</v>
      </c>
      <c r="S1387" s="1">
        <f>electric_vehicles_dataset[[#This Row],[Units_Sold_2024]]*electric_vehicles_dataset[[#This Row],[Price_USD]]</f>
        <v>543710875.71999991</v>
      </c>
      <c r="T1387">
        <v>5</v>
      </c>
      <c r="U1387">
        <v>3686</v>
      </c>
      <c r="V1387">
        <v>5</v>
      </c>
    </row>
    <row r="1388" spans="1:22" x14ac:dyDescent="0.35">
      <c r="A1388">
        <v>1387</v>
      </c>
      <c r="B1388" t="s">
        <v>82</v>
      </c>
      <c r="C1388" t="s">
        <v>83</v>
      </c>
      <c r="D1388">
        <v>2024</v>
      </c>
      <c r="E1388" t="s">
        <v>101</v>
      </c>
      <c r="F1388">
        <v>57.5</v>
      </c>
      <c r="G1388" t="s">
        <v>348</v>
      </c>
      <c r="H1388">
        <f>electric_vehicles_dataset[[#This Row],[Battery_Capacity_kWh]]/electric_vehicles_dataset[[#This Row],[Range_km]]</f>
        <v>0.10707635009310987</v>
      </c>
      <c r="I1388">
        <v>537</v>
      </c>
      <c r="J1388" t="s">
        <v>54</v>
      </c>
      <c r="K1388">
        <v>6</v>
      </c>
      <c r="L1388" s="1">
        <v>56446.879999999997</v>
      </c>
      <c r="M1388" s="1" t="str" cm="1">
        <f t="array" ref="M13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88" t="s">
        <v>22</v>
      </c>
      <c r="O1388" t="s">
        <v>111</v>
      </c>
      <c r="P1388" s="2" t="s">
        <v>389</v>
      </c>
      <c r="Q1388">
        <v>5</v>
      </c>
      <c r="R1388" t="s">
        <v>392</v>
      </c>
      <c r="S1388" s="1">
        <f>electric_vehicles_dataset[[#This Row],[Units_Sold_2024]]*electric_vehicles_dataset[[#This Row],[Price_USD]]</f>
        <v>28562121.279999997</v>
      </c>
      <c r="T1388">
        <v>3</v>
      </c>
      <c r="U1388">
        <v>506</v>
      </c>
      <c r="V1388">
        <v>4</v>
      </c>
    </row>
    <row r="1389" spans="1:22" x14ac:dyDescent="0.35">
      <c r="A1389">
        <v>1388</v>
      </c>
      <c r="B1389" t="s">
        <v>128</v>
      </c>
      <c r="C1389" t="s">
        <v>284</v>
      </c>
      <c r="D1389">
        <v>2017</v>
      </c>
      <c r="E1389" t="s">
        <v>58</v>
      </c>
      <c r="F1389">
        <v>67.900000000000006</v>
      </c>
      <c r="G1389" t="s">
        <v>351</v>
      </c>
      <c r="H1389">
        <f>electric_vehicles_dataset[[#This Row],[Battery_Capacity_kWh]]/electric_vehicles_dataset[[#This Row],[Range_km]]</f>
        <v>0.499264705882353</v>
      </c>
      <c r="I1389">
        <v>136</v>
      </c>
      <c r="J1389" t="s">
        <v>34</v>
      </c>
      <c r="K1389">
        <v>6</v>
      </c>
      <c r="L1389" s="1">
        <v>73767.41</v>
      </c>
      <c r="M1389" s="1" t="str" cm="1">
        <f t="array" ref="M13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89" t="s">
        <v>271</v>
      </c>
      <c r="O1389" t="s">
        <v>354</v>
      </c>
      <c r="P1389" s="2" t="s">
        <v>394</v>
      </c>
      <c r="Q1389">
        <v>5</v>
      </c>
      <c r="R1389" t="s">
        <v>392</v>
      </c>
      <c r="S1389" s="1">
        <f>electric_vehicles_dataset[[#This Row],[Units_Sold_2024]]*electric_vehicles_dataset[[#This Row],[Price_USD]]</f>
        <v>558566828.51999998</v>
      </c>
      <c r="T1389">
        <v>3</v>
      </c>
      <c r="U1389">
        <v>7572</v>
      </c>
      <c r="V1389">
        <v>5</v>
      </c>
    </row>
    <row r="1390" spans="1:22" x14ac:dyDescent="0.35">
      <c r="A1390">
        <v>1389</v>
      </c>
      <c r="B1390" t="s">
        <v>155</v>
      </c>
      <c r="C1390" t="s">
        <v>190</v>
      </c>
      <c r="D1390">
        <v>2018</v>
      </c>
      <c r="E1390" t="s">
        <v>133</v>
      </c>
      <c r="F1390">
        <v>91.5</v>
      </c>
      <c r="G1390" t="s">
        <v>350</v>
      </c>
      <c r="H1390">
        <f>electric_vehicles_dataset[[#This Row],[Battery_Capacity_kWh]]/electric_vehicles_dataset[[#This Row],[Range_km]]</f>
        <v>0.62244897959183676</v>
      </c>
      <c r="I1390">
        <v>147</v>
      </c>
      <c r="J1390" t="s">
        <v>76</v>
      </c>
      <c r="K1390">
        <v>4</v>
      </c>
      <c r="L1390" s="1">
        <v>128422.25</v>
      </c>
      <c r="M1390" s="1" t="str" cm="1">
        <f t="array" ref="M139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90" t="s">
        <v>62</v>
      </c>
      <c r="O1390" t="s">
        <v>134</v>
      </c>
      <c r="P1390" s="2" t="s">
        <v>389</v>
      </c>
      <c r="Q1390">
        <v>3</v>
      </c>
      <c r="R1390" t="s">
        <v>397</v>
      </c>
      <c r="S1390" s="1">
        <f>electric_vehicles_dataset[[#This Row],[Units_Sold_2024]]*electric_vehicles_dataset[[#This Row],[Price_USD]]</f>
        <v>2127442993.5</v>
      </c>
      <c r="T1390">
        <v>4</v>
      </c>
      <c r="U1390">
        <v>16566</v>
      </c>
      <c r="V1390">
        <v>5</v>
      </c>
    </row>
    <row r="1391" spans="1:22" x14ac:dyDescent="0.35">
      <c r="A1391">
        <v>1390</v>
      </c>
      <c r="B1391" t="s">
        <v>170</v>
      </c>
      <c r="C1391" t="s">
        <v>275</v>
      </c>
      <c r="D1391">
        <v>2016</v>
      </c>
      <c r="E1391" t="s">
        <v>104</v>
      </c>
      <c r="F1391">
        <v>81.400000000000006</v>
      </c>
      <c r="G1391" t="s">
        <v>350</v>
      </c>
      <c r="H1391">
        <f>electric_vehicles_dataset[[#This Row],[Battery_Capacity_kWh]]/electric_vehicles_dataset[[#This Row],[Range_km]]</f>
        <v>0.21308900523560212</v>
      </c>
      <c r="I1391">
        <v>382</v>
      </c>
      <c r="J1391" t="s">
        <v>38</v>
      </c>
      <c r="K1391">
        <v>4</v>
      </c>
      <c r="L1391" s="1">
        <v>121790.2</v>
      </c>
      <c r="M1391" s="1" t="str" cm="1">
        <f t="array" ref="M139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91" t="s">
        <v>43</v>
      </c>
      <c r="O1391" t="s">
        <v>150</v>
      </c>
      <c r="P1391" s="2" t="s">
        <v>389</v>
      </c>
      <c r="Q1391">
        <v>0</v>
      </c>
      <c r="R1391" t="s">
        <v>390</v>
      </c>
      <c r="S1391" s="1">
        <f>electric_vehicles_dataset[[#This Row],[Units_Sold_2024]]*electric_vehicles_dataset[[#This Row],[Price_USD]]</f>
        <v>393016975.39999998</v>
      </c>
      <c r="T1391">
        <v>4</v>
      </c>
      <c r="U1391">
        <v>3227</v>
      </c>
      <c r="V1391">
        <v>3</v>
      </c>
    </row>
    <row r="1392" spans="1:22" x14ac:dyDescent="0.35">
      <c r="A1392">
        <v>1391</v>
      </c>
      <c r="B1392" t="s">
        <v>128</v>
      </c>
      <c r="C1392" t="s">
        <v>129</v>
      </c>
      <c r="D1392">
        <v>2024</v>
      </c>
      <c r="E1392" t="s">
        <v>130</v>
      </c>
      <c r="F1392">
        <v>85.9</v>
      </c>
      <c r="G1392" t="s">
        <v>350</v>
      </c>
      <c r="H1392">
        <f>electric_vehicles_dataset[[#This Row],[Battery_Capacity_kWh]]/electric_vehicles_dataset[[#This Row],[Range_km]]</f>
        <v>0.31350364963503652</v>
      </c>
      <c r="I1392">
        <v>274</v>
      </c>
      <c r="J1392" t="s">
        <v>149</v>
      </c>
      <c r="K1392">
        <v>4</v>
      </c>
      <c r="L1392" s="1">
        <v>75165.67</v>
      </c>
      <c r="M1392" s="1" t="str" cm="1">
        <f t="array" ref="M139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92" t="s">
        <v>238</v>
      </c>
      <c r="O1392" t="s">
        <v>95</v>
      </c>
      <c r="P1392" s="2" t="s">
        <v>394</v>
      </c>
      <c r="Q1392">
        <v>4</v>
      </c>
      <c r="R1392" t="s">
        <v>392</v>
      </c>
      <c r="S1392" s="1">
        <f>electric_vehicles_dataset[[#This Row],[Units_Sold_2024]]*electric_vehicles_dataset[[#This Row],[Price_USD]]</f>
        <v>46452384.060000002</v>
      </c>
      <c r="T1392">
        <v>4</v>
      </c>
      <c r="U1392">
        <v>618</v>
      </c>
      <c r="V1392">
        <v>3</v>
      </c>
    </row>
    <row r="1393" spans="1:22" x14ac:dyDescent="0.35">
      <c r="A1393">
        <v>1392</v>
      </c>
      <c r="B1393" t="s">
        <v>176</v>
      </c>
      <c r="C1393" t="s">
        <v>365</v>
      </c>
      <c r="D1393">
        <v>2021</v>
      </c>
      <c r="E1393" t="s">
        <v>183</v>
      </c>
      <c r="F1393">
        <v>116</v>
      </c>
      <c r="G1393" t="s">
        <v>361</v>
      </c>
      <c r="H1393">
        <f>electric_vehicles_dataset[[#This Row],[Battery_Capacity_kWh]]/electric_vehicles_dataset[[#This Row],[Range_km]]</f>
        <v>0.40138408304498269</v>
      </c>
      <c r="I1393">
        <v>289</v>
      </c>
      <c r="J1393" t="s">
        <v>105</v>
      </c>
      <c r="K1393">
        <v>5</v>
      </c>
      <c r="L1393" s="1">
        <v>85509.119999999995</v>
      </c>
      <c r="M1393" s="1" t="str" cm="1">
        <f t="array" ref="M139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93" t="s">
        <v>240</v>
      </c>
      <c r="O1393" t="s">
        <v>95</v>
      </c>
      <c r="P1393" s="2" t="s">
        <v>394</v>
      </c>
      <c r="Q1393">
        <v>3</v>
      </c>
      <c r="R1393" t="s">
        <v>397</v>
      </c>
      <c r="S1393" s="1">
        <f>electric_vehicles_dataset[[#This Row],[Units_Sold_2024]]*electric_vehicles_dataset[[#This Row],[Price_USD]]</f>
        <v>1401066931.1999998</v>
      </c>
      <c r="T1393">
        <v>3</v>
      </c>
      <c r="U1393">
        <v>16385</v>
      </c>
      <c r="V1393">
        <v>4</v>
      </c>
    </row>
    <row r="1394" spans="1:22" x14ac:dyDescent="0.35">
      <c r="A1394">
        <v>1393</v>
      </c>
      <c r="B1394" t="s">
        <v>64</v>
      </c>
      <c r="C1394" t="s">
        <v>65</v>
      </c>
      <c r="D1394">
        <v>2021</v>
      </c>
      <c r="E1394" t="s">
        <v>183</v>
      </c>
      <c r="F1394">
        <v>54.3</v>
      </c>
      <c r="G1394" t="s">
        <v>348</v>
      </c>
      <c r="H1394">
        <f>electric_vehicles_dataset[[#This Row],[Battery_Capacity_kWh]]/electric_vehicles_dataset[[#This Row],[Range_km]]</f>
        <v>0.12540415704387989</v>
      </c>
      <c r="I1394">
        <v>433</v>
      </c>
      <c r="J1394" t="s">
        <v>356</v>
      </c>
      <c r="K1394">
        <v>7</v>
      </c>
      <c r="L1394" s="1">
        <v>106946.08</v>
      </c>
      <c r="M1394" s="1" t="str" cm="1">
        <f t="array" ref="M139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94" t="s">
        <v>102</v>
      </c>
      <c r="O1394" t="s">
        <v>226</v>
      </c>
      <c r="P1394" s="2" t="s">
        <v>395</v>
      </c>
      <c r="Q1394">
        <v>0</v>
      </c>
      <c r="R1394" t="s">
        <v>390</v>
      </c>
      <c r="S1394" s="1">
        <f>electric_vehicles_dataset[[#This Row],[Units_Sold_2024]]*electric_vehicles_dataset[[#This Row],[Price_USD]]</f>
        <v>799849732.32000005</v>
      </c>
      <c r="T1394">
        <v>4</v>
      </c>
      <c r="U1394">
        <v>7479</v>
      </c>
      <c r="V1394">
        <v>5</v>
      </c>
    </row>
    <row r="1395" spans="1:22" x14ac:dyDescent="0.35">
      <c r="A1395">
        <v>1394</v>
      </c>
      <c r="B1395" t="s">
        <v>144</v>
      </c>
      <c r="C1395" t="s">
        <v>273</v>
      </c>
      <c r="D1395">
        <v>2022</v>
      </c>
      <c r="E1395" t="s">
        <v>133</v>
      </c>
      <c r="F1395">
        <v>126.8</v>
      </c>
      <c r="G1395" t="s">
        <v>352</v>
      </c>
      <c r="H1395">
        <f>electric_vehicles_dataset[[#This Row],[Battery_Capacity_kWh]]/electric_vehicles_dataset[[#This Row],[Range_km]]</f>
        <v>0.23924528301886791</v>
      </c>
      <c r="I1395">
        <v>530</v>
      </c>
      <c r="J1395" t="s">
        <v>54</v>
      </c>
      <c r="K1395">
        <v>6</v>
      </c>
      <c r="L1395" s="1">
        <v>68918.11</v>
      </c>
      <c r="M1395" s="1" t="str" cm="1">
        <f t="array" ref="M139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95" t="s">
        <v>32</v>
      </c>
      <c r="O1395" t="s">
        <v>86</v>
      </c>
      <c r="P1395" s="2" t="s">
        <v>389</v>
      </c>
      <c r="Q1395">
        <v>1</v>
      </c>
      <c r="R1395" t="s">
        <v>391</v>
      </c>
      <c r="S1395" s="1">
        <f>electric_vehicles_dataset[[#This Row],[Units_Sold_2024]]*electric_vehicles_dataset[[#This Row],[Price_USD]]</f>
        <v>1192558975.4400001</v>
      </c>
      <c r="T1395">
        <v>4</v>
      </c>
      <c r="U1395">
        <v>17304</v>
      </c>
      <c r="V1395">
        <v>4</v>
      </c>
    </row>
    <row r="1396" spans="1:22" x14ac:dyDescent="0.35">
      <c r="A1396">
        <v>1395</v>
      </c>
      <c r="B1396" t="s">
        <v>153</v>
      </c>
      <c r="C1396" t="s">
        <v>310</v>
      </c>
      <c r="D1396">
        <v>2017</v>
      </c>
      <c r="E1396" t="s">
        <v>47</v>
      </c>
      <c r="F1396">
        <v>87.1</v>
      </c>
      <c r="G1396" t="s">
        <v>350</v>
      </c>
      <c r="H1396">
        <f>electric_vehicles_dataset[[#This Row],[Battery_Capacity_kWh]]/electric_vehicles_dataset[[#This Row],[Range_km]]</f>
        <v>0.34426877470355727</v>
      </c>
      <c r="I1396">
        <v>253</v>
      </c>
      <c r="J1396" t="s">
        <v>27</v>
      </c>
      <c r="K1396">
        <v>6</v>
      </c>
      <c r="L1396" s="1">
        <v>81433.289999999994</v>
      </c>
      <c r="M1396" s="1" t="str" cm="1">
        <f t="array" ref="M139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96" t="s">
        <v>131</v>
      </c>
      <c r="O1396" t="s">
        <v>115</v>
      </c>
      <c r="P1396" s="2" t="s">
        <v>396</v>
      </c>
      <c r="Q1396">
        <v>3</v>
      </c>
      <c r="R1396" t="s">
        <v>397</v>
      </c>
      <c r="S1396" s="1">
        <f>electric_vehicles_dataset[[#This Row],[Units_Sold_2024]]*electric_vehicles_dataset[[#This Row],[Price_USD]]</f>
        <v>551059073.42999995</v>
      </c>
      <c r="T1396">
        <v>3</v>
      </c>
      <c r="U1396">
        <v>6767</v>
      </c>
      <c r="V1396">
        <v>4</v>
      </c>
    </row>
    <row r="1397" spans="1:22" x14ac:dyDescent="0.35">
      <c r="A1397">
        <v>1396</v>
      </c>
      <c r="B1397" t="s">
        <v>192</v>
      </c>
      <c r="C1397" t="s">
        <v>366</v>
      </c>
      <c r="D1397">
        <v>2023</v>
      </c>
      <c r="E1397" t="s">
        <v>53</v>
      </c>
      <c r="F1397">
        <v>72.099999999999994</v>
      </c>
      <c r="G1397" t="s">
        <v>351</v>
      </c>
      <c r="H1397">
        <f>electric_vehicles_dataset[[#This Row],[Battery_Capacity_kWh]]/electric_vehicles_dataset[[#This Row],[Range_km]]</f>
        <v>0.2303514376996805</v>
      </c>
      <c r="I1397">
        <v>313</v>
      </c>
      <c r="J1397" t="s">
        <v>18</v>
      </c>
      <c r="K1397">
        <v>5</v>
      </c>
      <c r="L1397" s="1">
        <v>45045.64</v>
      </c>
      <c r="M1397" s="1" t="str" cm="1">
        <f t="array" ref="M13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397" t="s">
        <v>212</v>
      </c>
      <c r="O1397" t="s">
        <v>199</v>
      </c>
      <c r="P1397" s="2" t="s">
        <v>394</v>
      </c>
      <c r="Q1397">
        <v>3</v>
      </c>
      <c r="R1397" t="s">
        <v>397</v>
      </c>
      <c r="S1397" s="1">
        <f>electric_vehicles_dataset[[#This Row],[Units_Sold_2024]]*electric_vehicles_dataset[[#This Row],[Price_USD]]</f>
        <v>44550137.960000001</v>
      </c>
      <c r="T1397">
        <v>5</v>
      </c>
      <c r="U1397">
        <v>989</v>
      </c>
      <c r="V1397">
        <v>4</v>
      </c>
    </row>
    <row r="1398" spans="1:22" x14ac:dyDescent="0.35">
      <c r="A1398">
        <v>1397</v>
      </c>
      <c r="B1398" t="s">
        <v>207</v>
      </c>
      <c r="C1398" t="s">
        <v>208</v>
      </c>
      <c r="D1398">
        <v>2021</v>
      </c>
      <c r="E1398" t="s">
        <v>90</v>
      </c>
      <c r="F1398">
        <v>108.3</v>
      </c>
      <c r="G1398" t="s">
        <v>361</v>
      </c>
      <c r="H1398">
        <f>electric_vehicles_dataset[[#This Row],[Battery_Capacity_kWh]]/electric_vehicles_dataset[[#This Row],[Range_km]]</f>
        <v>0.56999999999999995</v>
      </c>
      <c r="I1398">
        <v>190</v>
      </c>
      <c r="J1398" t="s">
        <v>27</v>
      </c>
      <c r="K1398">
        <v>9</v>
      </c>
      <c r="L1398" s="1">
        <v>123620.65</v>
      </c>
      <c r="M1398" s="1" t="str" cm="1">
        <f t="array" ref="M139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398" t="s">
        <v>168</v>
      </c>
      <c r="O1398" t="s">
        <v>78</v>
      </c>
      <c r="P1398" s="2" t="s">
        <v>389</v>
      </c>
      <c r="Q1398">
        <v>2</v>
      </c>
      <c r="R1398" t="s">
        <v>391</v>
      </c>
      <c r="S1398" s="1">
        <f>electric_vehicles_dataset[[#This Row],[Units_Sold_2024]]*electric_vehicles_dataset[[#This Row],[Price_USD]]</f>
        <v>586456363.60000002</v>
      </c>
      <c r="T1398">
        <v>5</v>
      </c>
      <c r="U1398">
        <v>4744</v>
      </c>
      <c r="V1398">
        <v>4</v>
      </c>
    </row>
    <row r="1399" spans="1:22" x14ac:dyDescent="0.35">
      <c r="A1399">
        <v>1398</v>
      </c>
      <c r="B1399" t="s">
        <v>112</v>
      </c>
      <c r="C1399" t="s">
        <v>237</v>
      </c>
      <c r="D1399">
        <v>2021</v>
      </c>
      <c r="E1399" t="s">
        <v>17</v>
      </c>
      <c r="F1399">
        <v>30.9</v>
      </c>
      <c r="G1399" t="s">
        <v>357</v>
      </c>
      <c r="H1399">
        <f>electric_vehicles_dataset[[#This Row],[Battery_Capacity_kWh]]/electric_vehicles_dataset[[#This Row],[Range_km]]</f>
        <v>5.4884547069271754E-2</v>
      </c>
      <c r="I1399">
        <v>563</v>
      </c>
      <c r="J1399" t="s">
        <v>38</v>
      </c>
      <c r="K1399">
        <v>7</v>
      </c>
      <c r="L1399" s="1">
        <v>83924.64</v>
      </c>
      <c r="M1399" s="1" t="str" cm="1">
        <f t="array" ref="M139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399" t="s">
        <v>189</v>
      </c>
      <c r="O1399" t="s">
        <v>115</v>
      </c>
      <c r="P1399" s="2" t="s">
        <v>396</v>
      </c>
      <c r="Q1399">
        <v>5</v>
      </c>
      <c r="R1399" t="s">
        <v>392</v>
      </c>
      <c r="S1399" s="1">
        <f>electric_vehicles_dataset[[#This Row],[Units_Sold_2024]]*electric_vehicles_dataset[[#This Row],[Price_USD]]</f>
        <v>158869343.52000001</v>
      </c>
      <c r="T1399">
        <v>4</v>
      </c>
      <c r="U1399">
        <v>1893</v>
      </c>
      <c r="V1399">
        <v>5</v>
      </c>
    </row>
    <row r="1400" spans="1:22" x14ac:dyDescent="0.35">
      <c r="A1400">
        <v>1399</v>
      </c>
      <c r="B1400" t="s">
        <v>173</v>
      </c>
      <c r="C1400" t="s">
        <v>306</v>
      </c>
      <c r="D1400">
        <v>2024</v>
      </c>
      <c r="E1400" t="s">
        <v>53</v>
      </c>
      <c r="F1400">
        <v>80.2</v>
      </c>
      <c r="G1400" t="s">
        <v>350</v>
      </c>
      <c r="H1400">
        <f>electric_vehicles_dataset[[#This Row],[Battery_Capacity_kWh]]/electric_vehicles_dataset[[#This Row],[Range_km]]</f>
        <v>0.1732181425485961</v>
      </c>
      <c r="I1400">
        <v>463</v>
      </c>
      <c r="J1400" t="s">
        <v>38</v>
      </c>
      <c r="K1400">
        <v>5</v>
      </c>
      <c r="L1400" s="1">
        <v>49054.23</v>
      </c>
      <c r="M1400" s="1" t="str" cm="1">
        <f t="array" ref="M140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00" t="s">
        <v>77</v>
      </c>
      <c r="O1400" t="s">
        <v>92</v>
      </c>
      <c r="P1400" s="2" t="s">
        <v>394</v>
      </c>
      <c r="Q1400">
        <v>0</v>
      </c>
      <c r="R1400" t="s">
        <v>390</v>
      </c>
      <c r="S1400" s="1">
        <f>electric_vehicles_dataset[[#This Row],[Units_Sold_2024]]*electric_vehicles_dataset[[#This Row],[Price_USD]]</f>
        <v>236539497.06</v>
      </c>
      <c r="T1400">
        <v>4</v>
      </c>
      <c r="U1400">
        <v>4822</v>
      </c>
      <c r="V1400">
        <v>3</v>
      </c>
    </row>
    <row r="1401" spans="1:22" x14ac:dyDescent="0.35">
      <c r="A1401">
        <v>1400</v>
      </c>
      <c r="B1401" t="s">
        <v>173</v>
      </c>
      <c r="C1401" t="s">
        <v>249</v>
      </c>
      <c r="D1401">
        <v>2021</v>
      </c>
      <c r="E1401" t="s">
        <v>17</v>
      </c>
      <c r="F1401">
        <v>128.80000000000001</v>
      </c>
      <c r="G1401" t="s">
        <v>352</v>
      </c>
      <c r="H1401">
        <f>electric_vehicles_dataset[[#This Row],[Battery_Capacity_kWh]]/electric_vehicles_dataset[[#This Row],[Range_km]]</f>
        <v>0.3867867867867868</v>
      </c>
      <c r="I1401">
        <v>333</v>
      </c>
      <c r="J1401" t="s">
        <v>359</v>
      </c>
      <c r="K1401">
        <v>3</v>
      </c>
      <c r="L1401" s="1">
        <v>114739.99</v>
      </c>
      <c r="M1401" s="1" t="str" cm="1">
        <f t="array" ref="M14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01" t="s">
        <v>229</v>
      </c>
      <c r="O1401" t="s">
        <v>44</v>
      </c>
      <c r="P1401" s="2" t="s">
        <v>389</v>
      </c>
      <c r="Q1401">
        <v>0</v>
      </c>
      <c r="R1401" t="s">
        <v>390</v>
      </c>
      <c r="S1401" s="1">
        <f>electric_vehicles_dataset[[#This Row],[Units_Sold_2024]]*electric_vehicles_dataset[[#This Row],[Price_USD]]</f>
        <v>1842609499.4100001</v>
      </c>
      <c r="T1401">
        <v>4</v>
      </c>
      <c r="U1401">
        <v>16059</v>
      </c>
      <c r="V1401">
        <v>4</v>
      </c>
    </row>
    <row r="1402" spans="1:22" x14ac:dyDescent="0.35">
      <c r="A1402">
        <v>1401</v>
      </c>
      <c r="B1402" t="s">
        <v>157</v>
      </c>
      <c r="C1402" t="s">
        <v>296</v>
      </c>
      <c r="D1402">
        <v>2022</v>
      </c>
      <c r="E1402" t="s">
        <v>58</v>
      </c>
      <c r="F1402">
        <v>75</v>
      </c>
      <c r="G1402" t="s">
        <v>351</v>
      </c>
      <c r="H1402">
        <f>electric_vehicles_dataset[[#This Row],[Battery_Capacity_kWh]]/electric_vehicles_dataset[[#This Row],[Range_km]]</f>
        <v>0.58139534883720934</v>
      </c>
      <c r="I1402">
        <v>129</v>
      </c>
      <c r="J1402" t="s">
        <v>54</v>
      </c>
      <c r="K1402">
        <v>2</v>
      </c>
      <c r="L1402" s="1">
        <v>135964.91</v>
      </c>
      <c r="M1402" s="1" t="str" cm="1">
        <f t="array" ref="M140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02" t="s">
        <v>165</v>
      </c>
      <c r="O1402" t="s">
        <v>147</v>
      </c>
      <c r="P1402" s="2" t="s">
        <v>396</v>
      </c>
      <c r="Q1402">
        <v>4</v>
      </c>
      <c r="R1402" t="s">
        <v>392</v>
      </c>
      <c r="S1402" s="1">
        <f>electric_vehicles_dataset[[#This Row],[Units_Sold_2024]]*electric_vehicles_dataset[[#This Row],[Price_USD]]</f>
        <v>1669785059.71</v>
      </c>
      <c r="T1402">
        <v>3</v>
      </c>
      <c r="U1402">
        <v>12281</v>
      </c>
      <c r="V1402">
        <v>3</v>
      </c>
    </row>
    <row r="1403" spans="1:22" x14ac:dyDescent="0.35">
      <c r="A1403">
        <v>1402</v>
      </c>
      <c r="B1403" t="s">
        <v>184</v>
      </c>
      <c r="C1403" t="s">
        <v>309</v>
      </c>
      <c r="D1403">
        <v>2024</v>
      </c>
      <c r="E1403" t="s">
        <v>84</v>
      </c>
      <c r="F1403">
        <v>47</v>
      </c>
      <c r="G1403" t="s">
        <v>348</v>
      </c>
      <c r="H1403">
        <f>electric_vehicles_dataset[[#This Row],[Battery_Capacity_kWh]]/electric_vehicles_dataset[[#This Row],[Range_km]]</f>
        <v>8.7360594795539037E-2</v>
      </c>
      <c r="I1403">
        <v>538</v>
      </c>
      <c r="J1403" t="s">
        <v>85</v>
      </c>
      <c r="K1403">
        <v>3</v>
      </c>
      <c r="L1403" s="1">
        <v>137818.65</v>
      </c>
      <c r="M1403" s="1" t="str" cm="1">
        <f t="array" ref="M140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03" t="s">
        <v>277</v>
      </c>
      <c r="O1403" t="s">
        <v>169</v>
      </c>
      <c r="P1403" s="2" t="s">
        <v>394</v>
      </c>
      <c r="Q1403">
        <v>4</v>
      </c>
      <c r="R1403" t="s">
        <v>392</v>
      </c>
      <c r="S1403" s="1">
        <f>electric_vehicles_dataset[[#This Row],[Units_Sold_2024]]*electric_vehicles_dataset[[#This Row],[Price_USD]]</f>
        <v>1201778628</v>
      </c>
      <c r="T1403">
        <v>4</v>
      </c>
      <c r="U1403">
        <v>8720</v>
      </c>
      <c r="V1403">
        <v>3</v>
      </c>
    </row>
    <row r="1404" spans="1:22" x14ac:dyDescent="0.35">
      <c r="A1404">
        <v>1403</v>
      </c>
      <c r="B1404" t="s">
        <v>94</v>
      </c>
      <c r="C1404" t="s">
        <v>294</v>
      </c>
      <c r="D1404">
        <v>2019</v>
      </c>
      <c r="E1404" t="s">
        <v>130</v>
      </c>
      <c r="F1404">
        <v>127.7</v>
      </c>
      <c r="G1404" t="s">
        <v>352</v>
      </c>
      <c r="H1404">
        <f>electric_vehicles_dataset[[#This Row],[Battery_Capacity_kWh]]/electric_vehicles_dataset[[#This Row],[Range_km]]</f>
        <v>0.97480916030534348</v>
      </c>
      <c r="I1404">
        <v>131</v>
      </c>
      <c r="J1404" t="s">
        <v>358</v>
      </c>
      <c r="K1404">
        <v>7</v>
      </c>
      <c r="L1404" s="1">
        <v>134202.18</v>
      </c>
      <c r="M1404" s="1" t="str" cm="1">
        <f t="array" ref="M140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04" t="s">
        <v>172</v>
      </c>
      <c r="O1404" t="s">
        <v>40</v>
      </c>
      <c r="P1404" s="2" t="s">
        <v>395</v>
      </c>
      <c r="Q1404">
        <v>0</v>
      </c>
      <c r="R1404" t="s">
        <v>390</v>
      </c>
      <c r="S1404" s="1">
        <f>electric_vehicles_dataset[[#This Row],[Units_Sold_2024]]*electric_vehicles_dataset[[#This Row],[Price_USD]]</f>
        <v>1759256377.6199999</v>
      </c>
      <c r="T1404">
        <v>3</v>
      </c>
      <c r="U1404">
        <v>13109</v>
      </c>
      <c r="V1404">
        <v>3</v>
      </c>
    </row>
    <row r="1405" spans="1:22" x14ac:dyDescent="0.35">
      <c r="A1405">
        <v>1404</v>
      </c>
      <c r="B1405" t="s">
        <v>96</v>
      </c>
      <c r="C1405" t="s">
        <v>292</v>
      </c>
      <c r="D1405">
        <v>2020</v>
      </c>
      <c r="E1405" t="s">
        <v>73</v>
      </c>
      <c r="F1405">
        <v>21.4</v>
      </c>
      <c r="G1405" t="s">
        <v>357</v>
      </c>
      <c r="H1405">
        <f>electric_vehicles_dataset[[#This Row],[Battery_Capacity_kWh]]/electric_vehicles_dataset[[#This Row],[Range_km]]</f>
        <v>0.18448275862068964</v>
      </c>
      <c r="I1405">
        <v>116</v>
      </c>
      <c r="J1405" t="s">
        <v>54</v>
      </c>
      <c r="K1405">
        <v>7</v>
      </c>
      <c r="L1405" s="1">
        <v>55041.43</v>
      </c>
      <c r="M1405" s="1" t="str" cm="1">
        <f t="array" ref="M14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05" t="s">
        <v>70</v>
      </c>
      <c r="O1405" t="s">
        <v>40</v>
      </c>
      <c r="P1405" s="2" t="s">
        <v>395</v>
      </c>
      <c r="Q1405">
        <v>2</v>
      </c>
      <c r="R1405" t="s">
        <v>391</v>
      </c>
      <c r="S1405" s="1">
        <f>electric_vehicles_dataset[[#This Row],[Units_Sold_2024]]*electric_vehicles_dataset[[#This Row],[Price_USD]]</f>
        <v>794578083.48000002</v>
      </c>
      <c r="T1405">
        <v>3</v>
      </c>
      <c r="U1405">
        <v>14436</v>
      </c>
      <c r="V1405">
        <v>3</v>
      </c>
    </row>
    <row r="1406" spans="1:22" x14ac:dyDescent="0.35">
      <c r="A1406">
        <v>1405</v>
      </c>
      <c r="B1406" t="s">
        <v>261</v>
      </c>
      <c r="C1406" t="s">
        <v>278</v>
      </c>
      <c r="D1406">
        <v>2022</v>
      </c>
      <c r="E1406" t="s">
        <v>42</v>
      </c>
      <c r="F1406">
        <v>147.30000000000001</v>
      </c>
      <c r="G1406" t="s">
        <v>386</v>
      </c>
      <c r="H1406">
        <f>electric_vehicles_dataset[[#This Row],[Battery_Capacity_kWh]]/electric_vehicles_dataset[[#This Row],[Range_km]]</f>
        <v>0.25933098591549297</v>
      </c>
      <c r="I1406">
        <v>568</v>
      </c>
      <c r="J1406" t="s">
        <v>76</v>
      </c>
      <c r="K1406">
        <v>7</v>
      </c>
      <c r="L1406" s="1">
        <v>144948.32999999999</v>
      </c>
      <c r="M1406" s="1" t="str" cm="1">
        <f t="array" ref="M140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06" t="s">
        <v>210</v>
      </c>
      <c r="O1406" t="s">
        <v>164</v>
      </c>
      <c r="P1406" s="2" t="s">
        <v>394</v>
      </c>
      <c r="Q1406">
        <v>2</v>
      </c>
      <c r="R1406" t="s">
        <v>391</v>
      </c>
      <c r="S1406" s="1">
        <f>electric_vehicles_dataset[[#This Row],[Units_Sold_2024]]*electric_vehicles_dataset[[#This Row],[Price_USD]]</f>
        <v>2612403751.5899997</v>
      </c>
      <c r="T1406">
        <v>4</v>
      </c>
      <c r="U1406">
        <v>18023</v>
      </c>
      <c r="V1406">
        <v>4</v>
      </c>
    </row>
    <row r="1407" spans="1:22" x14ac:dyDescent="0.35">
      <c r="A1407">
        <v>1406</v>
      </c>
      <c r="B1407" t="s">
        <v>184</v>
      </c>
      <c r="C1407" t="s">
        <v>213</v>
      </c>
      <c r="D1407">
        <v>2024</v>
      </c>
      <c r="E1407" t="s">
        <v>31</v>
      </c>
      <c r="F1407">
        <v>36.5</v>
      </c>
      <c r="G1407" t="s">
        <v>357</v>
      </c>
      <c r="H1407">
        <f>electric_vehicles_dataset[[#This Row],[Battery_Capacity_kWh]]/electric_vehicles_dataset[[#This Row],[Range_km]]</f>
        <v>7.9694323144104809E-2</v>
      </c>
      <c r="I1407">
        <v>458</v>
      </c>
      <c r="J1407" t="s">
        <v>85</v>
      </c>
      <c r="K1407">
        <v>12</v>
      </c>
      <c r="L1407" s="1">
        <v>89190.75</v>
      </c>
      <c r="M1407" s="1" t="str" cm="1">
        <f t="array" ref="M14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07" t="s">
        <v>19</v>
      </c>
      <c r="O1407" t="s">
        <v>20</v>
      </c>
      <c r="P1407" s="2" t="s">
        <v>389</v>
      </c>
      <c r="Q1407">
        <v>4</v>
      </c>
      <c r="R1407" t="s">
        <v>392</v>
      </c>
      <c r="S1407" s="1">
        <f>electric_vehicles_dataset[[#This Row],[Units_Sold_2024]]*electric_vehicles_dataset[[#This Row],[Price_USD]]</f>
        <v>139494333</v>
      </c>
      <c r="T1407">
        <v>4</v>
      </c>
      <c r="U1407">
        <v>1564</v>
      </c>
      <c r="V1407">
        <v>4</v>
      </c>
    </row>
    <row r="1408" spans="1:22" x14ac:dyDescent="0.35">
      <c r="A1408">
        <v>1407</v>
      </c>
      <c r="B1408" t="s">
        <v>193</v>
      </c>
      <c r="C1408" t="s">
        <v>203</v>
      </c>
      <c r="D1408">
        <v>2021</v>
      </c>
      <c r="E1408" t="s">
        <v>84</v>
      </c>
      <c r="F1408">
        <v>36.299999999999997</v>
      </c>
      <c r="G1408" t="s">
        <v>357</v>
      </c>
      <c r="H1408">
        <f>electric_vehicles_dataset[[#This Row],[Battery_Capacity_kWh]]/electric_vehicles_dataset[[#This Row],[Range_km]]</f>
        <v>0.1134375</v>
      </c>
      <c r="I1408">
        <v>320</v>
      </c>
      <c r="J1408" t="s">
        <v>358</v>
      </c>
      <c r="K1408">
        <v>6</v>
      </c>
      <c r="L1408" s="1">
        <v>107505.8</v>
      </c>
      <c r="M1408" s="1" t="str" cm="1">
        <f t="array" ref="M140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08" t="s">
        <v>257</v>
      </c>
      <c r="O1408" t="s">
        <v>23</v>
      </c>
      <c r="P1408" s="2" t="s">
        <v>389</v>
      </c>
      <c r="Q1408">
        <v>1</v>
      </c>
      <c r="R1408" t="s">
        <v>391</v>
      </c>
      <c r="S1408" s="1">
        <f>electric_vehicles_dataset[[#This Row],[Units_Sold_2024]]*electric_vehicles_dataset[[#This Row],[Price_USD]]</f>
        <v>2071744271.8</v>
      </c>
      <c r="T1408">
        <v>3</v>
      </c>
      <c r="U1408">
        <v>19271</v>
      </c>
      <c r="V1408">
        <v>4</v>
      </c>
    </row>
    <row r="1409" spans="1:22" x14ac:dyDescent="0.35">
      <c r="A1409">
        <v>1408</v>
      </c>
      <c r="B1409" t="s">
        <v>180</v>
      </c>
      <c r="C1409" t="s">
        <v>379</v>
      </c>
      <c r="D1409">
        <v>2025</v>
      </c>
      <c r="E1409" t="s">
        <v>90</v>
      </c>
      <c r="F1409">
        <v>68.599999999999994</v>
      </c>
      <c r="G1409" t="s">
        <v>351</v>
      </c>
      <c r="H1409">
        <f>electric_vehicles_dataset[[#This Row],[Battery_Capacity_kWh]]/electric_vehicles_dataset[[#This Row],[Range_km]]</f>
        <v>0.20725075528700904</v>
      </c>
      <c r="I1409">
        <v>331</v>
      </c>
      <c r="J1409" t="s">
        <v>76</v>
      </c>
      <c r="K1409">
        <v>6</v>
      </c>
      <c r="L1409" s="1">
        <v>95535.79</v>
      </c>
      <c r="M1409" s="1" t="str" cm="1">
        <f t="array" ref="M140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09" t="s">
        <v>127</v>
      </c>
      <c r="O1409" t="s">
        <v>115</v>
      </c>
      <c r="P1409" s="2" t="s">
        <v>396</v>
      </c>
      <c r="Q1409">
        <v>3</v>
      </c>
      <c r="R1409" t="s">
        <v>397</v>
      </c>
      <c r="S1409" s="1">
        <f>electric_vehicles_dataset[[#This Row],[Units_Sold_2024]]*electric_vehicles_dataset[[#This Row],[Price_USD]]</f>
        <v>530987920.81999999</v>
      </c>
      <c r="T1409">
        <v>3</v>
      </c>
      <c r="U1409">
        <v>5558</v>
      </c>
      <c r="V1409">
        <v>3</v>
      </c>
    </row>
    <row r="1410" spans="1:22" x14ac:dyDescent="0.35">
      <c r="A1410">
        <v>1409</v>
      </c>
      <c r="B1410" t="s">
        <v>82</v>
      </c>
      <c r="C1410" t="s">
        <v>83</v>
      </c>
      <c r="D1410">
        <v>2025</v>
      </c>
      <c r="E1410" t="s">
        <v>17</v>
      </c>
      <c r="F1410">
        <v>139.9</v>
      </c>
      <c r="G1410" t="s">
        <v>352</v>
      </c>
      <c r="H1410">
        <f>electric_vehicles_dataset[[#This Row],[Battery_Capacity_kWh]]/electric_vehicles_dataset[[#This Row],[Range_km]]</f>
        <v>0.35964010282776349</v>
      </c>
      <c r="I1410">
        <v>389</v>
      </c>
      <c r="J1410" t="s">
        <v>85</v>
      </c>
      <c r="K1410">
        <v>7</v>
      </c>
      <c r="L1410" s="1">
        <v>49908.47</v>
      </c>
      <c r="M1410" s="1" t="str" cm="1">
        <f t="array" ref="M141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10" t="s">
        <v>168</v>
      </c>
      <c r="O1410" t="s">
        <v>92</v>
      </c>
      <c r="P1410" s="2" t="s">
        <v>394</v>
      </c>
      <c r="Q1410">
        <v>2</v>
      </c>
      <c r="R1410" t="s">
        <v>391</v>
      </c>
      <c r="S1410" s="1">
        <f>electric_vehicles_dataset[[#This Row],[Units_Sold_2024]]*electric_vehicles_dataset[[#This Row],[Price_USD]]</f>
        <v>457061768.25999999</v>
      </c>
      <c r="T1410">
        <v>3</v>
      </c>
      <c r="U1410">
        <v>9158</v>
      </c>
      <c r="V1410">
        <v>4</v>
      </c>
    </row>
    <row r="1411" spans="1:22" x14ac:dyDescent="0.35">
      <c r="A1411">
        <v>1410</v>
      </c>
      <c r="B1411" t="s">
        <v>82</v>
      </c>
      <c r="C1411" t="s">
        <v>83</v>
      </c>
      <c r="D1411">
        <v>2024</v>
      </c>
      <c r="E1411" t="s">
        <v>31</v>
      </c>
      <c r="F1411">
        <v>42.5</v>
      </c>
      <c r="G1411" t="s">
        <v>348</v>
      </c>
      <c r="H1411">
        <f>electric_vehicles_dataset[[#This Row],[Battery_Capacity_kWh]]/electric_vehicles_dataset[[#This Row],[Range_km]]</f>
        <v>0.2361111111111111</v>
      </c>
      <c r="I1411">
        <v>180</v>
      </c>
      <c r="J1411" t="s">
        <v>149</v>
      </c>
      <c r="K1411">
        <v>12</v>
      </c>
      <c r="L1411" s="1">
        <v>59671.94</v>
      </c>
      <c r="M1411" s="1" t="str" cm="1">
        <f t="array" ref="M14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11" t="s">
        <v>229</v>
      </c>
      <c r="O1411" t="s">
        <v>115</v>
      </c>
      <c r="P1411" s="2" t="s">
        <v>396</v>
      </c>
      <c r="Q1411">
        <v>1</v>
      </c>
      <c r="R1411" t="s">
        <v>391</v>
      </c>
      <c r="S1411" s="1">
        <f>electric_vehicles_dataset[[#This Row],[Units_Sold_2024]]*electric_vehicles_dataset[[#This Row],[Price_USD]]</f>
        <v>731757000.22000003</v>
      </c>
      <c r="T1411">
        <v>4</v>
      </c>
      <c r="U1411">
        <v>12263</v>
      </c>
      <c r="V1411">
        <v>5</v>
      </c>
    </row>
    <row r="1412" spans="1:22" x14ac:dyDescent="0.35">
      <c r="A1412">
        <v>1411</v>
      </c>
      <c r="B1412" t="s">
        <v>74</v>
      </c>
      <c r="C1412" t="s">
        <v>75</v>
      </c>
      <c r="D1412">
        <v>2020</v>
      </c>
      <c r="E1412" t="s">
        <v>26</v>
      </c>
      <c r="F1412">
        <v>146.5</v>
      </c>
      <c r="G1412" t="s">
        <v>386</v>
      </c>
      <c r="H1412">
        <f>electric_vehicles_dataset[[#This Row],[Battery_Capacity_kWh]]/electric_vehicles_dataset[[#This Row],[Range_km]]</f>
        <v>0.92721518987341767</v>
      </c>
      <c r="I1412">
        <v>158</v>
      </c>
      <c r="J1412" t="s">
        <v>353</v>
      </c>
      <c r="K1412">
        <v>12</v>
      </c>
      <c r="L1412" s="1">
        <v>64041.59</v>
      </c>
      <c r="M1412" s="1" t="str" cm="1">
        <f t="array" ref="M141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12" t="s">
        <v>81</v>
      </c>
      <c r="O1412" t="s">
        <v>95</v>
      </c>
      <c r="P1412" s="2" t="s">
        <v>394</v>
      </c>
      <c r="Q1412">
        <v>3</v>
      </c>
      <c r="R1412" t="s">
        <v>397</v>
      </c>
      <c r="S1412" s="1">
        <f>electric_vehicles_dataset[[#This Row],[Units_Sold_2024]]*electric_vehicles_dataset[[#This Row],[Price_USD]]</f>
        <v>597700159.46999991</v>
      </c>
      <c r="T1412">
        <v>5</v>
      </c>
      <c r="U1412">
        <v>9333</v>
      </c>
      <c r="V1412">
        <v>5</v>
      </c>
    </row>
    <row r="1413" spans="1:22" x14ac:dyDescent="0.35">
      <c r="A1413">
        <v>1412</v>
      </c>
      <c r="B1413" t="s">
        <v>170</v>
      </c>
      <c r="C1413" t="s">
        <v>171</v>
      </c>
      <c r="D1413">
        <v>2024</v>
      </c>
      <c r="E1413" t="s">
        <v>31</v>
      </c>
      <c r="F1413">
        <v>118.2</v>
      </c>
      <c r="G1413" t="s">
        <v>361</v>
      </c>
      <c r="H1413">
        <f>electric_vehicles_dataset[[#This Row],[Battery_Capacity_kWh]]/electric_vehicles_dataset[[#This Row],[Range_km]]</f>
        <v>0.52533333333333332</v>
      </c>
      <c r="I1413">
        <v>225</v>
      </c>
      <c r="J1413" t="s">
        <v>359</v>
      </c>
      <c r="K1413">
        <v>11</v>
      </c>
      <c r="L1413" s="1">
        <v>65345.19</v>
      </c>
      <c r="M1413" s="1" t="str" cm="1">
        <f t="array" ref="M14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13" t="s">
        <v>100</v>
      </c>
      <c r="O1413" t="s">
        <v>164</v>
      </c>
      <c r="P1413" s="2" t="s">
        <v>394</v>
      </c>
      <c r="Q1413">
        <v>4</v>
      </c>
      <c r="R1413" t="s">
        <v>392</v>
      </c>
      <c r="S1413" s="1">
        <f>electric_vehicles_dataset[[#This Row],[Units_Sold_2024]]*electric_vehicles_dataset[[#This Row],[Price_USD]]</f>
        <v>1150663450.71</v>
      </c>
      <c r="T1413">
        <v>4</v>
      </c>
      <c r="U1413">
        <v>17609</v>
      </c>
      <c r="V1413">
        <v>3</v>
      </c>
    </row>
    <row r="1414" spans="1:22" x14ac:dyDescent="0.35">
      <c r="A1414">
        <v>1413</v>
      </c>
      <c r="B1414" t="s">
        <v>243</v>
      </c>
      <c r="C1414" t="s">
        <v>244</v>
      </c>
      <c r="D1414">
        <v>2016</v>
      </c>
      <c r="E1414" t="s">
        <v>101</v>
      </c>
      <c r="F1414">
        <v>128.1</v>
      </c>
      <c r="G1414" t="s">
        <v>352</v>
      </c>
      <c r="H1414">
        <f>electric_vehicles_dataset[[#This Row],[Battery_Capacity_kWh]]/electric_vehicles_dataset[[#This Row],[Range_km]]</f>
        <v>0.25467196819085486</v>
      </c>
      <c r="I1414">
        <v>503</v>
      </c>
      <c r="J1414" t="s">
        <v>105</v>
      </c>
      <c r="K1414">
        <v>9</v>
      </c>
      <c r="L1414" s="1">
        <v>40855.9</v>
      </c>
      <c r="M1414" s="1" t="str" cm="1">
        <f t="array" ref="M141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14" t="s">
        <v>98</v>
      </c>
      <c r="O1414" t="s">
        <v>67</v>
      </c>
      <c r="P1414" s="2" t="s">
        <v>394</v>
      </c>
      <c r="Q1414">
        <v>2</v>
      </c>
      <c r="R1414" t="s">
        <v>391</v>
      </c>
      <c r="S1414" s="1">
        <f>electric_vehicles_dataset[[#This Row],[Units_Sold_2024]]*electric_vehicles_dataset[[#This Row],[Price_USD]]</f>
        <v>804779518.20000005</v>
      </c>
      <c r="T1414">
        <v>5</v>
      </c>
      <c r="U1414">
        <v>19698</v>
      </c>
      <c r="V1414">
        <v>5</v>
      </c>
    </row>
    <row r="1415" spans="1:22" x14ac:dyDescent="0.35">
      <c r="A1415">
        <v>1414</v>
      </c>
      <c r="B1415" t="s">
        <v>60</v>
      </c>
      <c r="C1415" t="s">
        <v>322</v>
      </c>
      <c r="D1415">
        <v>2016</v>
      </c>
      <c r="E1415" t="s">
        <v>101</v>
      </c>
      <c r="F1415">
        <v>51.6</v>
      </c>
      <c r="G1415" t="s">
        <v>348</v>
      </c>
      <c r="H1415">
        <f>electric_vehicles_dataset[[#This Row],[Battery_Capacity_kWh]]/electric_vehicles_dataset[[#This Row],[Range_km]]</f>
        <v>0.14576271186440679</v>
      </c>
      <c r="I1415">
        <v>354</v>
      </c>
      <c r="J1415" t="s">
        <v>34</v>
      </c>
      <c r="K1415">
        <v>3</v>
      </c>
      <c r="L1415" s="1">
        <v>87734.65</v>
      </c>
      <c r="M1415" s="1" t="str" cm="1">
        <f t="array" ref="M141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15" t="s">
        <v>127</v>
      </c>
      <c r="O1415" t="s">
        <v>167</v>
      </c>
      <c r="P1415" s="2" t="s">
        <v>394</v>
      </c>
      <c r="Q1415">
        <v>1</v>
      </c>
      <c r="R1415" t="s">
        <v>391</v>
      </c>
      <c r="S1415" s="1">
        <f>electric_vehicles_dataset[[#This Row],[Units_Sold_2024]]*electric_vehicles_dataset[[#This Row],[Price_USD]]</f>
        <v>523951329.79999995</v>
      </c>
      <c r="T1415">
        <v>4</v>
      </c>
      <c r="U1415">
        <v>5972</v>
      </c>
      <c r="V1415">
        <v>5</v>
      </c>
    </row>
    <row r="1416" spans="1:22" x14ac:dyDescent="0.35">
      <c r="A1416">
        <v>1415</v>
      </c>
      <c r="B1416" t="s">
        <v>193</v>
      </c>
      <c r="C1416" t="s">
        <v>312</v>
      </c>
      <c r="D1416">
        <v>2025</v>
      </c>
      <c r="E1416" t="s">
        <v>58</v>
      </c>
      <c r="F1416">
        <v>93.6</v>
      </c>
      <c r="G1416" t="s">
        <v>350</v>
      </c>
      <c r="H1416">
        <f>electric_vehicles_dataset[[#This Row],[Battery_Capacity_kWh]]/electric_vehicles_dataset[[#This Row],[Range_km]]</f>
        <v>0.16684491978609625</v>
      </c>
      <c r="I1416">
        <v>561</v>
      </c>
      <c r="J1416" t="s">
        <v>345</v>
      </c>
      <c r="K1416">
        <v>4</v>
      </c>
      <c r="L1416" s="1">
        <v>148318.04</v>
      </c>
      <c r="M1416" s="1" t="str" cm="1">
        <f t="array" ref="M141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16" t="s">
        <v>175</v>
      </c>
      <c r="O1416" t="s">
        <v>167</v>
      </c>
      <c r="P1416" s="2" t="s">
        <v>394</v>
      </c>
      <c r="Q1416">
        <v>1</v>
      </c>
      <c r="R1416" t="s">
        <v>391</v>
      </c>
      <c r="S1416" s="1">
        <f>electric_vehicles_dataset[[#This Row],[Units_Sold_2024]]*electric_vehicles_dataset[[#This Row],[Price_USD]]</f>
        <v>1113275208.24</v>
      </c>
      <c r="T1416">
        <v>4</v>
      </c>
      <c r="U1416">
        <v>7506</v>
      </c>
      <c r="V1416">
        <v>3</v>
      </c>
    </row>
    <row r="1417" spans="1:22" x14ac:dyDescent="0.35">
      <c r="A1417">
        <v>1416</v>
      </c>
      <c r="B1417" t="s">
        <v>173</v>
      </c>
      <c r="C1417" t="s">
        <v>174</v>
      </c>
      <c r="D1417">
        <v>2018</v>
      </c>
      <c r="E1417" t="s">
        <v>17</v>
      </c>
      <c r="F1417">
        <v>72.099999999999994</v>
      </c>
      <c r="G1417" t="s">
        <v>351</v>
      </c>
      <c r="H1417">
        <f>electric_vehicles_dataset[[#This Row],[Battery_Capacity_kWh]]/electric_vehicles_dataset[[#This Row],[Range_km]]</f>
        <v>0.12367066895368781</v>
      </c>
      <c r="I1417">
        <v>583</v>
      </c>
      <c r="J1417" t="s">
        <v>358</v>
      </c>
      <c r="K1417">
        <v>10</v>
      </c>
      <c r="L1417" s="1">
        <v>62888.34</v>
      </c>
      <c r="M1417" s="1" t="str" cm="1">
        <f t="array" ref="M141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17" t="s">
        <v>146</v>
      </c>
      <c r="O1417" t="s">
        <v>44</v>
      </c>
      <c r="P1417" s="2" t="s">
        <v>389</v>
      </c>
      <c r="Q1417">
        <v>4</v>
      </c>
      <c r="R1417" t="s">
        <v>392</v>
      </c>
      <c r="S1417" s="1">
        <f>electric_vehicles_dataset[[#This Row],[Units_Sold_2024]]*electric_vehicles_dataset[[#This Row],[Price_USD]]</f>
        <v>211996594.13999999</v>
      </c>
      <c r="T1417">
        <v>4</v>
      </c>
      <c r="U1417">
        <v>3371</v>
      </c>
      <c r="V1417">
        <v>3</v>
      </c>
    </row>
    <row r="1418" spans="1:22" x14ac:dyDescent="0.35">
      <c r="A1418">
        <v>1417</v>
      </c>
      <c r="B1418" t="s">
        <v>136</v>
      </c>
      <c r="C1418" t="s">
        <v>137</v>
      </c>
      <c r="D1418">
        <v>2024</v>
      </c>
      <c r="E1418" t="s">
        <v>42</v>
      </c>
      <c r="F1418">
        <v>35.700000000000003</v>
      </c>
      <c r="G1418" t="s">
        <v>357</v>
      </c>
      <c r="H1418">
        <f>electric_vehicles_dataset[[#This Row],[Battery_Capacity_kWh]]/electric_vehicles_dataset[[#This Row],[Range_km]]</f>
        <v>6.9455252918287941E-2</v>
      </c>
      <c r="I1418">
        <v>514</v>
      </c>
      <c r="J1418" t="s">
        <v>353</v>
      </c>
      <c r="K1418">
        <v>1</v>
      </c>
      <c r="L1418" s="1">
        <v>98529.83</v>
      </c>
      <c r="M1418" s="1" t="str" cm="1">
        <f t="array" ref="M141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18" t="s">
        <v>177</v>
      </c>
      <c r="O1418" t="s">
        <v>107</v>
      </c>
      <c r="P1418" s="2" t="s">
        <v>394</v>
      </c>
      <c r="Q1418">
        <v>2</v>
      </c>
      <c r="R1418" t="s">
        <v>391</v>
      </c>
      <c r="S1418" s="1">
        <f>electric_vehicles_dataset[[#This Row],[Units_Sold_2024]]*electric_vehicles_dataset[[#This Row],[Price_USD]]</f>
        <v>536593454.18000001</v>
      </c>
      <c r="T1418">
        <v>3</v>
      </c>
      <c r="U1418">
        <v>5446</v>
      </c>
      <c r="V1418">
        <v>5</v>
      </c>
    </row>
    <row r="1419" spans="1:22" x14ac:dyDescent="0.35">
      <c r="A1419">
        <v>1418</v>
      </c>
      <c r="B1419" t="s">
        <v>184</v>
      </c>
      <c r="C1419" t="s">
        <v>185</v>
      </c>
      <c r="D1419">
        <v>2020</v>
      </c>
      <c r="E1419" t="s">
        <v>17</v>
      </c>
      <c r="F1419">
        <v>49.9</v>
      </c>
      <c r="G1419" t="s">
        <v>348</v>
      </c>
      <c r="H1419">
        <f>electric_vehicles_dataset[[#This Row],[Battery_Capacity_kWh]]/electric_vehicles_dataset[[#This Row],[Range_km]]</f>
        <v>0.18550185873605948</v>
      </c>
      <c r="I1419">
        <v>269</v>
      </c>
      <c r="J1419" t="s">
        <v>149</v>
      </c>
      <c r="K1419">
        <v>1</v>
      </c>
      <c r="L1419" s="1">
        <v>41290.46</v>
      </c>
      <c r="M1419" s="1" t="str" cm="1">
        <f t="array" ref="M14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19" t="s">
        <v>205</v>
      </c>
      <c r="O1419" t="s">
        <v>150</v>
      </c>
      <c r="P1419" s="2" t="s">
        <v>389</v>
      </c>
      <c r="Q1419">
        <v>2</v>
      </c>
      <c r="R1419" t="s">
        <v>391</v>
      </c>
      <c r="S1419" s="1">
        <f>electric_vehicles_dataset[[#This Row],[Units_Sold_2024]]*electric_vehicles_dataset[[#This Row],[Price_USD]]</f>
        <v>66766673.82</v>
      </c>
      <c r="T1419">
        <v>5</v>
      </c>
      <c r="U1419">
        <v>1617</v>
      </c>
      <c r="V1419">
        <v>5</v>
      </c>
    </row>
    <row r="1420" spans="1:22" x14ac:dyDescent="0.35">
      <c r="A1420">
        <v>1419</v>
      </c>
      <c r="B1420" t="s">
        <v>96</v>
      </c>
      <c r="C1420" t="s">
        <v>116</v>
      </c>
      <c r="D1420">
        <v>2024</v>
      </c>
      <c r="E1420" t="s">
        <v>130</v>
      </c>
      <c r="F1420">
        <v>102.9</v>
      </c>
      <c r="G1420" t="s">
        <v>361</v>
      </c>
      <c r="H1420">
        <f>electric_vehicles_dataset[[#This Row],[Battery_Capacity_kWh]]/electric_vehicles_dataset[[#This Row],[Range_km]]</f>
        <v>0.44163090128755367</v>
      </c>
      <c r="I1420">
        <v>233</v>
      </c>
      <c r="J1420" t="s">
        <v>345</v>
      </c>
      <c r="K1420">
        <v>8</v>
      </c>
      <c r="L1420" s="1">
        <v>45221.98</v>
      </c>
      <c r="M1420" s="1" t="str" cm="1">
        <f t="array" ref="M142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20" t="s">
        <v>35</v>
      </c>
      <c r="O1420" t="s">
        <v>161</v>
      </c>
      <c r="P1420" s="2" t="s">
        <v>389</v>
      </c>
      <c r="Q1420">
        <v>1</v>
      </c>
      <c r="R1420" t="s">
        <v>391</v>
      </c>
      <c r="S1420" s="1">
        <f>electric_vehicles_dataset[[#This Row],[Units_Sold_2024]]*electric_vehicles_dataset[[#This Row],[Price_USD]]</f>
        <v>376925203.30000001</v>
      </c>
      <c r="T1420">
        <v>3</v>
      </c>
      <c r="U1420">
        <v>8335</v>
      </c>
      <c r="V1420">
        <v>5</v>
      </c>
    </row>
    <row r="1421" spans="1:22" x14ac:dyDescent="0.35">
      <c r="A1421">
        <v>1420</v>
      </c>
      <c r="B1421" t="s">
        <v>74</v>
      </c>
      <c r="C1421" t="s">
        <v>75</v>
      </c>
      <c r="D1421">
        <v>2023</v>
      </c>
      <c r="E1421" t="s">
        <v>183</v>
      </c>
      <c r="F1421">
        <v>34.200000000000003</v>
      </c>
      <c r="G1421" t="s">
        <v>357</v>
      </c>
      <c r="H1421">
        <f>electric_vehicles_dataset[[#This Row],[Battery_Capacity_kWh]]/electric_vehicles_dataset[[#This Row],[Range_km]]</f>
        <v>0.17812500000000001</v>
      </c>
      <c r="I1421">
        <v>192</v>
      </c>
      <c r="J1421" t="s">
        <v>76</v>
      </c>
      <c r="K1421">
        <v>4</v>
      </c>
      <c r="L1421" s="1">
        <v>95127.79</v>
      </c>
      <c r="M1421" s="1" t="str" cm="1">
        <f t="array" ref="M142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21" t="s">
        <v>214</v>
      </c>
      <c r="O1421" t="s">
        <v>95</v>
      </c>
      <c r="P1421" s="2" t="s">
        <v>394</v>
      </c>
      <c r="Q1421">
        <v>5</v>
      </c>
      <c r="R1421" t="s">
        <v>392</v>
      </c>
      <c r="S1421" s="1">
        <f>electric_vehicles_dataset[[#This Row],[Units_Sold_2024]]*electric_vehicles_dataset[[#This Row],[Price_USD]]</f>
        <v>730866810.56999993</v>
      </c>
      <c r="T1421">
        <v>3</v>
      </c>
      <c r="U1421">
        <v>7683</v>
      </c>
      <c r="V1421">
        <v>3</v>
      </c>
    </row>
    <row r="1422" spans="1:22" x14ac:dyDescent="0.35">
      <c r="A1422">
        <v>1421</v>
      </c>
      <c r="B1422" t="s">
        <v>41</v>
      </c>
      <c r="C1422" t="s">
        <v>355</v>
      </c>
      <c r="D1422">
        <v>2020</v>
      </c>
      <c r="E1422" t="s">
        <v>58</v>
      </c>
      <c r="F1422">
        <v>66.5</v>
      </c>
      <c r="G1422" t="s">
        <v>351</v>
      </c>
      <c r="H1422">
        <f>electric_vehicles_dataset[[#This Row],[Battery_Capacity_kWh]]/electric_vehicles_dataset[[#This Row],[Range_km]]</f>
        <v>0.15985576923076922</v>
      </c>
      <c r="I1422">
        <v>416</v>
      </c>
      <c r="J1422" t="s">
        <v>27</v>
      </c>
      <c r="K1422">
        <v>2</v>
      </c>
      <c r="L1422" s="1">
        <v>86072.39</v>
      </c>
      <c r="M1422" s="1" t="str" cm="1">
        <f t="array" ref="M142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22" t="s">
        <v>19</v>
      </c>
      <c r="O1422" t="s">
        <v>265</v>
      </c>
      <c r="P1422" s="2" t="s">
        <v>389</v>
      </c>
      <c r="Q1422">
        <v>2</v>
      </c>
      <c r="R1422" t="s">
        <v>391</v>
      </c>
      <c r="S1422" s="1">
        <f>electric_vehicles_dataset[[#This Row],[Units_Sold_2024]]*electric_vehicles_dataset[[#This Row],[Price_USD]]</f>
        <v>1419936217.8299999</v>
      </c>
      <c r="T1422">
        <v>5</v>
      </c>
      <c r="U1422">
        <v>16497</v>
      </c>
      <c r="V1422">
        <v>4</v>
      </c>
    </row>
    <row r="1423" spans="1:22" x14ac:dyDescent="0.35">
      <c r="A1423">
        <v>1422</v>
      </c>
      <c r="B1423" t="s">
        <v>269</v>
      </c>
      <c r="C1423" t="s">
        <v>329</v>
      </c>
      <c r="D1423">
        <v>2023</v>
      </c>
      <c r="E1423" t="s">
        <v>101</v>
      </c>
      <c r="F1423">
        <v>146.4</v>
      </c>
      <c r="G1423" t="s">
        <v>386</v>
      </c>
      <c r="H1423">
        <f>electric_vehicles_dataset[[#This Row],[Battery_Capacity_kWh]]/electric_vehicles_dataset[[#This Row],[Range_km]]</f>
        <v>0.55454545454545456</v>
      </c>
      <c r="I1423">
        <v>264</v>
      </c>
      <c r="J1423" t="s">
        <v>358</v>
      </c>
      <c r="K1423">
        <v>9</v>
      </c>
      <c r="L1423" s="1">
        <v>87339.11</v>
      </c>
      <c r="M1423" s="1" t="str" cm="1">
        <f t="array" ref="M142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23" t="s">
        <v>253</v>
      </c>
      <c r="O1423" t="s">
        <v>86</v>
      </c>
      <c r="P1423" s="2" t="s">
        <v>389</v>
      </c>
      <c r="Q1423">
        <v>2</v>
      </c>
      <c r="R1423" t="s">
        <v>391</v>
      </c>
      <c r="S1423" s="1">
        <f>electric_vehicles_dataset[[#This Row],[Units_Sold_2024]]*electric_vehicles_dataset[[#This Row],[Price_USD]]</f>
        <v>1672718634.72</v>
      </c>
      <c r="T1423">
        <v>3</v>
      </c>
      <c r="U1423">
        <v>19152</v>
      </c>
      <c r="V1423">
        <v>3</v>
      </c>
    </row>
    <row r="1424" spans="1:22" x14ac:dyDescent="0.35">
      <c r="A1424">
        <v>1423</v>
      </c>
      <c r="B1424" t="s">
        <v>187</v>
      </c>
      <c r="C1424" t="s">
        <v>319</v>
      </c>
      <c r="D1424">
        <v>2018</v>
      </c>
      <c r="E1424" t="s">
        <v>26</v>
      </c>
      <c r="F1424">
        <v>121.4</v>
      </c>
      <c r="G1424" t="s">
        <v>352</v>
      </c>
      <c r="H1424">
        <f>electric_vehicles_dataset[[#This Row],[Battery_Capacity_kWh]]/electric_vehicles_dataset[[#This Row],[Range_km]]</f>
        <v>0.22193784277879344</v>
      </c>
      <c r="I1424">
        <v>547</v>
      </c>
      <c r="J1424" t="s">
        <v>38</v>
      </c>
      <c r="K1424">
        <v>9</v>
      </c>
      <c r="L1424" s="1">
        <v>39618.370000000003</v>
      </c>
      <c r="M1424" s="1" t="str" cm="1">
        <f t="array" ref="M142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24" t="s">
        <v>98</v>
      </c>
      <c r="O1424" t="s">
        <v>164</v>
      </c>
      <c r="P1424" s="2" t="s">
        <v>394</v>
      </c>
      <c r="Q1424">
        <v>1</v>
      </c>
      <c r="R1424" t="s">
        <v>391</v>
      </c>
      <c r="S1424" s="1">
        <f>electric_vehicles_dataset[[#This Row],[Units_Sold_2024]]*electric_vehicles_dataset[[#This Row],[Price_USD]]</f>
        <v>137951164.34</v>
      </c>
      <c r="T1424">
        <v>3</v>
      </c>
      <c r="U1424">
        <v>3482</v>
      </c>
      <c r="V1424">
        <v>5</v>
      </c>
    </row>
    <row r="1425" spans="1:22" x14ac:dyDescent="0.35">
      <c r="A1425">
        <v>1424</v>
      </c>
      <c r="B1425" t="s">
        <v>120</v>
      </c>
      <c r="C1425" t="s">
        <v>195</v>
      </c>
      <c r="D1425">
        <v>2025</v>
      </c>
      <c r="E1425" t="s">
        <v>53</v>
      </c>
      <c r="F1425">
        <v>102.6</v>
      </c>
      <c r="G1425" t="s">
        <v>361</v>
      </c>
      <c r="H1425">
        <f>electric_vehicles_dataset[[#This Row],[Battery_Capacity_kWh]]/electric_vehicles_dataset[[#This Row],[Range_km]]</f>
        <v>0.55161290322580647</v>
      </c>
      <c r="I1425">
        <v>186</v>
      </c>
      <c r="J1425" t="s">
        <v>54</v>
      </c>
      <c r="K1425">
        <v>6</v>
      </c>
      <c r="L1425" s="1">
        <v>96296.48</v>
      </c>
      <c r="M1425" s="1" t="str" cm="1">
        <f t="array" ref="M142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25" t="s">
        <v>55</v>
      </c>
      <c r="O1425" t="s">
        <v>167</v>
      </c>
      <c r="P1425" s="2" t="s">
        <v>394</v>
      </c>
      <c r="Q1425">
        <v>1</v>
      </c>
      <c r="R1425" t="s">
        <v>391</v>
      </c>
      <c r="S1425" s="1">
        <f>electric_vehicles_dataset[[#This Row],[Units_Sold_2024]]*electric_vehicles_dataset[[#This Row],[Price_USD]]</f>
        <v>534926946.39999998</v>
      </c>
      <c r="T1425">
        <v>4</v>
      </c>
      <c r="U1425">
        <v>5555</v>
      </c>
      <c r="V1425">
        <v>3</v>
      </c>
    </row>
    <row r="1426" spans="1:22" x14ac:dyDescent="0.35">
      <c r="A1426">
        <v>1425</v>
      </c>
      <c r="B1426" t="s">
        <v>87</v>
      </c>
      <c r="C1426" t="s">
        <v>305</v>
      </c>
      <c r="D1426">
        <v>2016</v>
      </c>
      <c r="E1426" t="s">
        <v>133</v>
      </c>
      <c r="F1426">
        <v>94.1</v>
      </c>
      <c r="G1426" t="s">
        <v>350</v>
      </c>
      <c r="H1426">
        <f>electric_vehicles_dataset[[#This Row],[Battery_Capacity_kWh]]/electric_vehicles_dataset[[#This Row],[Range_km]]</f>
        <v>0.49788359788359787</v>
      </c>
      <c r="I1426">
        <v>189</v>
      </c>
      <c r="J1426" t="s">
        <v>76</v>
      </c>
      <c r="K1426">
        <v>10</v>
      </c>
      <c r="L1426" s="1">
        <v>102658.14</v>
      </c>
      <c r="M1426" s="1" t="str" cm="1">
        <f t="array" ref="M142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26" t="s">
        <v>39</v>
      </c>
      <c r="O1426" t="s">
        <v>169</v>
      </c>
      <c r="P1426" s="2" t="s">
        <v>394</v>
      </c>
      <c r="Q1426">
        <v>5</v>
      </c>
      <c r="R1426" t="s">
        <v>392</v>
      </c>
      <c r="S1426" s="1">
        <f>electric_vehicles_dataset[[#This Row],[Units_Sold_2024]]*electric_vehicles_dataset[[#This Row],[Price_USD]]</f>
        <v>821265.12</v>
      </c>
      <c r="T1426">
        <v>4</v>
      </c>
      <c r="U1426">
        <v>8</v>
      </c>
      <c r="V1426">
        <v>4</v>
      </c>
    </row>
    <row r="1427" spans="1:22" x14ac:dyDescent="0.35">
      <c r="A1427">
        <v>1426</v>
      </c>
      <c r="B1427" t="s">
        <v>313</v>
      </c>
      <c r="C1427" t="s">
        <v>314</v>
      </c>
      <c r="D1427">
        <v>2024</v>
      </c>
      <c r="E1427" t="s">
        <v>104</v>
      </c>
      <c r="F1427">
        <v>75.900000000000006</v>
      </c>
      <c r="G1427" t="s">
        <v>351</v>
      </c>
      <c r="H1427">
        <f>electric_vehicles_dataset[[#This Row],[Battery_Capacity_kWh]]/electric_vehicles_dataset[[#This Row],[Range_km]]</f>
        <v>0.39123711340206191</v>
      </c>
      <c r="I1427">
        <v>194</v>
      </c>
      <c r="J1427" t="s">
        <v>364</v>
      </c>
      <c r="K1427">
        <v>6</v>
      </c>
      <c r="L1427" s="1">
        <v>64204.84</v>
      </c>
      <c r="M1427" s="1" t="str" cm="1">
        <f t="array" ref="M142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27" t="s">
        <v>210</v>
      </c>
      <c r="O1427" t="s">
        <v>135</v>
      </c>
      <c r="P1427" s="2" t="s">
        <v>389</v>
      </c>
      <c r="Q1427">
        <v>4</v>
      </c>
      <c r="R1427" t="s">
        <v>392</v>
      </c>
      <c r="S1427" s="1">
        <f>electric_vehicles_dataset[[#This Row],[Units_Sold_2024]]*electric_vehicles_dataset[[#This Row],[Price_USD]]</f>
        <v>1209554980.76</v>
      </c>
      <c r="T1427">
        <v>3</v>
      </c>
      <c r="U1427">
        <v>18839</v>
      </c>
      <c r="V1427">
        <v>3</v>
      </c>
    </row>
    <row r="1428" spans="1:22" x14ac:dyDescent="0.35">
      <c r="A1428">
        <v>1427</v>
      </c>
      <c r="B1428" t="s">
        <v>87</v>
      </c>
      <c r="C1428" t="s">
        <v>305</v>
      </c>
      <c r="D1428">
        <v>2018</v>
      </c>
      <c r="E1428" t="s">
        <v>47</v>
      </c>
      <c r="F1428">
        <v>100.5</v>
      </c>
      <c r="G1428" t="s">
        <v>361</v>
      </c>
      <c r="H1428">
        <f>electric_vehicles_dataset[[#This Row],[Battery_Capacity_kWh]]/electric_vehicles_dataset[[#This Row],[Range_km]]</f>
        <v>0.5982142857142857</v>
      </c>
      <c r="I1428">
        <v>168</v>
      </c>
      <c r="J1428" t="s">
        <v>85</v>
      </c>
      <c r="K1428">
        <v>4</v>
      </c>
      <c r="L1428" s="1">
        <v>85641.64</v>
      </c>
      <c r="M1428" s="1" t="str" cm="1">
        <f t="array" ref="M142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28" t="s">
        <v>143</v>
      </c>
      <c r="O1428" t="s">
        <v>167</v>
      </c>
      <c r="P1428" s="2" t="s">
        <v>394</v>
      </c>
      <c r="Q1428">
        <v>0</v>
      </c>
      <c r="R1428" t="s">
        <v>390</v>
      </c>
      <c r="S1428" s="1">
        <f>electric_vehicles_dataset[[#This Row],[Units_Sold_2024]]*electric_vehicles_dataset[[#This Row],[Price_USD]]</f>
        <v>1484169621.2</v>
      </c>
      <c r="T1428">
        <v>3</v>
      </c>
      <c r="U1428">
        <v>17330</v>
      </c>
      <c r="V1428">
        <v>3</v>
      </c>
    </row>
    <row r="1429" spans="1:22" x14ac:dyDescent="0.35">
      <c r="A1429">
        <v>1428</v>
      </c>
      <c r="B1429" t="s">
        <v>45</v>
      </c>
      <c r="C1429" t="s">
        <v>283</v>
      </c>
      <c r="D1429">
        <v>2025</v>
      </c>
      <c r="E1429" t="s">
        <v>84</v>
      </c>
      <c r="F1429">
        <v>61.6</v>
      </c>
      <c r="G1429" t="s">
        <v>351</v>
      </c>
      <c r="H1429">
        <f>electric_vehicles_dataset[[#This Row],[Battery_Capacity_kWh]]/electric_vehicles_dataset[[#This Row],[Range_km]]</f>
        <v>0.25349794238683127</v>
      </c>
      <c r="I1429">
        <v>243</v>
      </c>
      <c r="J1429" t="s">
        <v>34</v>
      </c>
      <c r="K1429">
        <v>2</v>
      </c>
      <c r="L1429" s="1">
        <v>112210.48</v>
      </c>
      <c r="M1429" s="1" t="str" cm="1">
        <f t="array" ref="M142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29" t="s">
        <v>70</v>
      </c>
      <c r="O1429" t="s">
        <v>67</v>
      </c>
      <c r="P1429" s="2" t="s">
        <v>394</v>
      </c>
      <c r="Q1429">
        <v>3</v>
      </c>
      <c r="R1429" t="s">
        <v>397</v>
      </c>
      <c r="S1429" s="1">
        <f>electric_vehicles_dataset[[#This Row],[Units_Sold_2024]]*electric_vehicles_dataset[[#This Row],[Price_USD]]</f>
        <v>1932937728.48</v>
      </c>
      <c r="T1429">
        <v>3</v>
      </c>
      <c r="U1429">
        <v>17226</v>
      </c>
      <c r="V1429">
        <v>5</v>
      </c>
    </row>
    <row r="1430" spans="1:22" x14ac:dyDescent="0.35">
      <c r="A1430">
        <v>1429</v>
      </c>
      <c r="B1430" t="s">
        <v>243</v>
      </c>
      <c r="C1430" t="s">
        <v>244</v>
      </c>
      <c r="D1430">
        <v>2015</v>
      </c>
      <c r="E1430" t="s">
        <v>90</v>
      </c>
      <c r="F1430">
        <v>62.3</v>
      </c>
      <c r="G1430" t="s">
        <v>351</v>
      </c>
      <c r="H1430">
        <f>electric_vehicles_dataset[[#This Row],[Battery_Capacity_kWh]]/electric_vehicles_dataset[[#This Row],[Range_km]]</f>
        <v>0.18486646884272998</v>
      </c>
      <c r="I1430">
        <v>337</v>
      </c>
      <c r="J1430" t="s">
        <v>85</v>
      </c>
      <c r="K1430">
        <v>3</v>
      </c>
      <c r="L1430" s="1">
        <v>80839.11</v>
      </c>
      <c r="M1430" s="1" t="str" cm="1">
        <f t="array" ref="M143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30" t="s">
        <v>172</v>
      </c>
      <c r="O1430" t="s">
        <v>199</v>
      </c>
      <c r="P1430" s="2" t="s">
        <v>394</v>
      </c>
      <c r="Q1430">
        <v>1</v>
      </c>
      <c r="R1430" t="s">
        <v>391</v>
      </c>
      <c r="S1430" s="1">
        <f>electric_vehicles_dataset[[#This Row],[Units_Sold_2024]]*electric_vehicles_dataset[[#This Row],[Price_USD]]</f>
        <v>1086962673.0599999</v>
      </c>
      <c r="T1430">
        <v>3</v>
      </c>
      <c r="U1430">
        <v>13446</v>
      </c>
      <c r="V1430">
        <v>3</v>
      </c>
    </row>
    <row r="1431" spans="1:22" x14ac:dyDescent="0.35">
      <c r="A1431">
        <v>1430</v>
      </c>
      <c r="B1431" t="s">
        <v>79</v>
      </c>
      <c r="C1431" t="s">
        <v>376</v>
      </c>
      <c r="D1431">
        <v>2024</v>
      </c>
      <c r="E1431" t="s">
        <v>133</v>
      </c>
      <c r="F1431">
        <v>56.8</v>
      </c>
      <c r="G1431" t="s">
        <v>348</v>
      </c>
      <c r="H1431">
        <f>electric_vehicles_dataset[[#This Row],[Battery_Capacity_kWh]]/electric_vehicles_dataset[[#This Row],[Range_km]]</f>
        <v>0.38639455782312926</v>
      </c>
      <c r="I1431">
        <v>147</v>
      </c>
      <c r="J1431" t="s">
        <v>358</v>
      </c>
      <c r="K1431">
        <v>4</v>
      </c>
      <c r="L1431" s="1">
        <v>142642.95000000001</v>
      </c>
      <c r="M1431" s="1" t="str" cm="1">
        <f t="array" ref="M143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31" t="s">
        <v>66</v>
      </c>
      <c r="O1431" t="s">
        <v>93</v>
      </c>
      <c r="P1431" s="2" t="s">
        <v>389</v>
      </c>
      <c r="Q1431">
        <v>2</v>
      </c>
      <c r="R1431" t="s">
        <v>391</v>
      </c>
      <c r="S1431" s="1">
        <f>electric_vehicles_dataset[[#This Row],[Units_Sold_2024]]*electric_vehicles_dataset[[#This Row],[Price_USD]]</f>
        <v>919048526.85000002</v>
      </c>
      <c r="T1431">
        <v>5</v>
      </c>
      <c r="U1431">
        <v>6443</v>
      </c>
      <c r="V1431">
        <v>4</v>
      </c>
    </row>
    <row r="1432" spans="1:22" x14ac:dyDescent="0.35">
      <c r="A1432">
        <v>1431</v>
      </c>
      <c r="B1432" t="s">
        <v>120</v>
      </c>
      <c r="C1432" t="s">
        <v>362</v>
      </c>
      <c r="D1432">
        <v>2022</v>
      </c>
      <c r="E1432" t="s">
        <v>73</v>
      </c>
      <c r="F1432">
        <v>136.30000000000001</v>
      </c>
      <c r="G1432" t="s">
        <v>352</v>
      </c>
      <c r="H1432">
        <f>electric_vehicles_dataset[[#This Row],[Battery_Capacity_kWh]]/electric_vehicles_dataset[[#This Row],[Range_km]]</f>
        <v>0.3713896457765668</v>
      </c>
      <c r="I1432">
        <v>367</v>
      </c>
      <c r="J1432" t="s">
        <v>149</v>
      </c>
      <c r="K1432">
        <v>6</v>
      </c>
      <c r="L1432" s="1">
        <v>80426.789999999994</v>
      </c>
      <c r="M1432" s="1" t="str" cm="1">
        <f t="array" ref="M14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32" t="s">
        <v>62</v>
      </c>
      <c r="O1432" t="s">
        <v>95</v>
      </c>
      <c r="P1432" s="2" t="s">
        <v>394</v>
      </c>
      <c r="Q1432">
        <v>5</v>
      </c>
      <c r="R1432" t="s">
        <v>392</v>
      </c>
      <c r="S1432" s="1">
        <f>electric_vehicles_dataset[[#This Row],[Units_Sold_2024]]*electric_vehicles_dataset[[#This Row],[Price_USD]]</f>
        <v>474518060.99999994</v>
      </c>
      <c r="T1432">
        <v>4</v>
      </c>
      <c r="U1432">
        <v>5900</v>
      </c>
      <c r="V1432">
        <v>5</v>
      </c>
    </row>
    <row r="1433" spans="1:22" x14ac:dyDescent="0.35">
      <c r="A1433">
        <v>1432</v>
      </c>
      <c r="B1433" t="s">
        <v>108</v>
      </c>
      <c r="C1433" t="s">
        <v>369</v>
      </c>
      <c r="D1433">
        <v>2021</v>
      </c>
      <c r="E1433" t="s">
        <v>183</v>
      </c>
      <c r="F1433">
        <v>29</v>
      </c>
      <c r="G1433" t="s">
        <v>357</v>
      </c>
      <c r="H1433">
        <f>electric_vehicles_dataset[[#This Row],[Battery_Capacity_kWh]]/electric_vehicles_dataset[[#This Row],[Range_km]]</f>
        <v>0.10861423220973783</v>
      </c>
      <c r="I1433">
        <v>267</v>
      </c>
      <c r="J1433" t="s">
        <v>38</v>
      </c>
      <c r="K1433">
        <v>2</v>
      </c>
      <c r="L1433" s="1">
        <v>96057.48</v>
      </c>
      <c r="M1433" s="1" t="str" cm="1">
        <f t="array" ref="M143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33" t="s">
        <v>301</v>
      </c>
      <c r="O1433" t="s">
        <v>20</v>
      </c>
      <c r="P1433" s="2" t="s">
        <v>389</v>
      </c>
      <c r="Q1433">
        <v>3</v>
      </c>
      <c r="R1433" t="s">
        <v>397</v>
      </c>
      <c r="S1433" s="1">
        <f>electric_vehicles_dataset[[#This Row],[Units_Sold_2024]]*electric_vehicles_dataset[[#This Row],[Price_USD]]</f>
        <v>943572626.03999996</v>
      </c>
      <c r="T1433">
        <v>3</v>
      </c>
      <c r="U1433">
        <v>9823</v>
      </c>
      <c r="V1433">
        <v>5</v>
      </c>
    </row>
    <row r="1434" spans="1:22" x14ac:dyDescent="0.35">
      <c r="A1434">
        <v>1433</v>
      </c>
      <c r="B1434" t="s">
        <v>120</v>
      </c>
      <c r="C1434" t="s">
        <v>252</v>
      </c>
      <c r="D1434">
        <v>2017</v>
      </c>
      <c r="E1434" t="s">
        <v>133</v>
      </c>
      <c r="F1434">
        <v>92.8</v>
      </c>
      <c r="G1434" t="s">
        <v>350</v>
      </c>
      <c r="H1434">
        <f>electric_vehicles_dataset[[#This Row],[Battery_Capacity_kWh]]/electric_vehicles_dataset[[#This Row],[Range_km]]</f>
        <v>0.28379204892966359</v>
      </c>
      <c r="I1434">
        <v>327</v>
      </c>
      <c r="J1434" t="s">
        <v>54</v>
      </c>
      <c r="K1434">
        <v>4</v>
      </c>
      <c r="L1434" s="1">
        <v>62078.29</v>
      </c>
      <c r="M1434" s="1" t="str" cm="1">
        <f t="array" ref="M143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34" t="s">
        <v>168</v>
      </c>
      <c r="O1434" t="s">
        <v>230</v>
      </c>
      <c r="P1434" s="2" t="s">
        <v>389</v>
      </c>
      <c r="Q1434">
        <v>2</v>
      </c>
      <c r="R1434" t="s">
        <v>391</v>
      </c>
      <c r="S1434" s="1">
        <f>electric_vehicles_dataset[[#This Row],[Units_Sold_2024]]*electric_vehicles_dataset[[#This Row],[Price_USD]]</f>
        <v>1019077208.64</v>
      </c>
      <c r="T1434">
        <v>3</v>
      </c>
      <c r="U1434">
        <v>16416</v>
      </c>
      <c r="V1434">
        <v>4</v>
      </c>
    </row>
    <row r="1435" spans="1:22" x14ac:dyDescent="0.35">
      <c r="A1435">
        <v>1434</v>
      </c>
      <c r="B1435" t="s">
        <v>261</v>
      </c>
      <c r="C1435" t="s">
        <v>278</v>
      </c>
      <c r="D1435">
        <v>2022</v>
      </c>
      <c r="E1435" t="s">
        <v>90</v>
      </c>
      <c r="F1435">
        <v>118.9</v>
      </c>
      <c r="G1435" t="s">
        <v>361</v>
      </c>
      <c r="H1435">
        <f>electric_vehicles_dataset[[#This Row],[Battery_Capacity_kWh]]/electric_vehicles_dataset[[#This Row],[Range_km]]</f>
        <v>1.1323809523809525</v>
      </c>
      <c r="I1435">
        <v>105</v>
      </c>
      <c r="J1435" t="s">
        <v>85</v>
      </c>
      <c r="K1435">
        <v>5</v>
      </c>
      <c r="L1435" s="1">
        <v>65210.63</v>
      </c>
      <c r="M1435" s="1" t="str" cm="1">
        <f t="array" ref="M14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35" t="s">
        <v>19</v>
      </c>
      <c r="O1435" t="s">
        <v>33</v>
      </c>
      <c r="P1435" s="2" t="s">
        <v>393</v>
      </c>
      <c r="Q1435">
        <v>3</v>
      </c>
      <c r="R1435" t="s">
        <v>397</v>
      </c>
      <c r="S1435" s="1">
        <f>electric_vehicles_dataset[[#This Row],[Units_Sold_2024]]*electric_vehicles_dataset[[#This Row],[Price_USD]]</f>
        <v>1213308981.78</v>
      </c>
      <c r="T1435">
        <v>5</v>
      </c>
      <c r="U1435">
        <v>18606</v>
      </c>
      <c r="V1435">
        <v>3</v>
      </c>
    </row>
    <row r="1436" spans="1:22" x14ac:dyDescent="0.35">
      <c r="A1436">
        <v>1435</v>
      </c>
      <c r="B1436" t="s">
        <v>122</v>
      </c>
      <c r="C1436" t="s">
        <v>250</v>
      </c>
      <c r="D1436">
        <v>2022</v>
      </c>
      <c r="E1436" t="s">
        <v>101</v>
      </c>
      <c r="F1436">
        <v>45.7</v>
      </c>
      <c r="G1436" t="s">
        <v>348</v>
      </c>
      <c r="H1436">
        <f>electric_vehicles_dataset[[#This Row],[Battery_Capacity_kWh]]/electric_vehicles_dataset[[#This Row],[Range_km]]</f>
        <v>0.14192546583850932</v>
      </c>
      <c r="I1436">
        <v>322</v>
      </c>
      <c r="J1436" t="s">
        <v>105</v>
      </c>
      <c r="K1436">
        <v>1</v>
      </c>
      <c r="L1436" s="1">
        <v>31450.55</v>
      </c>
      <c r="M1436" s="1" t="str" cm="1">
        <f t="array" ref="M14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36" t="s">
        <v>22</v>
      </c>
      <c r="O1436" t="s">
        <v>139</v>
      </c>
      <c r="P1436" s="2" t="s">
        <v>389</v>
      </c>
      <c r="Q1436">
        <v>4</v>
      </c>
      <c r="R1436" t="s">
        <v>392</v>
      </c>
      <c r="S1436" s="1">
        <f>electric_vehicles_dataset[[#This Row],[Units_Sold_2024]]*electric_vehicles_dataset[[#This Row],[Price_USD]]</f>
        <v>496415481.19999999</v>
      </c>
      <c r="T1436">
        <v>4</v>
      </c>
      <c r="U1436">
        <v>15784</v>
      </c>
      <c r="V1436">
        <v>5</v>
      </c>
    </row>
    <row r="1437" spans="1:22" x14ac:dyDescent="0.35">
      <c r="A1437">
        <v>1436</v>
      </c>
      <c r="B1437" t="s">
        <v>122</v>
      </c>
      <c r="C1437" t="s">
        <v>186</v>
      </c>
      <c r="D1437">
        <v>2016</v>
      </c>
      <c r="E1437" t="s">
        <v>42</v>
      </c>
      <c r="F1437">
        <v>114.4</v>
      </c>
      <c r="G1437" t="s">
        <v>361</v>
      </c>
      <c r="H1437">
        <f>electric_vehicles_dataset[[#This Row],[Battery_Capacity_kWh]]/electric_vehicles_dataset[[#This Row],[Range_km]]</f>
        <v>0.52</v>
      </c>
      <c r="I1437">
        <v>220</v>
      </c>
      <c r="J1437" t="s">
        <v>38</v>
      </c>
      <c r="K1437">
        <v>10</v>
      </c>
      <c r="L1437" s="1">
        <v>102408.71</v>
      </c>
      <c r="M1437" s="1" t="str" cm="1">
        <f t="array" ref="M143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37" t="s">
        <v>142</v>
      </c>
      <c r="O1437" t="s">
        <v>95</v>
      </c>
      <c r="P1437" s="2" t="s">
        <v>394</v>
      </c>
      <c r="Q1437">
        <v>1</v>
      </c>
      <c r="R1437" t="s">
        <v>391</v>
      </c>
      <c r="S1437" s="1">
        <f>electric_vehicles_dataset[[#This Row],[Units_Sold_2024]]*electric_vehicles_dataset[[#This Row],[Price_USD]]</f>
        <v>1434029166.1300001</v>
      </c>
      <c r="T1437">
        <v>4</v>
      </c>
      <c r="U1437">
        <v>14003</v>
      </c>
      <c r="V1437">
        <v>3</v>
      </c>
    </row>
    <row r="1438" spans="1:22" x14ac:dyDescent="0.35">
      <c r="A1438">
        <v>1437</v>
      </c>
      <c r="B1438" t="s">
        <v>234</v>
      </c>
      <c r="C1438" t="s">
        <v>235</v>
      </c>
      <c r="D1438">
        <v>2025</v>
      </c>
      <c r="E1438" t="s">
        <v>73</v>
      </c>
      <c r="F1438">
        <v>73.400000000000006</v>
      </c>
      <c r="G1438" t="s">
        <v>351</v>
      </c>
      <c r="H1438">
        <f>electric_vehicles_dataset[[#This Row],[Battery_Capacity_kWh]]/electric_vehicles_dataset[[#This Row],[Range_km]]</f>
        <v>0.49594594594594599</v>
      </c>
      <c r="I1438">
        <v>148</v>
      </c>
      <c r="J1438" t="s">
        <v>54</v>
      </c>
      <c r="K1438">
        <v>3</v>
      </c>
      <c r="L1438" s="1">
        <v>90622.66</v>
      </c>
      <c r="M1438" s="1" t="str" cm="1">
        <f t="array" ref="M143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38" t="s">
        <v>212</v>
      </c>
      <c r="O1438" t="s">
        <v>161</v>
      </c>
      <c r="P1438" s="2" t="s">
        <v>389</v>
      </c>
      <c r="Q1438">
        <v>3</v>
      </c>
      <c r="R1438" t="s">
        <v>397</v>
      </c>
      <c r="S1438" s="1">
        <f>electric_vehicles_dataset[[#This Row],[Units_Sold_2024]]*electric_vehicles_dataset[[#This Row],[Price_USD]]</f>
        <v>1610092800.22</v>
      </c>
      <c r="T1438">
        <v>3</v>
      </c>
      <c r="U1438">
        <v>17767</v>
      </c>
      <c r="V1438">
        <v>4</v>
      </c>
    </row>
    <row r="1439" spans="1:22" x14ac:dyDescent="0.35">
      <c r="A1439">
        <v>1438</v>
      </c>
      <c r="B1439" t="s">
        <v>224</v>
      </c>
      <c r="C1439" t="s">
        <v>225</v>
      </c>
      <c r="D1439">
        <v>2021</v>
      </c>
      <c r="E1439" t="s">
        <v>133</v>
      </c>
      <c r="F1439">
        <v>136.5</v>
      </c>
      <c r="G1439" t="s">
        <v>352</v>
      </c>
      <c r="H1439">
        <f>electric_vehicles_dataset[[#This Row],[Battery_Capacity_kWh]]/electric_vehicles_dataset[[#This Row],[Range_km]]</f>
        <v>0.2556179775280899</v>
      </c>
      <c r="I1439">
        <v>534</v>
      </c>
      <c r="J1439" t="s">
        <v>345</v>
      </c>
      <c r="K1439">
        <v>2</v>
      </c>
      <c r="L1439" s="1">
        <v>135220.69</v>
      </c>
      <c r="M1439" s="1" t="str" cm="1">
        <f t="array" ref="M143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39" t="s">
        <v>62</v>
      </c>
      <c r="O1439" t="s">
        <v>159</v>
      </c>
      <c r="P1439" s="2" t="s">
        <v>389</v>
      </c>
      <c r="Q1439">
        <v>0</v>
      </c>
      <c r="R1439" t="s">
        <v>390</v>
      </c>
      <c r="S1439" s="1">
        <f>electric_vehicles_dataset[[#This Row],[Units_Sold_2024]]*electric_vehicles_dataset[[#This Row],[Price_USD]]</f>
        <v>386055069.94999999</v>
      </c>
      <c r="T1439">
        <v>5</v>
      </c>
      <c r="U1439">
        <v>2855</v>
      </c>
      <c r="V1439">
        <v>5</v>
      </c>
    </row>
    <row r="1440" spans="1:22" x14ac:dyDescent="0.35">
      <c r="A1440">
        <v>1439</v>
      </c>
      <c r="B1440" t="s">
        <v>187</v>
      </c>
      <c r="C1440" t="s">
        <v>318</v>
      </c>
      <c r="D1440">
        <v>2024</v>
      </c>
      <c r="E1440" t="s">
        <v>90</v>
      </c>
      <c r="F1440">
        <v>24.4</v>
      </c>
      <c r="G1440" t="s">
        <v>357</v>
      </c>
      <c r="H1440">
        <f>electric_vehicles_dataset[[#This Row],[Battery_Capacity_kWh]]/electric_vehicles_dataset[[#This Row],[Range_km]]</f>
        <v>0.18769230769230769</v>
      </c>
      <c r="I1440">
        <v>130</v>
      </c>
      <c r="J1440" t="s">
        <v>18</v>
      </c>
      <c r="K1440">
        <v>6</v>
      </c>
      <c r="L1440" s="1">
        <v>140940.34</v>
      </c>
      <c r="M1440" s="1" t="str" cm="1">
        <f t="array" ref="M14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40" t="s">
        <v>177</v>
      </c>
      <c r="O1440" t="s">
        <v>182</v>
      </c>
      <c r="P1440" s="2" t="s">
        <v>394</v>
      </c>
      <c r="Q1440">
        <v>0</v>
      </c>
      <c r="R1440" t="s">
        <v>390</v>
      </c>
      <c r="S1440" s="1">
        <f>electric_vehicles_dataset[[#This Row],[Units_Sold_2024]]*electric_vehicles_dataset[[#This Row],[Price_USD]]</f>
        <v>2098601662.5999999</v>
      </c>
      <c r="T1440">
        <v>3</v>
      </c>
      <c r="U1440">
        <v>14890</v>
      </c>
      <c r="V1440">
        <v>5</v>
      </c>
    </row>
    <row r="1441" spans="1:22" x14ac:dyDescent="0.35">
      <c r="A1441">
        <v>1440</v>
      </c>
      <c r="B1441" t="s">
        <v>21</v>
      </c>
      <c r="C1441" t="s">
        <v>363</v>
      </c>
      <c r="D1441">
        <v>2015</v>
      </c>
      <c r="E1441" t="s">
        <v>133</v>
      </c>
      <c r="F1441">
        <v>146.9</v>
      </c>
      <c r="G1441" t="s">
        <v>386</v>
      </c>
      <c r="H1441">
        <f>electric_vehicles_dataset[[#This Row],[Battery_Capacity_kWh]]/electric_vehicles_dataset[[#This Row],[Range_km]]</f>
        <v>0.51363636363636367</v>
      </c>
      <c r="I1441">
        <v>286</v>
      </c>
      <c r="J1441" t="s">
        <v>358</v>
      </c>
      <c r="K1441">
        <v>9</v>
      </c>
      <c r="L1441" s="1">
        <v>81408.56</v>
      </c>
      <c r="M1441" s="1" t="str" cm="1">
        <f t="array" ref="M14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41" t="s">
        <v>219</v>
      </c>
      <c r="O1441" t="s">
        <v>95</v>
      </c>
      <c r="P1441" s="2" t="s">
        <v>394</v>
      </c>
      <c r="Q1441">
        <v>1</v>
      </c>
      <c r="R1441" t="s">
        <v>391</v>
      </c>
      <c r="S1441" s="1">
        <f>electric_vehicles_dataset[[#This Row],[Units_Sold_2024]]*electric_vehicles_dataset[[#This Row],[Price_USD]]</f>
        <v>1358301823.5999999</v>
      </c>
      <c r="T1441">
        <v>5</v>
      </c>
      <c r="U1441">
        <v>16685</v>
      </c>
      <c r="V1441">
        <v>3</v>
      </c>
    </row>
    <row r="1442" spans="1:22" x14ac:dyDescent="0.35">
      <c r="A1442">
        <v>1441</v>
      </c>
      <c r="B1442" t="s">
        <v>192</v>
      </c>
      <c r="C1442" t="s">
        <v>316</v>
      </c>
      <c r="D1442">
        <v>2021</v>
      </c>
      <c r="E1442" t="s">
        <v>130</v>
      </c>
      <c r="F1442">
        <v>103.8</v>
      </c>
      <c r="G1442" t="s">
        <v>361</v>
      </c>
      <c r="H1442">
        <f>electric_vehicles_dataset[[#This Row],[Battery_Capacity_kWh]]/electric_vehicles_dataset[[#This Row],[Range_km]]</f>
        <v>0.2359090909090909</v>
      </c>
      <c r="I1442">
        <v>440</v>
      </c>
      <c r="J1442" t="s">
        <v>359</v>
      </c>
      <c r="K1442">
        <v>1</v>
      </c>
      <c r="L1442" s="1">
        <v>78546.179999999993</v>
      </c>
      <c r="M1442" s="1" t="str" cm="1">
        <f t="array" ref="M144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42" t="s">
        <v>35</v>
      </c>
      <c r="O1442" t="s">
        <v>147</v>
      </c>
      <c r="P1442" s="2" t="s">
        <v>396</v>
      </c>
      <c r="Q1442">
        <v>1</v>
      </c>
      <c r="R1442" t="s">
        <v>391</v>
      </c>
      <c r="S1442" s="1">
        <f>electric_vehicles_dataset[[#This Row],[Units_Sold_2024]]*electric_vehicles_dataset[[#This Row],[Price_USD]]</f>
        <v>1223513845.8599999</v>
      </c>
      <c r="T1442">
        <v>4</v>
      </c>
      <c r="U1442">
        <v>15577</v>
      </c>
      <c r="V1442">
        <v>5</v>
      </c>
    </row>
    <row r="1443" spans="1:22" x14ac:dyDescent="0.35">
      <c r="A1443">
        <v>1442</v>
      </c>
      <c r="B1443" t="s">
        <v>224</v>
      </c>
      <c r="C1443" t="s">
        <v>225</v>
      </c>
      <c r="D1443">
        <v>2016</v>
      </c>
      <c r="E1443" t="s">
        <v>90</v>
      </c>
      <c r="F1443">
        <v>22.1</v>
      </c>
      <c r="G1443" t="s">
        <v>357</v>
      </c>
      <c r="H1443">
        <f>electric_vehicles_dataset[[#This Row],[Battery_Capacity_kWh]]/electric_vehicles_dataset[[#This Row],[Range_km]]</f>
        <v>6.104972375690608E-2</v>
      </c>
      <c r="I1443">
        <v>362</v>
      </c>
      <c r="J1443" t="s">
        <v>345</v>
      </c>
      <c r="K1443">
        <v>6</v>
      </c>
      <c r="L1443" s="1">
        <v>90848</v>
      </c>
      <c r="M1443" s="1" t="str" cm="1">
        <f t="array" ref="M144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43" t="s">
        <v>219</v>
      </c>
      <c r="O1443" t="s">
        <v>124</v>
      </c>
      <c r="P1443" s="2" t="s">
        <v>389</v>
      </c>
      <c r="Q1443">
        <v>2</v>
      </c>
      <c r="R1443" t="s">
        <v>391</v>
      </c>
      <c r="S1443" s="1">
        <f>electric_vehicles_dataset[[#This Row],[Units_Sold_2024]]*electric_vehicles_dataset[[#This Row],[Price_USD]]</f>
        <v>1152679424</v>
      </c>
      <c r="T1443">
        <v>3</v>
      </c>
      <c r="U1443">
        <v>12688</v>
      </c>
      <c r="V1443">
        <v>4</v>
      </c>
    </row>
    <row r="1444" spans="1:22" x14ac:dyDescent="0.35">
      <c r="A1444">
        <v>1443</v>
      </c>
      <c r="B1444" t="s">
        <v>51</v>
      </c>
      <c r="C1444" t="s">
        <v>52</v>
      </c>
      <c r="D1444">
        <v>2024</v>
      </c>
      <c r="E1444" t="s">
        <v>42</v>
      </c>
      <c r="F1444">
        <v>46.6</v>
      </c>
      <c r="G1444" t="s">
        <v>348</v>
      </c>
      <c r="H1444">
        <f>electric_vehicles_dataset[[#This Row],[Battery_Capacity_kWh]]/electric_vehicles_dataset[[#This Row],[Range_km]]</f>
        <v>0.10401785714285715</v>
      </c>
      <c r="I1444">
        <v>448</v>
      </c>
      <c r="J1444" t="s">
        <v>85</v>
      </c>
      <c r="K1444">
        <v>9</v>
      </c>
      <c r="L1444" s="1">
        <v>113231.94</v>
      </c>
      <c r="M1444" s="1" t="str" cm="1">
        <f t="array" ref="M14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44" t="s">
        <v>77</v>
      </c>
      <c r="O1444" t="s">
        <v>206</v>
      </c>
      <c r="P1444" s="2" t="s">
        <v>394</v>
      </c>
      <c r="Q1444">
        <v>3</v>
      </c>
      <c r="R1444" t="s">
        <v>397</v>
      </c>
      <c r="S1444" s="1">
        <f>electric_vehicles_dataset[[#This Row],[Units_Sold_2024]]*electric_vehicles_dataset[[#This Row],[Price_USD]]</f>
        <v>1197088069.6800001</v>
      </c>
      <c r="T1444">
        <v>5</v>
      </c>
      <c r="U1444">
        <v>10572</v>
      </c>
      <c r="V1444">
        <v>3</v>
      </c>
    </row>
    <row r="1445" spans="1:22" x14ac:dyDescent="0.35">
      <c r="A1445">
        <v>1444</v>
      </c>
      <c r="B1445" t="s">
        <v>68</v>
      </c>
      <c r="C1445" t="s">
        <v>289</v>
      </c>
      <c r="D1445">
        <v>2019</v>
      </c>
      <c r="E1445" t="s">
        <v>90</v>
      </c>
      <c r="F1445">
        <v>37.9</v>
      </c>
      <c r="G1445" t="s">
        <v>357</v>
      </c>
      <c r="H1445">
        <f>electric_vehicles_dataset[[#This Row],[Battery_Capacity_kWh]]/electric_vehicles_dataset[[#This Row],[Range_km]]</f>
        <v>7.2328244274809161E-2</v>
      </c>
      <c r="I1445">
        <v>524</v>
      </c>
      <c r="J1445" t="s">
        <v>48</v>
      </c>
      <c r="K1445">
        <v>9</v>
      </c>
      <c r="L1445" s="1">
        <v>37041.919999999998</v>
      </c>
      <c r="M1445" s="1" t="str" cm="1">
        <f t="array" ref="M144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45" t="s">
        <v>39</v>
      </c>
      <c r="O1445" t="s">
        <v>354</v>
      </c>
      <c r="P1445" s="2" t="s">
        <v>394</v>
      </c>
      <c r="Q1445">
        <v>5</v>
      </c>
      <c r="R1445" t="s">
        <v>392</v>
      </c>
      <c r="S1445" s="1">
        <f>electric_vehicles_dataset[[#This Row],[Units_Sold_2024]]*electric_vehicles_dataset[[#This Row],[Price_USD]]</f>
        <v>537441217.27999997</v>
      </c>
      <c r="T1445">
        <v>4</v>
      </c>
      <c r="U1445">
        <v>14509</v>
      </c>
      <c r="V1445">
        <v>3</v>
      </c>
    </row>
    <row r="1446" spans="1:22" x14ac:dyDescent="0.35">
      <c r="A1446">
        <v>1445</v>
      </c>
      <c r="B1446" t="s">
        <v>125</v>
      </c>
      <c r="C1446" t="s">
        <v>126</v>
      </c>
      <c r="D1446">
        <v>2018</v>
      </c>
      <c r="E1446" t="s">
        <v>101</v>
      </c>
      <c r="F1446">
        <v>129.1</v>
      </c>
      <c r="G1446" t="s">
        <v>352</v>
      </c>
      <c r="H1446">
        <f>electric_vehicles_dataset[[#This Row],[Battery_Capacity_kWh]]/electric_vehicles_dataset[[#This Row],[Range_km]]</f>
        <v>0.26346938775510204</v>
      </c>
      <c r="I1446">
        <v>490</v>
      </c>
      <c r="J1446" t="s">
        <v>364</v>
      </c>
      <c r="K1446">
        <v>5</v>
      </c>
      <c r="L1446" s="1">
        <v>49543.12</v>
      </c>
      <c r="M1446" s="1" t="str" cm="1">
        <f t="array" ref="M14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46" t="s">
        <v>106</v>
      </c>
      <c r="O1446" t="s">
        <v>115</v>
      </c>
      <c r="P1446" s="2" t="s">
        <v>396</v>
      </c>
      <c r="Q1446">
        <v>4</v>
      </c>
      <c r="R1446" t="s">
        <v>392</v>
      </c>
      <c r="S1446" s="1">
        <f>electric_vehicles_dataset[[#This Row],[Units_Sold_2024]]*electric_vehicles_dataset[[#This Row],[Price_USD]]</f>
        <v>130001146.88000001</v>
      </c>
      <c r="T1446">
        <v>5</v>
      </c>
      <c r="U1446">
        <v>2624</v>
      </c>
      <c r="V1446">
        <v>5</v>
      </c>
    </row>
    <row r="1447" spans="1:22" x14ac:dyDescent="0.35">
      <c r="A1447">
        <v>1446</v>
      </c>
      <c r="B1447" t="s">
        <v>261</v>
      </c>
      <c r="C1447" t="s">
        <v>370</v>
      </c>
      <c r="D1447">
        <v>2017</v>
      </c>
      <c r="E1447" t="s">
        <v>130</v>
      </c>
      <c r="F1447">
        <v>35.6</v>
      </c>
      <c r="G1447" t="s">
        <v>357</v>
      </c>
      <c r="H1447">
        <f>electric_vehicles_dataset[[#This Row],[Battery_Capacity_kWh]]/electric_vehicles_dataset[[#This Row],[Range_km]]</f>
        <v>0.2</v>
      </c>
      <c r="I1447">
        <v>178</v>
      </c>
      <c r="J1447" t="s">
        <v>358</v>
      </c>
      <c r="K1447">
        <v>9</v>
      </c>
      <c r="L1447" s="1">
        <v>145893.06</v>
      </c>
      <c r="M1447" s="1" t="str" cm="1">
        <f t="array" ref="M144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47" t="s">
        <v>168</v>
      </c>
      <c r="O1447" t="s">
        <v>124</v>
      </c>
      <c r="P1447" s="2" t="s">
        <v>389</v>
      </c>
      <c r="Q1447">
        <v>1</v>
      </c>
      <c r="R1447" t="s">
        <v>391</v>
      </c>
      <c r="S1447" s="1">
        <f>electric_vehicles_dataset[[#This Row],[Units_Sold_2024]]*electric_vehicles_dataset[[#This Row],[Price_USD]]</f>
        <v>2552253191.6399999</v>
      </c>
      <c r="T1447">
        <v>3</v>
      </c>
      <c r="U1447">
        <v>17494</v>
      </c>
      <c r="V1447">
        <v>4</v>
      </c>
    </row>
    <row r="1448" spans="1:22" x14ac:dyDescent="0.35">
      <c r="A1448">
        <v>1447</v>
      </c>
      <c r="B1448" t="s">
        <v>241</v>
      </c>
      <c r="C1448" t="s">
        <v>242</v>
      </c>
      <c r="D1448">
        <v>2024</v>
      </c>
      <c r="E1448" t="s">
        <v>133</v>
      </c>
      <c r="F1448">
        <v>42.3</v>
      </c>
      <c r="G1448" t="s">
        <v>348</v>
      </c>
      <c r="H1448">
        <f>electric_vehicles_dataset[[#This Row],[Battery_Capacity_kWh]]/electric_vehicles_dataset[[#This Row],[Range_km]]</f>
        <v>0.10575</v>
      </c>
      <c r="I1448">
        <v>400</v>
      </c>
      <c r="J1448" t="s">
        <v>54</v>
      </c>
      <c r="K1448">
        <v>2</v>
      </c>
      <c r="L1448" s="1">
        <v>54749.62</v>
      </c>
      <c r="M1448" s="1" t="str" cm="1">
        <f t="array" ref="M14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48" t="s">
        <v>35</v>
      </c>
      <c r="O1448" t="s">
        <v>167</v>
      </c>
      <c r="P1448" s="2" t="s">
        <v>394</v>
      </c>
      <c r="Q1448">
        <v>5</v>
      </c>
      <c r="R1448" t="s">
        <v>392</v>
      </c>
      <c r="S1448" s="1">
        <f>electric_vehicles_dataset[[#This Row],[Units_Sold_2024]]*electric_vehicles_dataset[[#This Row],[Price_USD]]</f>
        <v>425897293.98000002</v>
      </c>
      <c r="T1448">
        <v>5</v>
      </c>
      <c r="U1448">
        <v>7779</v>
      </c>
      <c r="V1448">
        <v>4</v>
      </c>
    </row>
    <row r="1449" spans="1:22" x14ac:dyDescent="0.35">
      <c r="A1449">
        <v>1448</v>
      </c>
      <c r="B1449" t="s">
        <v>234</v>
      </c>
      <c r="C1449" t="s">
        <v>235</v>
      </c>
      <c r="D1449">
        <v>2016</v>
      </c>
      <c r="E1449" t="s">
        <v>133</v>
      </c>
      <c r="F1449">
        <v>66.599999999999994</v>
      </c>
      <c r="G1449" t="s">
        <v>351</v>
      </c>
      <c r="H1449">
        <f>electric_vehicles_dataset[[#This Row],[Battery_Capacity_kWh]]/electric_vehicles_dataset[[#This Row],[Range_km]]</f>
        <v>0.17120822622107967</v>
      </c>
      <c r="I1449">
        <v>389</v>
      </c>
      <c r="J1449" t="s">
        <v>358</v>
      </c>
      <c r="K1449">
        <v>6</v>
      </c>
      <c r="L1449" s="1">
        <v>149266.07</v>
      </c>
      <c r="M1449" s="1" t="str" cm="1">
        <f t="array" ref="M144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49" t="s">
        <v>160</v>
      </c>
      <c r="O1449" t="s">
        <v>86</v>
      </c>
      <c r="P1449" s="2" t="s">
        <v>389</v>
      </c>
      <c r="Q1449">
        <v>5</v>
      </c>
      <c r="R1449" t="s">
        <v>392</v>
      </c>
      <c r="S1449" s="1">
        <f>electric_vehicles_dataset[[#This Row],[Units_Sold_2024]]*electric_vehicles_dataset[[#This Row],[Price_USD]]</f>
        <v>9702294.5500000007</v>
      </c>
      <c r="T1449">
        <v>3</v>
      </c>
      <c r="U1449">
        <v>65</v>
      </c>
      <c r="V1449">
        <v>4</v>
      </c>
    </row>
    <row r="1450" spans="1:22" x14ac:dyDescent="0.35">
      <c r="A1450">
        <v>1449</v>
      </c>
      <c r="B1450" t="s">
        <v>180</v>
      </c>
      <c r="C1450" t="s">
        <v>379</v>
      </c>
      <c r="D1450">
        <v>2023</v>
      </c>
      <c r="E1450" t="s">
        <v>101</v>
      </c>
      <c r="F1450">
        <v>144.6</v>
      </c>
      <c r="G1450" t="s">
        <v>386</v>
      </c>
      <c r="H1450">
        <f>electric_vehicles_dataset[[#This Row],[Battery_Capacity_kWh]]/electric_vehicles_dataset[[#This Row],[Range_km]]</f>
        <v>0.605020920502092</v>
      </c>
      <c r="I1450">
        <v>239</v>
      </c>
      <c r="J1450" t="s">
        <v>353</v>
      </c>
      <c r="K1450">
        <v>7</v>
      </c>
      <c r="L1450" s="1">
        <v>91515.56</v>
      </c>
      <c r="M1450" s="1" t="str" cm="1">
        <f t="array" ref="M14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50" t="s">
        <v>168</v>
      </c>
      <c r="O1450" t="s">
        <v>134</v>
      </c>
      <c r="P1450" s="2" t="s">
        <v>389</v>
      </c>
      <c r="Q1450">
        <v>1</v>
      </c>
      <c r="R1450" t="s">
        <v>391</v>
      </c>
      <c r="S1450" s="1">
        <f>electric_vehicles_dataset[[#This Row],[Units_Sold_2024]]*electric_vehicles_dataset[[#This Row],[Price_USD]]</f>
        <v>225860402.07999998</v>
      </c>
      <c r="T1450">
        <v>5</v>
      </c>
      <c r="U1450">
        <v>2468</v>
      </c>
      <c r="V1450">
        <v>4</v>
      </c>
    </row>
    <row r="1451" spans="1:22" x14ac:dyDescent="0.35">
      <c r="A1451">
        <v>1450</v>
      </c>
      <c r="B1451" t="s">
        <v>259</v>
      </c>
      <c r="C1451" t="s">
        <v>311</v>
      </c>
      <c r="D1451">
        <v>2021</v>
      </c>
      <c r="E1451" t="s">
        <v>130</v>
      </c>
      <c r="F1451">
        <v>85.3</v>
      </c>
      <c r="G1451" t="s">
        <v>350</v>
      </c>
      <c r="H1451">
        <f>electric_vehicles_dataset[[#This Row],[Battery_Capacity_kWh]]/electric_vehicles_dataset[[#This Row],[Range_km]]</f>
        <v>0.14860627177700347</v>
      </c>
      <c r="I1451">
        <v>574</v>
      </c>
      <c r="J1451" t="s">
        <v>76</v>
      </c>
      <c r="K1451">
        <v>5</v>
      </c>
      <c r="L1451" s="1">
        <v>75228.62</v>
      </c>
      <c r="M1451" s="1" t="str" cm="1">
        <f t="array" ref="M145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51" t="s">
        <v>39</v>
      </c>
      <c r="O1451" t="s">
        <v>134</v>
      </c>
      <c r="P1451" s="2" t="s">
        <v>389</v>
      </c>
      <c r="Q1451">
        <v>5</v>
      </c>
      <c r="R1451" t="s">
        <v>392</v>
      </c>
      <c r="S1451" s="1">
        <f>electric_vehicles_dataset[[#This Row],[Units_Sold_2024]]*electric_vehicles_dataset[[#This Row],[Price_USD]]</f>
        <v>1429494237.24</v>
      </c>
      <c r="T1451">
        <v>5</v>
      </c>
      <c r="U1451">
        <v>19002</v>
      </c>
      <c r="V1451">
        <v>3</v>
      </c>
    </row>
    <row r="1452" spans="1:22" x14ac:dyDescent="0.35">
      <c r="A1452">
        <v>1451</v>
      </c>
      <c r="B1452" t="s">
        <v>184</v>
      </c>
      <c r="C1452" t="s">
        <v>309</v>
      </c>
      <c r="D1452">
        <v>2025</v>
      </c>
      <c r="E1452" t="s">
        <v>26</v>
      </c>
      <c r="F1452">
        <v>52.8</v>
      </c>
      <c r="G1452" t="s">
        <v>348</v>
      </c>
      <c r="H1452">
        <f>electric_vehicles_dataset[[#This Row],[Battery_Capacity_kWh]]/electric_vehicles_dataset[[#This Row],[Range_km]]</f>
        <v>0.10666666666666666</v>
      </c>
      <c r="I1452">
        <v>495</v>
      </c>
      <c r="J1452" t="s">
        <v>18</v>
      </c>
      <c r="K1452">
        <v>11</v>
      </c>
      <c r="L1452" s="1">
        <v>108485.87</v>
      </c>
      <c r="M1452" s="1" t="str" cm="1">
        <f t="array" ref="M145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52" t="s">
        <v>143</v>
      </c>
      <c r="O1452" t="s">
        <v>50</v>
      </c>
      <c r="P1452" s="2" t="s">
        <v>396</v>
      </c>
      <c r="Q1452">
        <v>5</v>
      </c>
      <c r="R1452" t="s">
        <v>392</v>
      </c>
      <c r="S1452" s="1">
        <f>electric_vehicles_dataset[[#This Row],[Units_Sold_2024]]*electric_vehicles_dataset[[#This Row],[Price_USD]]</f>
        <v>1691945628.52</v>
      </c>
      <c r="T1452">
        <v>3</v>
      </c>
      <c r="U1452">
        <v>15596</v>
      </c>
      <c r="V1452">
        <v>3</v>
      </c>
    </row>
    <row r="1453" spans="1:22" x14ac:dyDescent="0.35">
      <c r="A1453">
        <v>1452</v>
      </c>
      <c r="B1453" t="s">
        <v>157</v>
      </c>
      <c r="C1453" t="s">
        <v>296</v>
      </c>
      <c r="D1453">
        <v>2021</v>
      </c>
      <c r="E1453" t="s">
        <v>73</v>
      </c>
      <c r="F1453">
        <v>58.8</v>
      </c>
      <c r="G1453" t="s">
        <v>348</v>
      </c>
      <c r="H1453">
        <f>electric_vehicles_dataset[[#This Row],[Battery_Capacity_kWh]]/electric_vehicles_dataset[[#This Row],[Range_km]]</f>
        <v>0.17926829268292682</v>
      </c>
      <c r="I1453">
        <v>328</v>
      </c>
      <c r="J1453" t="s">
        <v>27</v>
      </c>
      <c r="K1453">
        <v>3</v>
      </c>
      <c r="L1453" s="1">
        <v>91581.3</v>
      </c>
      <c r="M1453" s="1" t="str" cm="1">
        <f t="array" ref="M145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53" t="s">
        <v>19</v>
      </c>
      <c r="O1453" t="s">
        <v>95</v>
      </c>
      <c r="P1453" s="2" t="s">
        <v>394</v>
      </c>
      <c r="Q1453">
        <v>0</v>
      </c>
      <c r="R1453" t="s">
        <v>390</v>
      </c>
      <c r="S1453" s="1">
        <f>electric_vehicles_dataset[[#This Row],[Units_Sold_2024]]*electric_vehicles_dataset[[#This Row],[Price_USD]]</f>
        <v>496920133.80000001</v>
      </c>
      <c r="T1453">
        <v>5</v>
      </c>
      <c r="U1453">
        <v>5426</v>
      </c>
      <c r="V1453">
        <v>5</v>
      </c>
    </row>
    <row r="1454" spans="1:22" x14ac:dyDescent="0.35">
      <c r="A1454">
        <v>1453</v>
      </c>
      <c r="B1454" t="s">
        <v>125</v>
      </c>
      <c r="C1454" t="s">
        <v>291</v>
      </c>
      <c r="D1454">
        <v>2025</v>
      </c>
      <c r="E1454" t="s">
        <v>26</v>
      </c>
      <c r="F1454">
        <v>120.2</v>
      </c>
      <c r="G1454" t="s">
        <v>352</v>
      </c>
      <c r="H1454">
        <f>electric_vehicles_dataset[[#This Row],[Battery_Capacity_kWh]]/electric_vehicles_dataset[[#This Row],[Range_km]]</f>
        <v>0.2285171102661597</v>
      </c>
      <c r="I1454">
        <v>526</v>
      </c>
      <c r="J1454" t="s">
        <v>54</v>
      </c>
      <c r="K1454">
        <v>10</v>
      </c>
      <c r="L1454" s="1">
        <v>69149.88</v>
      </c>
      <c r="M1454" s="1" t="str" cm="1">
        <f t="array" ref="M14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54" t="s">
        <v>301</v>
      </c>
      <c r="O1454" t="s">
        <v>135</v>
      </c>
      <c r="P1454" s="2" t="s">
        <v>389</v>
      </c>
      <c r="Q1454">
        <v>4</v>
      </c>
      <c r="R1454" t="s">
        <v>392</v>
      </c>
      <c r="S1454" s="1">
        <f>electric_vehicles_dataset[[#This Row],[Units_Sold_2024]]*electric_vehicles_dataset[[#This Row],[Price_USD]]</f>
        <v>1280102578.5600002</v>
      </c>
      <c r="T1454">
        <v>4</v>
      </c>
      <c r="U1454">
        <v>18512</v>
      </c>
      <c r="V1454">
        <v>3</v>
      </c>
    </row>
    <row r="1455" spans="1:22" x14ac:dyDescent="0.35">
      <c r="A1455">
        <v>1454</v>
      </c>
      <c r="B1455" t="s">
        <v>224</v>
      </c>
      <c r="C1455" t="s">
        <v>303</v>
      </c>
      <c r="D1455">
        <v>2025</v>
      </c>
      <c r="E1455" t="s">
        <v>133</v>
      </c>
      <c r="F1455">
        <v>31.5</v>
      </c>
      <c r="G1455" t="s">
        <v>357</v>
      </c>
      <c r="H1455">
        <f>electric_vehicles_dataset[[#This Row],[Battery_Capacity_kWh]]/electric_vehicles_dataset[[#This Row],[Range_km]]</f>
        <v>0.10031847133757962</v>
      </c>
      <c r="I1455">
        <v>314</v>
      </c>
      <c r="J1455" t="s">
        <v>76</v>
      </c>
      <c r="K1455">
        <v>5</v>
      </c>
      <c r="L1455" s="1">
        <v>101080.36</v>
      </c>
      <c r="M1455" s="1" t="str" cm="1">
        <f t="array" ref="M145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55" t="s">
        <v>43</v>
      </c>
      <c r="O1455" t="s">
        <v>139</v>
      </c>
      <c r="P1455" s="2" t="s">
        <v>389</v>
      </c>
      <c r="Q1455">
        <v>3</v>
      </c>
      <c r="R1455" t="s">
        <v>397</v>
      </c>
      <c r="S1455" s="1">
        <f>electric_vehicles_dataset[[#This Row],[Units_Sold_2024]]*electric_vehicles_dataset[[#This Row],[Price_USD]]</f>
        <v>1345177430.8800001</v>
      </c>
      <c r="T1455">
        <v>4</v>
      </c>
      <c r="U1455">
        <v>13308</v>
      </c>
      <c r="V1455">
        <v>4</v>
      </c>
    </row>
    <row r="1456" spans="1:22" x14ac:dyDescent="0.35">
      <c r="A1456">
        <v>1455</v>
      </c>
      <c r="B1456" t="s">
        <v>60</v>
      </c>
      <c r="C1456" t="s">
        <v>322</v>
      </c>
      <c r="D1456">
        <v>2023</v>
      </c>
      <c r="E1456" t="s">
        <v>84</v>
      </c>
      <c r="F1456">
        <v>88.9</v>
      </c>
      <c r="G1456" t="s">
        <v>350</v>
      </c>
      <c r="H1456">
        <f>electric_vehicles_dataset[[#This Row],[Battery_Capacity_kWh]]/electric_vehicles_dataset[[#This Row],[Range_km]]</f>
        <v>0.1677358490566038</v>
      </c>
      <c r="I1456">
        <v>530</v>
      </c>
      <c r="J1456" t="s">
        <v>76</v>
      </c>
      <c r="K1456">
        <v>3</v>
      </c>
      <c r="L1456" s="1">
        <v>44405.63</v>
      </c>
      <c r="M1456" s="1" t="str" cm="1">
        <f t="array" ref="M145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56" t="s">
        <v>279</v>
      </c>
      <c r="O1456" t="s">
        <v>86</v>
      </c>
      <c r="P1456" s="2" t="s">
        <v>389</v>
      </c>
      <c r="Q1456">
        <v>3</v>
      </c>
      <c r="R1456" t="s">
        <v>397</v>
      </c>
      <c r="S1456" s="1">
        <f>electric_vehicles_dataset[[#This Row],[Units_Sold_2024]]*electric_vehicles_dataset[[#This Row],[Price_USD]]</f>
        <v>408309767.84999996</v>
      </c>
      <c r="T1456">
        <v>4</v>
      </c>
      <c r="U1456">
        <v>9195</v>
      </c>
      <c r="V1456">
        <v>4</v>
      </c>
    </row>
    <row r="1457" spans="1:22" x14ac:dyDescent="0.35">
      <c r="A1457">
        <v>1456</v>
      </c>
      <c r="B1457" t="s">
        <v>192</v>
      </c>
      <c r="C1457" t="s">
        <v>198</v>
      </c>
      <c r="D1457">
        <v>2024</v>
      </c>
      <c r="E1457" t="s">
        <v>42</v>
      </c>
      <c r="F1457">
        <v>101.9</v>
      </c>
      <c r="G1457" t="s">
        <v>361</v>
      </c>
      <c r="H1457">
        <f>electric_vehicles_dataset[[#This Row],[Battery_Capacity_kWh]]/electric_vehicles_dataset[[#This Row],[Range_km]]</f>
        <v>0.52525773195876291</v>
      </c>
      <c r="I1457">
        <v>194</v>
      </c>
      <c r="J1457" t="s">
        <v>105</v>
      </c>
      <c r="K1457">
        <v>4</v>
      </c>
      <c r="L1457" s="1">
        <v>92630.48</v>
      </c>
      <c r="M1457" s="1" t="str" cm="1">
        <f t="array" ref="M145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57" t="s">
        <v>257</v>
      </c>
      <c r="O1457" t="s">
        <v>230</v>
      </c>
      <c r="P1457" s="2" t="s">
        <v>389</v>
      </c>
      <c r="Q1457">
        <v>0</v>
      </c>
      <c r="R1457" t="s">
        <v>390</v>
      </c>
      <c r="S1457" s="1">
        <f>electric_vehicles_dataset[[#This Row],[Units_Sold_2024]]*electric_vehicles_dataset[[#This Row],[Price_USD]]</f>
        <v>432769602.56</v>
      </c>
      <c r="T1457">
        <v>4</v>
      </c>
      <c r="U1457">
        <v>4672</v>
      </c>
      <c r="V1457">
        <v>4</v>
      </c>
    </row>
    <row r="1458" spans="1:22" x14ac:dyDescent="0.35">
      <c r="A1458">
        <v>1457</v>
      </c>
      <c r="B1458" t="s">
        <v>220</v>
      </c>
      <c r="C1458" t="s">
        <v>336</v>
      </c>
      <c r="D1458">
        <v>2018</v>
      </c>
      <c r="E1458" t="s">
        <v>42</v>
      </c>
      <c r="F1458">
        <v>97.6</v>
      </c>
      <c r="G1458" t="s">
        <v>350</v>
      </c>
      <c r="H1458">
        <f>electric_vehicles_dataset[[#This Row],[Battery_Capacity_kWh]]/electric_vehicles_dataset[[#This Row],[Range_km]]</f>
        <v>0.24461152882205511</v>
      </c>
      <c r="I1458">
        <v>399</v>
      </c>
      <c r="J1458" t="s">
        <v>364</v>
      </c>
      <c r="K1458">
        <v>11</v>
      </c>
      <c r="L1458" s="1">
        <v>48745.21</v>
      </c>
      <c r="M1458" s="1" t="str" cm="1">
        <f t="array" ref="M145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58" t="s">
        <v>102</v>
      </c>
      <c r="O1458" t="s">
        <v>40</v>
      </c>
      <c r="P1458" s="2" t="s">
        <v>395</v>
      </c>
      <c r="Q1458">
        <v>0</v>
      </c>
      <c r="R1458" t="s">
        <v>390</v>
      </c>
      <c r="S1458" s="1">
        <f>electric_vehicles_dataset[[#This Row],[Units_Sold_2024]]*electric_vehicles_dataset[[#This Row],[Price_USD]]</f>
        <v>720892910.68999994</v>
      </c>
      <c r="T1458">
        <v>5</v>
      </c>
      <c r="U1458">
        <v>14789</v>
      </c>
      <c r="V1458">
        <v>4</v>
      </c>
    </row>
    <row r="1459" spans="1:22" x14ac:dyDescent="0.35">
      <c r="A1459">
        <v>1458</v>
      </c>
      <c r="B1459" t="s">
        <v>241</v>
      </c>
      <c r="C1459" t="s">
        <v>247</v>
      </c>
      <c r="D1459">
        <v>2015</v>
      </c>
      <c r="E1459" t="s">
        <v>31</v>
      </c>
      <c r="F1459">
        <v>99.3</v>
      </c>
      <c r="G1459" t="s">
        <v>350</v>
      </c>
      <c r="H1459">
        <f>electric_vehicles_dataset[[#This Row],[Battery_Capacity_kWh]]/electric_vehicles_dataset[[#This Row],[Range_km]]</f>
        <v>0.2298611111111111</v>
      </c>
      <c r="I1459">
        <v>432</v>
      </c>
      <c r="J1459" t="s">
        <v>345</v>
      </c>
      <c r="K1459">
        <v>1</v>
      </c>
      <c r="L1459" s="1">
        <v>140194.9</v>
      </c>
      <c r="M1459" s="1" t="str" cm="1">
        <f t="array" ref="M145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59" t="s">
        <v>179</v>
      </c>
      <c r="O1459" t="s">
        <v>78</v>
      </c>
      <c r="P1459" s="2" t="s">
        <v>389</v>
      </c>
      <c r="Q1459">
        <v>1</v>
      </c>
      <c r="R1459" t="s">
        <v>391</v>
      </c>
      <c r="S1459" s="1">
        <f>electric_vehicles_dataset[[#This Row],[Units_Sold_2024]]*electric_vehicles_dataset[[#This Row],[Price_USD]]</f>
        <v>193048377.29999998</v>
      </c>
      <c r="T1459">
        <v>4</v>
      </c>
      <c r="U1459">
        <v>1377</v>
      </c>
      <c r="V1459">
        <v>4</v>
      </c>
    </row>
    <row r="1460" spans="1:22" x14ac:dyDescent="0.35">
      <c r="A1460">
        <v>1459</v>
      </c>
      <c r="B1460" t="s">
        <v>243</v>
      </c>
      <c r="C1460" t="s">
        <v>244</v>
      </c>
      <c r="D1460">
        <v>2021</v>
      </c>
      <c r="E1460" t="s">
        <v>133</v>
      </c>
      <c r="F1460">
        <v>85.2</v>
      </c>
      <c r="G1460" t="s">
        <v>350</v>
      </c>
      <c r="H1460">
        <f>electric_vehicles_dataset[[#This Row],[Battery_Capacity_kWh]]/electric_vehicles_dataset[[#This Row],[Range_km]]</f>
        <v>0.60857142857142854</v>
      </c>
      <c r="I1460">
        <v>140</v>
      </c>
      <c r="J1460" t="s">
        <v>345</v>
      </c>
      <c r="K1460">
        <v>10</v>
      </c>
      <c r="L1460" s="1">
        <v>123466.14</v>
      </c>
      <c r="M1460" s="1" t="str" cm="1">
        <f t="array" ref="M146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60" t="s">
        <v>49</v>
      </c>
      <c r="O1460" t="s">
        <v>135</v>
      </c>
      <c r="P1460" s="2" t="s">
        <v>389</v>
      </c>
      <c r="Q1460">
        <v>3</v>
      </c>
      <c r="R1460" t="s">
        <v>397</v>
      </c>
      <c r="S1460" s="1">
        <f>electric_vehicles_dataset[[#This Row],[Units_Sold_2024]]*electric_vehicles_dataset[[#This Row],[Price_USD]]</f>
        <v>2212142830.3800001</v>
      </c>
      <c r="T1460">
        <v>5</v>
      </c>
      <c r="U1460">
        <v>17917</v>
      </c>
      <c r="V1460">
        <v>3</v>
      </c>
    </row>
    <row r="1461" spans="1:22" x14ac:dyDescent="0.35">
      <c r="A1461">
        <v>1460</v>
      </c>
      <c r="B1461" t="s">
        <v>64</v>
      </c>
      <c r="C1461" t="s">
        <v>65</v>
      </c>
      <c r="D1461">
        <v>2024</v>
      </c>
      <c r="E1461" t="s">
        <v>130</v>
      </c>
      <c r="F1461">
        <v>149.80000000000001</v>
      </c>
      <c r="G1461" t="s">
        <v>386</v>
      </c>
      <c r="H1461">
        <f>electric_vehicles_dataset[[#This Row],[Battery_Capacity_kWh]]/electric_vehicles_dataset[[#This Row],[Range_km]]</f>
        <v>0.6599118942731278</v>
      </c>
      <c r="I1461">
        <v>227</v>
      </c>
      <c r="J1461" t="s">
        <v>149</v>
      </c>
      <c r="K1461">
        <v>4</v>
      </c>
      <c r="L1461" s="1">
        <v>115476.02</v>
      </c>
      <c r="M1461" s="1" t="str" cm="1">
        <f t="array" ref="M146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61" t="s">
        <v>70</v>
      </c>
      <c r="O1461" t="s">
        <v>44</v>
      </c>
      <c r="P1461" s="2" t="s">
        <v>389</v>
      </c>
      <c r="Q1461">
        <v>1</v>
      </c>
      <c r="R1461" t="s">
        <v>391</v>
      </c>
      <c r="S1461" s="1">
        <f>electric_vehicles_dataset[[#This Row],[Units_Sold_2024]]*electric_vehicles_dataset[[#This Row],[Price_USD]]</f>
        <v>1525784652.26</v>
      </c>
      <c r="T1461">
        <v>4</v>
      </c>
      <c r="U1461">
        <v>13213</v>
      </c>
      <c r="V1461">
        <v>4</v>
      </c>
    </row>
    <row r="1462" spans="1:22" x14ac:dyDescent="0.35">
      <c r="A1462">
        <v>1461</v>
      </c>
      <c r="B1462" t="s">
        <v>157</v>
      </c>
      <c r="C1462" t="s">
        <v>375</v>
      </c>
      <c r="D1462">
        <v>2023</v>
      </c>
      <c r="E1462" t="s">
        <v>42</v>
      </c>
      <c r="F1462">
        <v>56.9</v>
      </c>
      <c r="G1462" t="s">
        <v>348</v>
      </c>
      <c r="H1462">
        <f>electric_vehicles_dataset[[#This Row],[Battery_Capacity_kWh]]/electric_vehicles_dataset[[#This Row],[Range_km]]</f>
        <v>0.41532846715328464</v>
      </c>
      <c r="I1462">
        <v>137</v>
      </c>
      <c r="J1462" t="s">
        <v>18</v>
      </c>
      <c r="K1462">
        <v>5</v>
      </c>
      <c r="L1462" s="1">
        <v>67249.429999999993</v>
      </c>
      <c r="M1462" s="1" t="str" cm="1">
        <f t="array" ref="M146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62" t="s">
        <v>257</v>
      </c>
      <c r="O1462" t="s">
        <v>230</v>
      </c>
      <c r="P1462" s="2" t="s">
        <v>389</v>
      </c>
      <c r="Q1462">
        <v>5</v>
      </c>
      <c r="R1462" t="s">
        <v>392</v>
      </c>
      <c r="S1462" s="1">
        <f>electric_vehicles_dataset[[#This Row],[Units_Sold_2024]]*electric_vehicles_dataset[[#This Row],[Price_USD]]</f>
        <v>565365958.00999999</v>
      </c>
      <c r="T1462">
        <v>3</v>
      </c>
      <c r="U1462">
        <v>8407</v>
      </c>
      <c r="V1462">
        <v>3</v>
      </c>
    </row>
    <row r="1463" spans="1:22" x14ac:dyDescent="0.35">
      <c r="A1463">
        <v>1462</v>
      </c>
      <c r="B1463" t="s">
        <v>157</v>
      </c>
      <c r="C1463" t="s">
        <v>375</v>
      </c>
      <c r="D1463">
        <v>2021</v>
      </c>
      <c r="E1463" t="s">
        <v>101</v>
      </c>
      <c r="F1463">
        <v>41.6</v>
      </c>
      <c r="G1463" t="s">
        <v>348</v>
      </c>
      <c r="H1463">
        <f>electric_vehicles_dataset[[#This Row],[Battery_Capacity_kWh]]/electric_vehicles_dataset[[#This Row],[Range_km]]</f>
        <v>0.13419354838709677</v>
      </c>
      <c r="I1463">
        <v>310</v>
      </c>
      <c r="J1463" t="s">
        <v>18</v>
      </c>
      <c r="K1463">
        <v>1</v>
      </c>
      <c r="L1463" s="1">
        <v>80034.350000000006</v>
      </c>
      <c r="M1463" s="1" t="str" cm="1">
        <f t="array" ref="M146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63" t="s">
        <v>228</v>
      </c>
      <c r="O1463" t="s">
        <v>40</v>
      </c>
      <c r="P1463" s="2" t="s">
        <v>395</v>
      </c>
      <c r="Q1463">
        <v>4</v>
      </c>
      <c r="R1463" t="s">
        <v>392</v>
      </c>
      <c r="S1463" s="1">
        <f>electric_vehicles_dataset[[#This Row],[Units_Sold_2024]]*electric_vehicles_dataset[[#This Row],[Price_USD]]</f>
        <v>988584291.20000005</v>
      </c>
      <c r="T1463">
        <v>4</v>
      </c>
      <c r="U1463">
        <v>12352</v>
      </c>
      <c r="V1463">
        <v>5</v>
      </c>
    </row>
    <row r="1464" spans="1:22" x14ac:dyDescent="0.35">
      <c r="A1464">
        <v>1463</v>
      </c>
      <c r="B1464" t="s">
        <v>41</v>
      </c>
      <c r="C1464" t="s">
        <v>374</v>
      </c>
      <c r="D1464">
        <v>2024</v>
      </c>
      <c r="E1464" t="s">
        <v>53</v>
      </c>
      <c r="F1464">
        <v>115.8</v>
      </c>
      <c r="G1464" t="s">
        <v>361</v>
      </c>
      <c r="H1464">
        <f>electric_vehicles_dataset[[#This Row],[Battery_Capacity_kWh]]/electric_vehicles_dataset[[#This Row],[Range_km]]</f>
        <v>0.22930693069306929</v>
      </c>
      <c r="I1464">
        <v>505</v>
      </c>
      <c r="J1464" t="s">
        <v>353</v>
      </c>
      <c r="K1464">
        <v>3</v>
      </c>
      <c r="L1464" s="1">
        <v>120179.48</v>
      </c>
      <c r="M1464" s="1" t="str" cm="1">
        <f t="array" ref="M14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64" t="s">
        <v>277</v>
      </c>
      <c r="O1464" t="s">
        <v>226</v>
      </c>
      <c r="P1464" s="2" t="s">
        <v>395</v>
      </c>
      <c r="Q1464">
        <v>3</v>
      </c>
      <c r="R1464" t="s">
        <v>397</v>
      </c>
      <c r="S1464" s="1">
        <f>electric_vehicles_dataset[[#This Row],[Units_Sold_2024]]*electric_vehicles_dataset[[#This Row],[Price_USD]]</f>
        <v>1775771996.48</v>
      </c>
      <c r="T1464">
        <v>4</v>
      </c>
      <c r="U1464">
        <v>14776</v>
      </c>
      <c r="V1464">
        <v>5</v>
      </c>
    </row>
    <row r="1465" spans="1:22" x14ac:dyDescent="0.35">
      <c r="A1465">
        <v>1464</v>
      </c>
      <c r="B1465" t="s">
        <v>120</v>
      </c>
      <c r="C1465" t="s">
        <v>195</v>
      </c>
      <c r="D1465">
        <v>2021</v>
      </c>
      <c r="E1465" t="s">
        <v>84</v>
      </c>
      <c r="F1465">
        <v>59.1</v>
      </c>
      <c r="G1465" t="s">
        <v>348</v>
      </c>
      <c r="H1465">
        <f>electric_vehicles_dataset[[#This Row],[Battery_Capacity_kWh]]/electric_vehicles_dataset[[#This Row],[Range_km]]</f>
        <v>0.26150442477876107</v>
      </c>
      <c r="I1465">
        <v>226</v>
      </c>
      <c r="J1465" t="s">
        <v>105</v>
      </c>
      <c r="K1465">
        <v>7</v>
      </c>
      <c r="L1465" s="1">
        <v>35862.69</v>
      </c>
      <c r="M1465" s="1" t="str" cm="1">
        <f t="array" ref="M146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65" t="s">
        <v>271</v>
      </c>
      <c r="O1465" t="s">
        <v>161</v>
      </c>
      <c r="P1465" s="2" t="s">
        <v>389</v>
      </c>
      <c r="Q1465">
        <v>1</v>
      </c>
      <c r="R1465" t="s">
        <v>391</v>
      </c>
      <c r="S1465" s="1">
        <f>electric_vehicles_dataset[[#This Row],[Units_Sold_2024]]*electric_vehicles_dataset[[#This Row],[Price_USD]]</f>
        <v>222779030.28</v>
      </c>
      <c r="T1465">
        <v>5</v>
      </c>
      <c r="U1465">
        <v>6212</v>
      </c>
      <c r="V1465">
        <v>5</v>
      </c>
    </row>
    <row r="1466" spans="1:22" x14ac:dyDescent="0.35">
      <c r="A1466">
        <v>1465</v>
      </c>
      <c r="B1466" t="s">
        <v>200</v>
      </c>
      <c r="C1466" t="s">
        <v>338</v>
      </c>
      <c r="D1466">
        <v>2017</v>
      </c>
      <c r="E1466" t="s">
        <v>42</v>
      </c>
      <c r="F1466">
        <v>21.3</v>
      </c>
      <c r="G1466" t="s">
        <v>357</v>
      </c>
      <c r="H1466">
        <f>electric_vehicles_dataset[[#This Row],[Battery_Capacity_kWh]]/electric_vehicles_dataset[[#This Row],[Range_km]]</f>
        <v>0.20882352941176471</v>
      </c>
      <c r="I1466">
        <v>102</v>
      </c>
      <c r="J1466" t="s">
        <v>364</v>
      </c>
      <c r="K1466">
        <v>4</v>
      </c>
      <c r="L1466" s="1">
        <v>35960.44</v>
      </c>
      <c r="M1466" s="1" t="str" cm="1">
        <f t="array" ref="M146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66" t="s">
        <v>117</v>
      </c>
      <c r="O1466" t="s">
        <v>40</v>
      </c>
      <c r="P1466" s="2" t="s">
        <v>395</v>
      </c>
      <c r="Q1466">
        <v>1</v>
      </c>
      <c r="R1466" t="s">
        <v>391</v>
      </c>
      <c r="S1466" s="1">
        <f>electric_vehicles_dataset[[#This Row],[Units_Sold_2024]]*electric_vehicles_dataset[[#This Row],[Price_USD]]</f>
        <v>359316716.48000002</v>
      </c>
      <c r="T1466">
        <v>3</v>
      </c>
      <c r="U1466">
        <v>9992</v>
      </c>
      <c r="V1466">
        <v>5</v>
      </c>
    </row>
    <row r="1467" spans="1:22" x14ac:dyDescent="0.35">
      <c r="A1467">
        <v>1466</v>
      </c>
      <c r="B1467" t="s">
        <v>224</v>
      </c>
      <c r="C1467" t="s">
        <v>297</v>
      </c>
      <c r="D1467">
        <v>2015</v>
      </c>
      <c r="E1467" t="s">
        <v>26</v>
      </c>
      <c r="F1467">
        <v>57</v>
      </c>
      <c r="G1467" t="s">
        <v>348</v>
      </c>
      <c r="H1467">
        <f>electric_vehicles_dataset[[#This Row],[Battery_Capacity_kWh]]/electric_vehicles_dataset[[#This Row],[Range_km]]</f>
        <v>9.8445595854922283E-2</v>
      </c>
      <c r="I1467">
        <v>579</v>
      </c>
      <c r="J1467" t="s">
        <v>364</v>
      </c>
      <c r="K1467">
        <v>3</v>
      </c>
      <c r="L1467" s="1">
        <v>44185.05</v>
      </c>
      <c r="M1467" s="1" t="str" cm="1">
        <f t="array" ref="M146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67" t="s">
        <v>205</v>
      </c>
      <c r="O1467" t="s">
        <v>121</v>
      </c>
      <c r="P1467" s="2" t="s">
        <v>398</v>
      </c>
      <c r="Q1467">
        <v>3</v>
      </c>
      <c r="R1467" t="s">
        <v>397</v>
      </c>
      <c r="S1467" s="1">
        <f>electric_vehicles_dataset[[#This Row],[Units_Sold_2024]]*electric_vehicles_dataset[[#This Row],[Price_USD]]</f>
        <v>680582325.1500001</v>
      </c>
      <c r="T1467">
        <v>5</v>
      </c>
      <c r="U1467">
        <v>15403</v>
      </c>
      <c r="V1467">
        <v>3</v>
      </c>
    </row>
    <row r="1468" spans="1:22" x14ac:dyDescent="0.35">
      <c r="A1468">
        <v>1467</v>
      </c>
      <c r="B1468" t="s">
        <v>108</v>
      </c>
      <c r="C1468" t="s">
        <v>308</v>
      </c>
      <c r="D1468">
        <v>2024</v>
      </c>
      <c r="E1468" t="s">
        <v>47</v>
      </c>
      <c r="F1468">
        <v>76.5</v>
      </c>
      <c r="G1468" t="s">
        <v>351</v>
      </c>
      <c r="H1468">
        <f>electric_vehicles_dataset[[#This Row],[Battery_Capacity_kWh]]/electric_vehicles_dataset[[#This Row],[Range_km]]</f>
        <v>0.28651685393258425</v>
      </c>
      <c r="I1468">
        <v>267</v>
      </c>
      <c r="J1468" t="s">
        <v>34</v>
      </c>
      <c r="K1468">
        <v>4</v>
      </c>
      <c r="L1468" s="1">
        <v>119073.94</v>
      </c>
      <c r="M1468" s="1" t="str" cm="1">
        <f t="array" ref="M146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68" t="s">
        <v>117</v>
      </c>
      <c r="O1468" t="s">
        <v>150</v>
      </c>
      <c r="P1468" s="2" t="s">
        <v>389</v>
      </c>
      <c r="Q1468">
        <v>0</v>
      </c>
      <c r="R1468" t="s">
        <v>390</v>
      </c>
      <c r="S1468" s="1">
        <f>electric_vehicles_dataset[[#This Row],[Units_Sold_2024]]*electric_vehicles_dataset[[#This Row],[Price_USD]]</f>
        <v>590368594.51999998</v>
      </c>
      <c r="T1468">
        <v>5</v>
      </c>
      <c r="U1468">
        <v>4958</v>
      </c>
      <c r="V1468">
        <v>3</v>
      </c>
    </row>
    <row r="1469" spans="1:22" x14ac:dyDescent="0.35">
      <c r="A1469">
        <v>1468</v>
      </c>
      <c r="B1469" t="s">
        <v>207</v>
      </c>
      <c r="C1469" t="s">
        <v>304</v>
      </c>
      <c r="D1469">
        <v>2018</v>
      </c>
      <c r="E1469" t="s">
        <v>104</v>
      </c>
      <c r="F1469">
        <v>128.1</v>
      </c>
      <c r="G1469" t="s">
        <v>352</v>
      </c>
      <c r="H1469">
        <f>electric_vehicles_dataset[[#This Row],[Battery_Capacity_kWh]]/electric_vehicles_dataset[[#This Row],[Range_km]]</f>
        <v>1.1139130434782609</v>
      </c>
      <c r="I1469">
        <v>115</v>
      </c>
      <c r="J1469" t="s">
        <v>356</v>
      </c>
      <c r="K1469">
        <v>12</v>
      </c>
      <c r="L1469" s="1">
        <v>81372.86</v>
      </c>
      <c r="M1469" s="1" t="str" cm="1">
        <f t="array" ref="M14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69" t="s">
        <v>271</v>
      </c>
      <c r="O1469" t="s">
        <v>93</v>
      </c>
      <c r="P1469" s="2" t="s">
        <v>389</v>
      </c>
      <c r="Q1469">
        <v>2</v>
      </c>
      <c r="R1469" t="s">
        <v>391</v>
      </c>
      <c r="S1469" s="1">
        <f>electric_vehicles_dataset[[#This Row],[Units_Sold_2024]]*electric_vehicles_dataset[[#This Row],[Price_USD]]</f>
        <v>1515488144.6400001</v>
      </c>
      <c r="T1469">
        <v>3</v>
      </c>
      <c r="U1469">
        <v>18624</v>
      </c>
      <c r="V1469">
        <v>5</v>
      </c>
    </row>
    <row r="1470" spans="1:22" x14ac:dyDescent="0.35">
      <c r="A1470">
        <v>1469</v>
      </c>
      <c r="B1470" t="s">
        <v>241</v>
      </c>
      <c r="C1470" t="s">
        <v>286</v>
      </c>
      <c r="D1470">
        <v>2025</v>
      </c>
      <c r="E1470" t="s">
        <v>26</v>
      </c>
      <c r="F1470">
        <v>68.099999999999994</v>
      </c>
      <c r="G1470" t="s">
        <v>351</v>
      </c>
      <c r="H1470">
        <f>electric_vehicles_dataset[[#This Row],[Battery_Capacity_kWh]]/electric_vehicles_dataset[[#This Row],[Range_km]]</f>
        <v>0.18257372654155493</v>
      </c>
      <c r="I1470">
        <v>373</v>
      </c>
      <c r="J1470" t="s">
        <v>18</v>
      </c>
      <c r="K1470">
        <v>11</v>
      </c>
      <c r="L1470" s="1">
        <v>40221.01</v>
      </c>
      <c r="M1470" s="1" t="str" cm="1">
        <f t="array" ref="M147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70" t="s">
        <v>117</v>
      </c>
      <c r="O1470" t="s">
        <v>33</v>
      </c>
      <c r="P1470" s="2" t="s">
        <v>393</v>
      </c>
      <c r="Q1470">
        <v>0</v>
      </c>
      <c r="R1470" t="s">
        <v>390</v>
      </c>
      <c r="S1470" s="1">
        <f>electric_vehicles_dataset[[#This Row],[Units_Sold_2024]]*electric_vehicles_dataset[[#This Row],[Price_USD]]</f>
        <v>693490654.42000008</v>
      </c>
      <c r="T1470">
        <v>3</v>
      </c>
      <c r="U1470">
        <v>17242</v>
      </c>
      <c r="V1470">
        <v>4</v>
      </c>
    </row>
    <row r="1471" spans="1:22" x14ac:dyDescent="0.35">
      <c r="A1471">
        <v>1470</v>
      </c>
      <c r="B1471" t="s">
        <v>261</v>
      </c>
      <c r="C1471" t="s">
        <v>278</v>
      </c>
      <c r="D1471">
        <v>2022</v>
      </c>
      <c r="E1471" t="s">
        <v>101</v>
      </c>
      <c r="F1471">
        <v>118.5</v>
      </c>
      <c r="G1471" t="s">
        <v>361</v>
      </c>
      <c r="H1471">
        <f>electric_vehicles_dataset[[#This Row],[Battery_Capacity_kWh]]/electric_vehicles_dataset[[#This Row],[Range_km]]</f>
        <v>0.27367205542725176</v>
      </c>
      <c r="I1471">
        <v>433</v>
      </c>
      <c r="J1471" t="s">
        <v>54</v>
      </c>
      <c r="K1471">
        <v>10</v>
      </c>
      <c r="L1471" s="1">
        <v>30807.31</v>
      </c>
      <c r="M1471" s="1" t="str" cm="1">
        <f t="array" ref="M147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71" t="s">
        <v>100</v>
      </c>
      <c r="O1471" t="s">
        <v>111</v>
      </c>
      <c r="P1471" s="2" t="s">
        <v>389</v>
      </c>
      <c r="Q1471">
        <v>0</v>
      </c>
      <c r="R1471" t="s">
        <v>390</v>
      </c>
      <c r="S1471" s="1">
        <f>electric_vehicles_dataset[[#This Row],[Units_Sold_2024]]*electric_vehicles_dataset[[#This Row],[Price_USD]]</f>
        <v>195996106.22</v>
      </c>
      <c r="T1471">
        <v>3</v>
      </c>
      <c r="U1471">
        <v>6362</v>
      </c>
      <c r="V1471">
        <v>4</v>
      </c>
    </row>
    <row r="1472" spans="1:22" x14ac:dyDescent="0.35">
      <c r="A1472">
        <v>1471</v>
      </c>
      <c r="B1472" t="s">
        <v>68</v>
      </c>
      <c r="C1472" t="s">
        <v>289</v>
      </c>
      <c r="D1472">
        <v>2020</v>
      </c>
      <c r="E1472" t="s">
        <v>26</v>
      </c>
      <c r="F1472">
        <v>72.599999999999994</v>
      </c>
      <c r="G1472" t="s">
        <v>351</v>
      </c>
      <c r="H1472">
        <f>electric_vehicles_dataset[[#This Row],[Battery_Capacity_kWh]]/electric_vehicles_dataset[[#This Row],[Range_km]]</f>
        <v>0.68490566037735845</v>
      </c>
      <c r="I1472">
        <v>106</v>
      </c>
      <c r="J1472" t="s">
        <v>27</v>
      </c>
      <c r="K1472">
        <v>6</v>
      </c>
      <c r="L1472" s="1">
        <v>89504.17</v>
      </c>
      <c r="M1472" s="1" t="str" cm="1">
        <f t="array" ref="M147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72" t="s">
        <v>39</v>
      </c>
      <c r="O1472" t="s">
        <v>23</v>
      </c>
      <c r="P1472" s="2" t="s">
        <v>389</v>
      </c>
      <c r="Q1472">
        <v>0</v>
      </c>
      <c r="R1472" t="s">
        <v>390</v>
      </c>
      <c r="S1472" s="1">
        <f>electric_vehicles_dataset[[#This Row],[Units_Sold_2024]]*electric_vehicles_dataset[[#This Row],[Price_USD]]</f>
        <v>1228981758.27</v>
      </c>
      <c r="T1472">
        <v>3</v>
      </c>
      <c r="U1472">
        <v>13731</v>
      </c>
      <c r="V1472">
        <v>3</v>
      </c>
    </row>
    <row r="1473" spans="1:22" x14ac:dyDescent="0.35">
      <c r="A1473">
        <v>1472</v>
      </c>
      <c r="B1473" t="s">
        <v>51</v>
      </c>
      <c r="C1473" t="s">
        <v>162</v>
      </c>
      <c r="D1473">
        <v>2025</v>
      </c>
      <c r="E1473" t="s">
        <v>101</v>
      </c>
      <c r="F1473">
        <v>145.6</v>
      </c>
      <c r="G1473" t="s">
        <v>386</v>
      </c>
      <c r="H1473">
        <f>electric_vehicles_dataset[[#This Row],[Battery_Capacity_kWh]]/electric_vehicles_dataset[[#This Row],[Range_km]]</f>
        <v>0.83199999999999996</v>
      </c>
      <c r="I1473">
        <v>175</v>
      </c>
      <c r="J1473" t="s">
        <v>38</v>
      </c>
      <c r="K1473">
        <v>10</v>
      </c>
      <c r="L1473" s="1">
        <v>119305.3</v>
      </c>
      <c r="M1473" s="1" t="str" cm="1">
        <f t="array" ref="M147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73" t="s">
        <v>98</v>
      </c>
      <c r="O1473" t="s">
        <v>139</v>
      </c>
      <c r="P1473" s="2" t="s">
        <v>389</v>
      </c>
      <c r="Q1473">
        <v>4</v>
      </c>
      <c r="R1473" t="s">
        <v>392</v>
      </c>
      <c r="S1473" s="1">
        <f>electric_vehicles_dataset[[#This Row],[Units_Sold_2024]]*electric_vehicles_dataset[[#This Row],[Price_USD]]</f>
        <v>1796737818</v>
      </c>
      <c r="T1473">
        <v>3</v>
      </c>
      <c r="U1473">
        <v>15060</v>
      </c>
      <c r="V1473">
        <v>3</v>
      </c>
    </row>
    <row r="1474" spans="1:22" x14ac:dyDescent="0.35">
      <c r="A1474">
        <v>1473</v>
      </c>
      <c r="B1474" t="s">
        <v>112</v>
      </c>
      <c r="C1474" t="s">
        <v>113</v>
      </c>
      <c r="D1474">
        <v>2017</v>
      </c>
      <c r="E1474" t="s">
        <v>183</v>
      </c>
      <c r="F1474">
        <v>58.2</v>
      </c>
      <c r="G1474" t="s">
        <v>348</v>
      </c>
      <c r="H1474">
        <f>electric_vehicles_dataset[[#This Row],[Battery_Capacity_kWh]]/electric_vehicles_dataset[[#This Row],[Range_km]]</f>
        <v>0.22558139534883723</v>
      </c>
      <c r="I1474">
        <v>258</v>
      </c>
      <c r="J1474" t="s">
        <v>105</v>
      </c>
      <c r="K1474">
        <v>10</v>
      </c>
      <c r="L1474" s="1">
        <v>64393.34</v>
      </c>
      <c r="M1474" s="1" t="str" cm="1">
        <f t="array" ref="M14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74" t="s">
        <v>160</v>
      </c>
      <c r="O1474" t="s">
        <v>115</v>
      </c>
      <c r="P1474" s="2" t="s">
        <v>396</v>
      </c>
      <c r="Q1474">
        <v>3</v>
      </c>
      <c r="R1474" t="s">
        <v>397</v>
      </c>
      <c r="S1474" s="1">
        <f>electric_vehicles_dataset[[#This Row],[Units_Sold_2024]]*electric_vehicles_dataset[[#This Row],[Price_USD]]</f>
        <v>877681224.19999993</v>
      </c>
      <c r="T1474">
        <v>5</v>
      </c>
      <c r="U1474">
        <v>13630</v>
      </c>
      <c r="V1474">
        <v>3</v>
      </c>
    </row>
    <row r="1475" spans="1:22" x14ac:dyDescent="0.35">
      <c r="A1475">
        <v>1474</v>
      </c>
      <c r="B1475" t="s">
        <v>193</v>
      </c>
      <c r="C1475" t="s">
        <v>194</v>
      </c>
      <c r="D1475">
        <v>2020</v>
      </c>
      <c r="E1475" t="s">
        <v>58</v>
      </c>
      <c r="F1475">
        <v>140</v>
      </c>
      <c r="G1475" t="s">
        <v>352</v>
      </c>
      <c r="H1475">
        <f>electric_vehicles_dataset[[#This Row],[Battery_Capacity_kWh]]/electric_vehicles_dataset[[#This Row],[Range_km]]</f>
        <v>0.25316455696202533</v>
      </c>
      <c r="I1475">
        <v>553</v>
      </c>
      <c r="J1475" t="s">
        <v>76</v>
      </c>
      <c r="K1475">
        <v>9</v>
      </c>
      <c r="L1475" s="1">
        <v>86452.32</v>
      </c>
      <c r="M1475" s="1" t="str" cm="1">
        <f t="array" ref="M147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75" t="s">
        <v>146</v>
      </c>
      <c r="O1475" t="s">
        <v>92</v>
      </c>
      <c r="P1475" s="2" t="s">
        <v>394</v>
      </c>
      <c r="Q1475">
        <v>4</v>
      </c>
      <c r="R1475" t="s">
        <v>392</v>
      </c>
      <c r="S1475" s="1">
        <f>electric_vehicles_dataset[[#This Row],[Units_Sold_2024]]*electric_vehicles_dataset[[#This Row],[Price_USD]]</f>
        <v>1578878720.1600001</v>
      </c>
      <c r="T1475">
        <v>3</v>
      </c>
      <c r="U1475">
        <v>18263</v>
      </c>
      <c r="V1475">
        <v>4</v>
      </c>
    </row>
    <row r="1476" spans="1:22" x14ac:dyDescent="0.35">
      <c r="A1476">
        <v>1475</v>
      </c>
      <c r="B1476" t="s">
        <v>200</v>
      </c>
      <c r="C1476" t="s">
        <v>368</v>
      </c>
      <c r="D1476">
        <v>2018</v>
      </c>
      <c r="E1476" t="s">
        <v>73</v>
      </c>
      <c r="F1476">
        <v>41.6</v>
      </c>
      <c r="G1476" t="s">
        <v>348</v>
      </c>
      <c r="H1476">
        <f>electric_vehicles_dataset[[#This Row],[Battery_Capacity_kWh]]/electric_vehicles_dataset[[#This Row],[Range_km]]</f>
        <v>0.11093333333333334</v>
      </c>
      <c r="I1476">
        <v>375</v>
      </c>
      <c r="J1476" t="s">
        <v>149</v>
      </c>
      <c r="K1476">
        <v>1</v>
      </c>
      <c r="L1476" s="1">
        <v>72201.03</v>
      </c>
      <c r="M1476" s="1" t="str" cm="1">
        <f t="array" ref="M147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76" t="s">
        <v>55</v>
      </c>
      <c r="O1476" t="s">
        <v>161</v>
      </c>
      <c r="P1476" s="2" t="s">
        <v>389</v>
      </c>
      <c r="Q1476">
        <v>4</v>
      </c>
      <c r="R1476" t="s">
        <v>392</v>
      </c>
      <c r="S1476" s="1">
        <f>electric_vehicles_dataset[[#This Row],[Units_Sold_2024]]*electric_vehicles_dataset[[#This Row],[Price_USD]]</f>
        <v>1203952175.25</v>
      </c>
      <c r="T1476">
        <v>4</v>
      </c>
      <c r="U1476">
        <v>16675</v>
      </c>
      <c r="V1476">
        <v>3</v>
      </c>
    </row>
    <row r="1477" spans="1:22" x14ac:dyDescent="0.35">
      <c r="A1477">
        <v>1476</v>
      </c>
      <c r="B1477" t="s">
        <v>243</v>
      </c>
      <c r="C1477" t="s">
        <v>371</v>
      </c>
      <c r="D1477">
        <v>2023</v>
      </c>
      <c r="E1477" t="s">
        <v>17</v>
      </c>
      <c r="F1477">
        <v>30.3</v>
      </c>
      <c r="G1477" t="s">
        <v>357</v>
      </c>
      <c r="H1477">
        <f>electric_vehicles_dataset[[#This Row],[Battery_Capacity_kWh]]/electric_vehicles_dataset[[#This Row],[Range_km]]</f>
        <v>6.3522012578616352E-2</v>
      </c>
      <c r="I1477">
        <v>477</v>
      </c>
      <c r="J1477" t="s">
        <v>48</v>
      </c>
      <c r="K1477">
        <v>4</v>
      </c>
      <c r="L1477" s="1">
        <v>130220.14</v>
      </c>
      <c r="M1477" s="1" t="str" cm="1">
        <f t="array" ref="M147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77" t="s">
        <v>189</v>
      </c>
      <c r="O1477" t="s">
        <v>134</v>
      </c>
      <c r="P1477" s="2" t="s">
        <v>389</v>
      </c>
      <c r="Q1477">
        <v>4</v>
      </c>
      <c r="R1477" t="s">
        <v>392</v>
      </c>
      <c r="S1477" s="1">
        <f>electric_vehicles_dataset[[#This Row],[Units_Sold_2024]]*electric_vehicles_dataset[[#This Row],[Price_USD]]</f>
        <v>499003576.48000002</v>
      </c>
      <c r="T1477">
        <v>5</v>
      </c>
      <c r="U1477">
        <v>3832</v>
      </c>
      <c r="V1477">
        <v>4</v>
      </c>
    </row>
    <row r="1478" spans="1:22" x14ac:dyDescent="0.35">
      <c r="A1478">
        <v>1477</v>
      </c>
      <c r="B1478" t="s">
        <v>71</v>
      </c>
      <c r="C1478" t="s">
        <v>72</v>
      </c>
      <c r="D1478">
        <v>2022</v>
      </c>
      <c r="E1478" t="s">
        <v>26</v>
      </c>
      <c r="F1478">
        <v>81.5</v>
      </c>
      <c r="G1478" t="s">
        <v>350</v>
      </c>
      <c r="H1478">
        <f>electric_vehicles_dataset[[#This Row],[Battery_Capacity_kWh]]/electric_vehicles_dataset[[#This Row],[Range_km]]</f>
        <v>0.65200000000000002</v>
      </c>
      <c r="I1478">
        <v>125</v>
      </c>
      <c r="J1478" t="s">
        <v>54</v>
      </c>
      <c r="K1478">
        <v>1</v>
      </c>
      <c r="L1478" s="1">
        <v>59499.59</v>
      </c>
      <c r="M1478" s="1" t="str" cm="1">
        <f t="array" ref="M147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78" t="s">
        <v>142</v>
      </c>
      <c r="O1478" t="s">
        <v>115</v>
      </c>
      <c r="P1478" s="2" t="s">
        <v>396</v>
      </c>
      <c r="Q1478">
        <v>2</v>
      </c>
      <c r="R1478" t="s">
        <v>391</v>
      </c>
      <c r="S1478" s="1">
        <f>electric_vehicles_dataset[[#This Row],[Units_Sold_2024]]*electric_vehicles_dataset[[#This Row],[Price_USD]]</f>
        <v>35818753.18</v>
      </c>
      <c r="T1478">
        <v>4</v>
      </c>
      <c r="U1478">
        <v>602</v>
      </c>
      <c r="V1478">
        <v>3</v>
      </c>
    </row>
    <row r="1479" spans="1:22" x14ac:dyDescent="0.35">
      <c r="A1479">
        <v>1478</v>
      </c>
      <c r="B1479" t="s">
        <v>157</v>
      </c>
      <c r="C1479" t="s">
        <v>375</v>
      </c>
      <c r="D1479">
        <v>2023</v>
      </c>
      <c r="E1479" t="s">
        <v>101</v>
      </c>
      <c r="F1479">
        <v>43.2</v>
      </c>
      <c r="G1479" t="s">
        <v>348</v>
      </c>
      <c r="H1479">
        <f>electric_vehicles_dataset[[#This Row],[Battery_Capacity_kWh]]/electric_vehicles_dataset[[#This Row],[Range_km]]</f>
        <v>8.4540117416829749E-2</v>
      </c>
      <c r="I1479">
        <v>511</v>
      </c>
      <c r="J1479" t="s">
        <v>76</v>
      </c>
      <c r="K1479">
        <v>8</v>
      </c>
      <c r="L1479" s="1">
        <v>100627.96</v>
      </c>
      <c r="M1479" s="1" t="str" cm="1">
        <f t="array" ref="M147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79" t="s">
        <v>253</v>
      </c>
      <c r="O1479" t="s">
        <v>23</v>
      </c>
      <c r="P1479" s="2" t="s">
        <v>389</v>
      </c>
      <c r="Q1479">
        <v>5</v>
      </c>
      <c r="R1479" t="s">
        <v>392</v>
      </c>
      <c r="S1479" s="1">
        <f>electric_vehicles_dataset[[#This Row],[Units_Sold_2024]]*electric_vehicles_dataset[[#This Row],[Price_USD]]</f>
        <v>1793693387</v>
      </c>
      <c r="T1479">
        <v>4</v>
      </c>
      <c r="U1479">
        <v>17825</v>
      </c>
      <c r="V1479">
        <v>5</v>
      </c>
    </row>
    <row r="1480" spans="1:22" x14ac:dyDescent="0.35">
      <c r="A1480">
        <v>1479</v>
      </c>
      <c r="B1480" t="s">
        <v>36</v>
      </c>
      <c r="C1480" t="s">
        <v>37</v>
      </c>
      <c r="D1480">
        <v>2025</v>
      </c>
      <c r="E1480" t="s">
        <v>17</v>
      </c>
      <c r="F1480">
        <v>116.7</v>
      </c>
      <c r="G1480" t="s">
        <v>361</v>
      </c>
      <c r="H1480">
        <f>electric_vehicles_dataset[[#This Row],[Battery_Capacity_kWh]]/electric_vehicles_dataset[[#This Row],[Range_km]]</f>
        <v>0.26704805491990846</v>
      </c>
      <c r="I1480">
        <v>437</v>
      </c>
      <c r="J1480" t="s">
        <v>345</v>
      </c>
      <c r="K1480">
        <v>7</v>
      </c>
      <c r="L1480" s="1">
        <v>31493.71</v>
      </c>
      <c r="M1480" s="1" t="str" cm="1">
        <f t="array" ref="M14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80" t="s">
        <v>253</v>
      </c>
      <c r="O1480" t="s">
        <v>89</v>
      </c>
      <c r="P1480" s="2" t="s">
        <v>389</v>
      </c>
      <c r="Q1480">
        <v>5</v>
      </c>
      <c r="R1480" t="s">
        <v>392</v>
      </c>
      <c r="S1480" s="1">
        <f>electric_vehicles_dataset[[#This Row],[Units_Sold_2024]]*electric_vehicles_dataset[[#This Row],[Price_USD]]</f>
        <v>291505779.75999999</v>
      </c>
      <c r="T1480">
        <v>4</v>
      </c>
      <c r="U1480">
        <v>9256</v>
      </c>
      <c r="V1480">
        <v>5</v>
      </c>
    </row>
    <row r="1481" spans="1:22" x14ac:dyDescent="0.35">
      <c r="A1481">
        <v>1480</v>
      </c>
      <c r="B1481" t="s">
        <v>222</v>
      </c>
      <c r="C1481" t="s">
        <v>231</v>
      </c>
      <c r="D1481">
        <v>2018</v>
      </c>
      <c r="E1481" t="s">
        <v>17</v>
      </c>
      <c r="F1481">
        <v>50.8</v>
      </c>
      <c r="G1481" t="s">
        <v>348</v>
      </c>
      <c r="H1481">
        <f>electric_vehicles_dataset[[#This Row],[Battery_Capacity_kWh]]/electric_vehicles_dataset[[#This Row],[Range_km]]</f>
        <v>0.10831556503198293</v>
      </c>
      <c r="I1481">
        <v>469</v>
      </c>
      <c r="J1481" t="s">
        <v>358</v>
      </c>
      <c r="K1481">
        <v>2</v>
      </c>
      <c r="L1481" s="1">
        <v>36659.25</v>
      </c>
      <c r="M1481" s="1" t="str" cm="1">
        <f t="array" ref="M148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81" t="s">
        <v>55</v>
      </c>
      <c r="O1481" t="s">
        <v>139</v>
      </c>
      <c r="P1481" s="2" t="s">
        <v>389</v>
      </c>
      <c r="Q1481">
        <v>2</v>
      </c>
      <c r="R1481" t="s">
        <v>391</v>
      </c>
      <c r="S1481" s="1">
        <f>electric_vehicles_dataset[[#This Row],[Units_Sold_2024]]*electric_vehicles_dataset[[#This Row],[Price_USD]]</f>
        <v>609276735</v>
      </c>
      <c r="T1481">
        <v>4</v>
      </c>
      <c r="U1481">
        <v>16620</v>
      </c>
      <c r="V1481">
        <v>3</v>
      </c>
    </row>
    <row r="1482" spans="1:22" x14ac:dyDescent="0.35">
      <c r="A1482">
        <v>1481</v>
      </c>
      <c r="B1482" t="s">
        <v>51</v>
      </c>
      <c r="C1482" t="s">
        <v>239</v>
      </c>
      <c r="D1482">
        <v>2022</v>
      </c>
      <c r="E1482" t="s">
        <v>84</v>
      </c>
      <c r="F1482">
        <v>85.7</v>
      </c>
      <c r="G1482" t="s">
        <v>350</v>
      </c>
      <c r="H1482">
        <f>electric_vehicles_dataset[[#This Row],[Battery_Capacity_kWh]]/electric_vehicles_dataset[[#This Row],[Range_km]]</f>
        <v>0.14427609427609428</v>
      </c>
      <c r="I1482">
        <v>594</v>
      </c>
      <c r="J1482" t="s">
        <v>356</v>
      </c>
      <c r="K1482">
        <v>12</v>
      </c>
      <c r="L1482" s="1">
        <v>35107.21</v>
      </c>
      <c r="M1482" s="1" t="str" cm="1">
        <f t="array" ref="M14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82" t="s">
        <v>177</v>
      </c>
      <c r="O1482" t="s">
        <v>95</v>
      </c>
      <c r="P1482" s="2" t="s">
        <v>394</v>
      </c>
      <c r="Q1482">
        <v>5</v>
      </c>
      <c r="R1482" t="s">
        <v>392</v>
      </c>
      <c r="S1482" s="1">
        <f>electric_vehicles_dataset[[#This Row],[Units_Sold_2024]]*electric_vehicles_dataset[[#This Row],[Price_USD]]</f>
        <v>622169975.62</v>
      </c>
      <c r="T1482">
        <v>3</v>
      </c>
      <c r="U1482">
        <v>17722</v>
      </c>
      <c r="V1482">
        <v>5</v>
      </c>
    </row>
    <row r="1483" spans="1:22" x14ac:dyDescent="0.35">
      <c r="A1483">
        <v>1482</v>
      </c>
      <c r="B1483" t="s">
        <v>241</v>
      </c>
      <c r="C1483" t="s">
        <v>247</v>
      </c>
      <c r="D1483">
        <v>2025</v>
      </c>
      <c r="E1483" t="s">
        <v>53</v>
      </c>
      <c r="F1483">
        <v>147.30000000000001</v>
      </c>
      <c r="G1483" t="s">
        <v>386</v>
      </c>
      <c r="H1483">
        <f>electric_vehicles_dataset[[#This Row],[Battery_Capacity_kWh]]/electric_vehicles_dataset[[#This Row],[Range_km]]</f>
        <v>0.27127071823204424</v>
      </c>
      <c r="I1483">
        <v>543</v>
      </c>
      <c r="J1483" t="s">
        <v>353</v>
      </c>
      <c r="K1483">
        <v>1</v>
      </c>
      <c r="L1483" s="1">
        <v>53963.06</v>
      </c>
      <c r="M1483" s="1" t="str" cm="1">
        <f t="array" ref="M148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83" t="s">
        <v>77</v>
      </c>
      <c r="O1483" t="s">
        <v>44</v>
      </c>
      <c r="P1483" s="2" t="s">
        <v>389</v>
      </c>
      <c r="Q1483">
        <v>3</v>
      </c>
      <c r="R1483" t="s">
        <v>397</v>
      </c>
      <c r="S1483" s="1">
        <f>electric_vehicles_dataset[[#This Row],[Units_Sold_2024]]*electric_vehicles_dataset[[#This Row],[Price_USD]]</f>
        <v>978781982.27999997</v>
      </c>
      <c r="T1483">
        <v>4</v>
      </c>
      <c r="U1483">
        <v>18138</v>
      </c>
      <c r="V1483">
        <v>4</v>
      </c>
    </row>
    <row r="1484" spans="1:22" x14ac:dyDescent="0.35">
      <c r="A1484">
        <v>1483</v>
      </c>
      <c r="B1484" t="s">
        <v>21</v>
      </c>
      <c r="C1484" t="s">
        <v>349</v>
      </c>
      <c r="D1484">
        <v>2020</v>
      </c>
      <c r="E1484" t="s">
        <v>101</v>
      </c>
      <c r="F1484">
        <v>124</v>
      </c>
      <c r="G1484" t="s">
        <v>352</v>
      </c>
      <c r="H1484">
        <f>electric_vehicles_dataset[[#This Row],[Battery_Capacity_kWh]]/electric_vehicles_dataset[[#This Row],[Range_km]]</f>
        <v>0.55605381165919288</v>
      </c>
      <c r="I1484">
        <v>223</v>
      </c>
      <c r="J1484" t="s">
        <v>85</v>
      </c>
      <c r="K1484">
        <v>8</v>
      </c>
      <c r="L1484" s="1">
        <v>43372.61</v>
      </c>
      <c r="M1484" s="1" t="str" cm="1">
        <f t="array" ref="M148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84" t="s">
        <v>39</v>
      </c>
      <c r="O1484" t="s">
        <v>164</v>
      </c>
      <c r="P1484" s="2" t="s">
        <v>394</v>
      </c>
      <c r="Q1484">
        <v>3</v>
      </c>
      <c r="R1484" t="s">
        <v>397</v>
      </c>
      <c r="S1484" s="1">
        <f>electric_vehicles_dataset[[#This Row],[Units_Sold_2024]]*electric_vehicles_dataset[[#This Row],[Price_USD]]</f>
        <v>225841180.27000001</v>
      </c>
      <c r="T1484">
        <v>5</v>
      </c>
      <c r="U1484">
        <v>5207</v>
      </c>
      <c r="V1484">
        <v>3</v>
      </c>
    </row>
    <row r="1485" spans="1:22" x14ac:dyDescent="0.35">
      <c r="A1485">
        <v>1484</v>
      </c>
      <c r="B1485" t="s">
        <v>144</v>
      </c>
      <c r="C1485" t="s">
        <v>145</v>
      </c>
      <c r="D1485">
        <v>2018</v>
      </c>
      <c r="E1485" t="s">
        <v>90</v>
      </c>
      <c r="F1485">
        <v>137.6</v>
      </c>
      <c r="G1485" t="s">
        <v>352</v>
      </c>
      <c r="H1485">
        <f>electric_vehicles_dataset[[#This Row],[Battery_Capacity_kWh]]/electric_vehicles_dataset[[#This Row],[Range_km]]</f>
        <v>0.30782997762863534</v>
      </c>
      <c r="I1485">
        <v>447</v>
      </c>
      <c r="J1485" t="s">
        <v>76</v>
      </c>
      <c r="K1485">
        <v>6</v>
      </c>
      <c r="L1485" s="1">
        <v>144236.76</v>
      </c>
      <c r="M1485" s="1" t="str" cm="1">
        <f t="array" ref="M148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85" t="s">
        <v>165</v>
      </c>
      <c r="O1485" t="s">
        <v>134</v>
      </c>
      <c r="P1485" s="2" t="s">
        <v>389</v>
      </c>
      <c r="Q1485">
        <v>5</v>
      </c>
      <c r="R1485" t="s">
        <v>392</v>
      </c>
      <c r="S1485" s="1">
        <f>electric_vehicles_dataset[[#This Row],[Units_Sold_2024]]*electric_vehicles_dataset[[#This Row],[Price_USD]]</f>
        <v>650219314.08000004</v>
      </c>
      <c r="T1485">
        <v>5</v>
      </c>
      <c r="U1485">
        <v>4508</v>
      </c>
      <c r="V1485">
        <v>5</v>
      </c>
    </row>
    <row r="1486" spans="1:22" x14ac:dyDescent="0.35">
      <c r="A1486">
        <v>1485</v>
      </c>
      <c r="B1486" t="s">
        <v>112</v>
      </c>
      <c r="C1486" t="s">
        <v>138</v>
      </c>
      <c r="D1486">
        <v>2022</v>
      </c>
      <c r="E1486" t="s">
        <v>183</v>
      </c>
      <c r="F1486">
        <v>28.3</v>
      </c>
      <c r="G1486" t="s">
        <v>357</v>
      </c>
      <c r="H1486">
        <f>electric_vehicles_dataset[[#This Row],[Battery_Capacity_kWh]]/electric_vehicles_dataset[[#This Row],[Range_km]]</f>
        <v>9.4648829431438125E-2</v>
      </c>
      <c r="I1486">
        <v>299</v>
      </c>
      <c r="J1486" t="s">
        <v>364</v>
      </c>
      <c r="K1486">
        <v>10</v>
      </c>
      <c r="L1486" s="1">
        <v>98675.39</v>
      </c>
      <c r="M1486" s="1" t="str" cm="1">
        <f t="array" ref="M148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86" t="s">
        <v>254</v>
      </c>
      <c r="O1486" t="s">
        <v>78</v>
      </c>
      <c r="P1486" s="2" t="s">
        <v>389</v>
      </c>
      <c r="Q1486">
        <v>3</v>
      </c>
      <c r="R1486" t="s">
        <v>397</v>
      </c>
      <c r="S1486" s="1">
        <f>electric_vehicles_dataset[[#This Row],[Units_Sold_2024]]*electric_vehicles_dataset[[#This Row],[Price_USD]]</f>
        <v>1319783341.25</v>
      </c>
      <c r="T1486">
        <v>4</v>
      </c>
      <c r="U1486">
        <v>13375</v>
      </c>
      <c r="V1486">
        <v>3</v>
      </c>
    </row>
    <row r="1487" spans="1:22" x14ac:dyDescent="0.35">
      <c r="A1487">
        <v>1486</v>
      </c>
      <c r="B1487" t="s">
        <v>125</v>
      </c>
      <c r="C1487" t="s">
        <v>291</v>
      </c>
      <c r="D1487">
        <v>2018</v>
      </c>
      <c r="E1487" t="s">
        <v>104</v>
      </c>
      <c r="F1487">
        <v>111.4</v>
      </c>
      <c r="G1487" t="s">
        <v>361</v>
      </c>
      <c r="H1487">
        <f>electric_vehicles_dataset[[#This Row],[Battery_Capacity_kWh]]/electric_vehicles_dataset[[#This Row],[Range_km]]</f>
        <v>0.28202531645569623</v>
      </c>
      <c r="I1487">
        <v>395</v>
      </c>
      <c r="J1487" t="s">
        <v>34</v>
      </c>
      <c r="K1487">
        <v>11</v>
      </c>
      <c r="L1487" s="1">
        <v>73596.25</v>
      </c>
      <c r="M1487" s="1" t="str" cm="1">
        <f t="array" ref="M148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87" t="s">
        <v>22</v>
      </c>
      <c r="O1487" t="s">
        <v>150</v>
      </c>
      <c r="P1487" s="2" t="s">
        <v>389</v>
      </c>
      <c r="Q1487">
        <v>0</v>
      </c>
      <c r="R1487" t="s">
        <v>390</v>
      </c>
      <c r="S1487" s="1">
        <f>electric_vehicles_dataset[[#This Row],[Units_Sold_2024]]*electric_vehicles_dataset[[#This Row],[Price_USD]]</f>
        <v>901848447.5</v>
      </c>
      <c r="T1487">
        <v>3</v>
      </c>
      <c r="U1487">
        <v>12254</v>
      </c>
      <c r="V1487">
        <v>4</v>
      </c>
    </row>
    <row r="1488" spans="1:22" x14ac:dyDescent="0.35">
      <c r="A1488">
        <v>1487</v>
      </c>
      <c r="B1488" t="s">
        <v>241</v>
      </c>
      <c r="C1488" t="s">
        <v>247</v>
      </c>
      <c r="D1488">
        <v>2022</v>
      </c>
      <c r="E1488" t="s">
        <v>84</v>
      </c>
      <c r="F1488">
        <v>48.1</v>
      </c>
      <c r="G1488" t="s">
        <v>348</v>
      </c>
      <c r="H1488">
        <f>electric_vehicles_dataset[[#This Row],[Battery_Capacity_kWh]]/electric_vehicles_dataset[[#This Row],[Range_km]]</f>
        <v>0.16140939597315437</v>
      </c>
      <c r="I1488">
        <v>298</v>
      </c>
      <c r="J1488" t="s">
        <v>34</v>
      </c>
      <c r="K1488">
        <v>1</v>
      </c>
      <c r="L1488" s="1">
        <v>141375.16</v>
      </c>
      <c r="M1488" s="1" t="str" cm="1">
        <f t="array" ref="M148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88" t="s">
        <v>279</v>
      </c>
      <c r="O1488" t="s">
        <v>164</v>
      </c>
      <c r="P1488" s="2" t="s">
        <v>394</v>
      </c>
      <c r="Q1488">
        <v>3</v>
      </c>
      <c r="R1488" t="s">
        <v>397</v>
      </c>
      <c r="S1488" s="1">
        <f>electric_vehicles_dataset[[#This Row],[Units_Sold_2024]]*electric_vehicles_dataset[[#This Row],[Price_USD]]</f>
        <v>1718415069.8</v>
      </c>
      <c r="T1488">
        <v>3</v>
      </c>
      <c r="U1488">
        <v>12155</v>
      </c>
      <c r="V1488">
        <v>3</v>
      </c>
    </row>
    <row r="1489" spans="1:22" x14ac:dyDescent="0.35">
      <c r="A1489">
        <v>1488</v>
      </c>
      <c r="B1489" t="s">
        <v>60</v>
      </c>
      <c r="C1489" t="s">
        <v>61</v>
      </c>
      <c r="D1489">
        <v>2023</v>
      </c>
      <c r="E1489" t="s">
        <v>53</v>
      </c>
      <c r="F1489">
        <v>103.3</v>
      </c>
      <c r="G1489" t="s">
        <v>361</v>
      </c>
      <c r="H1489">
        <f>electric_vehicles_dataset[[#This Row],[Battery_Capacity_kWh]]/electric_vehicles_dataset[[#This Row],[Range_km]]</f>
        <v>0.23967517401392111</v>
      </c>
      <c r="I1489">
        <v>431</v>
      </c>
      <c r="J1489" t="s">
        <v>358</v>
      </c>
      <c r="K1489">
        <v>4</v>
      </c>
      <c r="L1489" s="1">
        <v>30961.71</v>
      </c>
      <c r="M1489" s="1" t="str" cm="1">
        <f t="array" ref="M148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89" t="s">
        <v>19</v>
      </c>
      <c r="O1489" t="s">
        <v>167</v>
      </c>
      <c r="P1489" s="2" t="s">
        <v>394</v>
      </c>
      <c r="Q1489">
        <v>3</v>
      </c>
      <c r="R1489" t="s">
        <v>397</v>
      </c>
      <c r="S1489" s="1">
        <f>electric_vehicles_dataset[[#This Row],[Units_Sold_2024]]*electric_vehicles_dataset[[#This Row],[Price_USD]]</f>
        <v>119976626.25</v>
      </c>
      <c r="T1489">
        <v>5</v>
      </c>
      <c r="U1489">
        <v>3875</v>
      </c>
      <c r="V1489">
        <v>3</v>
      </c>
    </row>
    <row r="1490" spans="1:22" x14ac:dyDescent="0.35">
      <c r="A1490">
        <v>1489</v>
      </c>
      <c r="B1490" t="s">
        <v>71</v>
      </c>
      <c r="C1490" t="s">
        <v>72</v>
      </c>
      <c r="D1490">
        <v>2018</v>
      </c>
      <c r="E1490" t="s">
        <v>73</v>
      </c>
      <c r="F1490">
        <v>23.7</v>
      </c>
      <c r="G1490" t="s">
        <v>357</v>
      </c>
      <c r="H1490">
        <f>electric_vehicles_dataset[[#This Row],[Battery_Capacity_kWh]]/electric_vehicles_dataset[[#This Row],[Range_km]]</f>
        <v>8.2867132867132862E-2</v>
      </c>
      <c r="I1490">
        <v>286</v>
      </c>
      <c r="J1490" t="s">
        <v>18</v>
      </c>
      <c r="K1490">
        <v>1</v>
      </c>
      <c r="L1490" s="1">
        <v>61475.08</v>
      </c>
      <c r="M1490" s="1" t="str" cm="1">
        <f t="array" ref="M149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90" t="s">
        <v>177</v>
      </c>
      <c r="O1490" t="s">
        <v>63</v>
      </c>
      <c r="P1490" s="2" t="s">
        <v>389</v>
      </c>
      <c r="Q1490">
        <v>3</v>
      </c>
      <c r="R1490" t="s">
        <v>397</v>
      </c>
      <c r="S1490" s="1">
        <f>electric_vehicles_dataset[[#This Row],[Units_Sold_2024]]*electric_vehicles_dataset[[#This Row],[Price_USD]]</f>
        <v>1203497641.1600001</v>
      </c>
      <c r="T1490">
        <v>5</v>
      </c>
      <c r="U1490">
        <v>19577</v>
      </c>
      <c r="V1490">
        <v>4</v>
      </c>
    </row>
    <row r="1491" spans="1:22" x14ac:dyDescent="0.35">
      <c r="A1491">
        <v>1490</v>
      </c>
      <c r="B1491" t="s">
        <v>128</v>
      </c>
      <c r="C1491" t="s">
        <v>284</v>
      </c>
      <c r="D1491">
        <v>2024</v>
      </c>
      <c r="E1491" t="s">
        <v>73</v>
      </c>
      <c r="F1491">
        <v>127.2</v>
      </c>
      <c r="G1491" t="s">
        <v>352</v>
      </c>
      <c r="H1491">
        <f>electric_vehicles_dataset[[#This Row],[Battery_Capacity_kWh]]/electric_vehicles_dataset[[#This Row],[Range_km]]</f>
        <v>0.2134228187919463</v>
      </c>
      <c r="I1491">
        <v>596</v>
      </c>
      <c r="J1491" t="s">
        <v>34</v>
      </c>
      <c r="K1491">
        <v>1</v>
      </c>
      <c r="L1491" s="1">
        <v>104793.72</v>
      </c>
      <c r="M1491" s="1" t="str" cm="1">
        <f t="array" ref="M149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91" t="s">
        <v>19</v>
      </c>
      <c r="O1491" t="s">
        <v>199</v>
      </c>
      <c r="P1491" s="2" t="s">
        <v>394</v>
      </c>
      <c r="Q1491">
        <v>3</v>
      </c>
      <c r="R1491" t="s">
        <v>397</v>
      </c>
      <c r="S1491" s="1">
        <f>electric_vehicles_dataset[[#This Row],[Units_Sold_2024]]*electric_vehicles_dataset[[#This Row],[Price_USD]]</f>
        <v>1013879241</v>
      </c>
      <c r="T1491">
        <v>4</v>
      </c>
      <c r="U1491">
        <v>9675</v>
      </c>
      <c r="V1491">
        <v>5</v>
      </c>
    </row>
    <row r="1492" spans="1:22" x14ac:dyDescent="0.35">
      <c r="A1492">
        <v>1491</v>
      </c>
      <c r="B1492" t="s">
        <v>56</v>
      </c>
      <c r="C1492" t="s">
        <v>57</v>
      </c>
      <c r="D1492">
        <v>2019</v>
      </c>
      <c r="E1492" t="s">
        <v>73</v>
      </c>
      <c r="F1492">
        <v>96.8</v>
      </c>
      <c r="G1492" t="s">
        <v>350</v>
      </c>
      <c r="H1492">
        <f>electric_vehicles_dataset[[#This Row],[Battery_Capacity_kWh]]/electric_vehicles_dataset[[#This Row],[Range_km]]</f>
        <v>0.56941176470588228</v>
      </c>
      <c r="I1492">
        <v>170</v>
      </c>
      <c r="J1492" t="s">
        <v>27</v>
      </c>
      <c r="K1492">
        <v>4</v>
      </c>
      <c r="L1492" s="1">
        <v>119659.99</v>
      </c>
      <c r="M1492" s="1" t="str" cm="1">
        <f t="array" ref="M14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92" t="s">
        <v>160</v>
      </c>
      <c r="O1492" t="s">
        <v>265</v>
      </c>
      <c r="P1492" s="2" t="s">
        <v>389</v>
      </c>
      <c r="Q1492">
        <v>2</v>
      </c>
      <c r="R1492" t="s">
        <v>391</v>
      </c>
      <c r="S1492" s="1">
        <f>electric_vehicles_dataset[[#This Row],[Units_Sold_2024]]*electric_vehicles_dataset[[#This Row],[Price_USD]]</f>
        <v>2185709377.3400002</v>
      </c>
      <c r="T1492">
        <v>4</v>
      </c>
      <c r="U1492">
        <v>18266</v>
      </c>
      <c r="V1492">
        <v>3</v>
      </c>
    </row>
    <row r="1493" spans="1:22" x14ac:dyDescent="0.35">
      <c r="A1493">
        <v>1492</v>
      </c>
      <c r="B1493" t="s">
        <v>16</v>
      </c>
      <c r="C1493" t="s">
        <v>347</v>
      </c>
      <c r="D1493">
        <v>2023</v>
      </c>
      <c r="E1493" t="s">
        <v>90</v>
      </c>
      <c r="F1493">
        <v>70.599999999999994</v>
      </c>
      <c r="G1493" t="s">
        <v>351</v>
      </c>
      <c r="H1493">
        <f>electric_vehicles_dataset[[#This Row],[Battery_Capacity_kWh]]/electric_vehicles_dataset[[#This Row],[Range_km]]</f>
        <v>0.16729857819905211</v>
      </c>
      <c r="I1493">
        <v>422</v>
      </c>
      <c r="J1493" t="s">
        <v>149</v>
      </c>
      <c r="K1493">
        <v>7</v>
      </c>
      <c r="L1493" s="1">
        <v>64007.22</v>
      </c>
      <c r="M1493" s="1" t="str" cm="1">
        <f t="array" ref="M149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93" t="s">
        <v>142</v>
      </c>
      <c r="O1493" t="s">
        <v>265</v>
      </c>
      <c r="P1493" s="2" t="s">
        <v>389</v>
      </c>
      <c r="Q1493">
        <v>3</v>
      </c>
      <c r="R1493" t="s">
        <v>397</v>
      </c>
      <c r="S1493" s="1">
        <f>electric_vehicles_dataset[[#This Row],[Units_Sold_2024]]*electric_vehicles_dataset[[#This Row],[Price_USD]]</f>
        <v>1252365266.52</v>
      </c>
      <c r="T1493">
        <v>3</v>
      </c>
      <c r="U1493">
        <v>19566</v>
      </c>
      <c r="V1493">
        <v>5</v>
      </c>
    </row>
    <row r="1494" spans="1:22" x14ac:dyDescent="0.35">
      <c r="A1494">
        <v>1493</v>
      </c>
      <c r="B1494" t="s">
        <v>187</v>
      </c>
      <c r="C1494" t="s">
        <v>302</v>
      </c>
      <c r="D1494">
        <v>2016</v>
      </c>
      <c r="E1494" t="s">
        <v>130</v>
      </c>
      <c r="F1494">
        <v>100.1</v>
      </c>
      <c r="G1494" t="s">
        <v>361</v>
      </c>
      <c r="H1494">
        <f>electric_vehicles_dataset[[#This Row],[Battery_Capacity_kWh]]/electric_vehicles_dataset[[#This Row],[Range_km]]</f>
        <v>0.7944444444444444</v>
      </c>
      <c r="I1494">
        <v>126</v>
      </c>
      <c r="J1494" t="s">
        <v>38</v>
      </c>
      <c r="K1494">
        <v>9</v>
      </c>
      <c r="L1494" s="1">
        <v>75586.34</v>
      </c>
      <c r="M1494" s="1" t="str" cm="1">
        <f t="array" ref="M149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94" t="s">
        <v>100</v>
      </c>
      <c r="O1494" t="s">
        <v>169</v>
      </c>
      <c r="P1494" s="2" t="s">
        <v>394</v>
      </c>
      <c r="Q1494">
        <v>3</v>
      </c>
      <c r="R1494" t="s">
        <v>397</v>
      </c>
      <c r="S1494" s="1">
        <f>electric_vehicles_dataset[[#This Row],[Units_Sold_2024]]*electric_vehicles_dataset[[#This Row],[Price_USD]]</f>
        <v>1047777845.0799999</v>
      </c>
      <c r="T1494">
        <v>5</v>
      </c>
      <c r="U1494">
        <v>13862</v>
      </c>
      <c r="V1494">
        <v>3</v>
      </c>
    </row>
    <row r="1495" spans="1:22" x14ac:dyDescent="0.35">
      <c r="A1495">
        <v>1494</v>
      </c>
      <c r="B1495" t="s">
        <v>96</v>
      </c>
      <c r="C1495" t="s">
        <v>292</v>
      </c>
      <c r="D1495">
        <v>2019</v>
      </c>
      <c r="E1495" t="s">
        <v>130</v>
      </c>
      <c r="F1495">
        <v>132.30000000000001</v>
      </c>
      <c r="G1495" t="s">
        <v>352</v>
      </c>
      <c r="H1495">
        <f>electric_vehicles_dataset[[#This Row],[Battery_Capacity_kWh]]/electric_vehicles_dataset[[#This Row],[Range_km]]</f>
        <v>0.74325842696629218</v>
      </c>
      <c r="I1495">
        <v>178</v>
      </c>
      <c r="J1495" t="s">
        <v>358</v>
      </c>
      <c r="K1495">
        <v>11</v>
      </c>
      <c r="L1495" s="1">
        <v>78732.600000000006</v>
      </c>
      <c r="M1495" s="1" t="str" cm="1">
        <f t="array" ref="M14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495" t="s">
        <v>131</v>
      </c>
      <c r="O1495" t="s">
        <v>63</v>
      </c>
      <c r="P1495" s="2" t="s">
        <v>389</v>
      </c>
      <c r="Q1495">
        <v>0</v>
      </c>
      <c r="R1495" t="s">
        <v>390</v>
      </c>
      <c r="S1495" s="1">
        <f>electric_vehicles_dataset[[#This Row],[Units_Sold_2024]]*electric_vehicles_dataset[[#This Row],[Price_USD]]</f>
        <v>966049002.00000012</v>
      </c>
      <c r="T1495">
        <v>3</v>
      </c>
      <c r="U1495">
        <v>12270</v>
      </c>
      <c r="V1495">
        <v>3</v>
      </c>
    </row>
    <row r="1496" spans="1:22" x14ac:dyDescent="0.35">
      <c r="A1496">
        <v>1495</v>
      </c>
      <c r="B1496" t="s">
        <v>94</v>
      </c>
      <c r="C1496" t="s">
        <v>99</v>
      </c>
      <c r="D1496">
        <v>2016</v>
      </c>
      <c r="E1496" t="s">
        <v>130</v>
      </c>
      <c r="F1496">
        <v>50</v>
      </c>
      <c r="G1496" t="s">
        <v>348</v>
      </c>
      <c r="H1496">
        <f>electric_vehicles_dataset[[#This Row],[Battery_Capacity_kWh]]/electric_vehicles_dataset[[#This Row],[Range_km]]</f>
        <v>0.10615711252653928</v>
      </c>
      <c r="I1496">
        <v>471</v>
      </c>
      <c r="J1496" t="s">
        <v>364</v>
      </c>
      <c r="K1496">
        <v>5</v>
      </c>
      <c r="L1496" s="1">
        <v>127075.6</v>
      </c>
      <c r="M1496" s="1" t="str" cm="1">
        <f t="array" ref="M149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96" t="s">
        <v>146</v>
      </c>
      <c r="O1496" t="s">
        <v>199</v>
      </c>
      <c r="P1496" s="2" t="s">
        <v>394</v>
      </c>
      <c r="Q1496">
        <v>0</v>
      </c>
      <c r="R1496" t="s">
        <v>390</v>
      </c>
      <c r="S1496" s="1">
        <f>electric_vehicles_dataset[[#This Row],[Units_Sold_2024]]*electric_vehicles_dataset[[#This Row],[Price_USD]]</f>
        <v>536894410</v>
      </c>
      <c r="T1496">
        <v>4</v>
      </c>
      <c r="U1496">
        <v>4225</v>
      </c>
      <c r="V1496">
        <v>3</v>
      </c>
    </row>
    <row r="1497" spans="1:22" x14ac:dyDescent="0.35">
      <c r="A1497">
        <v>1496</v>
      </c>
      <c r="B1497" t="s">
        <v>180</v>
      </c>
      <c r="C1497" t="s">
        <v>181</v>
      </c>
      <c r="D1497">
        <v>2016</v>
      </c>
      <c r="E1497" t="s">
        <v>31</v>
      </c>
      <c r="F1497">
        <v>51.9</v>
      </c>
      <c r="G1497" t="s">
        <v>348</v>
      </c>
      <c r="H1497">
        <f>electric_vehicles_dataset[[#This Row],[Battery_Capacity_kWh]]/electric_vehicles_dataset[[#This Row],[Range_km]]</f>
        <v>0.19438202247191011</v>
      </c>
      <c r="I1497">
        <v>267</v>
      </c>
      <c r="J1497" t="s">
        <v>54</v>
      </c>
      <c r="K1497">
        <v>6</v>
      </c>
      <c r="L1497" s="1">
        <v>61841.79</v>
      </c>
      <c r="M1497" s="1" t="str" cm="1">
        <f t="array" ref="M14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97" t="s">
        <v>66</v>
      </c>
      <c r="O1497" t="s">
        <v>110</v>
      </c>
      <c r="P1497" s="2" t="s">
        <v>394</v>
      </c>
      <c r="Q1497">
        <v>5</v>
      </c>
      <c r="R1497" t="s">
        <v>392</v>
      </c>
      <c r="S1497" s="1">
        <f>electric_vehicles_dataset[[#This Row],[Units_Sold_2024]]*electric_vehicles_dataset[[#This Row],[Price_USD]]</f>
        <v>648163800.99000001</v>
      </c>
      <c r="T1497">
        <v>5</v>
      </c>
      <c r="U1497">
        <v>10481</v>
      </c>
      <c r="V1497">
        <v>5</v>
      </c>
    </row>
    <row r="1498" spans="1:22" x14ac:dyDescent="0.35">
      <c r="A1498">
        <v>1497</v>
      </c>
      <c r="B1498" t="s">
        <v>45</v>
      </c>
      <c r="C1498" t="s">
        <v>46</v>
      </c>
      <c r="D1498">
        <v>2015</v>
      </c>
      <c r="E1498" t="s">
        <v>104</v>
      </c>
      <c r="F1498">
        <v>113.9</v>
      </c>
      <c r="G1498" t="s">
        <v>361</v>
      </c>
      <c r="H1498">
        <f>electric_vehicles_dataset[[#This Row],[Battery_Capacity_kWh]]/electric_vehicles_dataset[[#This Row],[Range_km]]</f>
        <v>0.6987730061349694</v>
      </c>
      <c r="I1498">
        <v>163</v>
      </c>
      <c r="J1498" t="s">
        <v>364</v>
      </c>
      <c r="K1498">
        <v>9</v>
      </c>
      <c r="L1498" s="1">
        <v>141888.71</v>
      </c>
      <c r="M1498" s="1" t="str" cm="1">
        <f t="array" ref="M149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498" t="s">
        <v>238</v>
      </c>
      <c r="O1498" t="s">
        <v>182</v>
      </c>
      <c r="P1498" s="2" t="s">
        <v>394</v>
      </c>
      <c r="Q1498">
        <v>3</v>
      </c>
      <c r="R1498" t="s">
        <v>397</v>
      </c>
      <c r="S1498" s="1">
        <f>electric_vehicles_dataset[[#This Row],[Units_Sold_2024]]*electric_vehicles_dataset[[#This Row],[Price_USD]]</f>
        <v>1881160517.1799998</v>
      </c>
      <c r="T1498">
        <v>5</v>
      </c>
      <c r="U1498">
        <v>13258</v>
      </c>
      <c r="V1498">
        <v>5</v>
      </c>
    </row>
    <row r="1499" spans="1:22" x14ac:dyDescent="0.35">
      <c r="A1499">
        <v>1498</v>
      </c>
      <c r="B1499" t="s">
        <v>192</v>
      </c>
      <c r="C1499" t="s">
        <v>198</v>
      </c>
      <c r="D1499">
        <v>2020</v>
      </c>
      <c r="E1499" t="s">
        <v>42</v>
      </c>
      <c r="F1499">
        <v>135.1</v>
      </c>
      <c r="G1499" t="s">
        <v>352</v>
      </c>
      <c r="H1499">
        <f>electric_vehicles_dataset[[#This Row],[Battery_Capacity_kWh]]/electric_vehicles_dataset[[#This Row],[Range_km]]</f>
        <v>0.35274151436031331</v>
      </c>
      <c r="I1499">
        <v>383</v>
      </c>
      <c r="J1499" t="s">
        <v>353</v>
      </c>
      <c r="K1499">
        <v>3</v>
      </c>
      <c r="L1499" s="1">
        <v>68672.3</v>
      </c>
      <c r="M1499" s="1" t="str" cm="1">
        <f t="array" ref="M14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499" t="s">
        <v>160</v>
      </c>
      <c r="O1499" t="s">
        <v>230</v>
      </c>
      <c r="P1499" s="2" t="s">
        <v>389</v>
      </c>
      <c r="Q1499">
        <v>5</v>
      </c>
      <c r="R1499" t="s">
        <v>392</v>
      </c>
      <c r="S1499" s="1">
        <f>electric_vehicles_dataset[[#This Row],[Units_Sold_2024]]*electric_vehicles_dataset[[#This Row],[Price_USD]]</f>
        <v>842128414.89999998</v>
      </c>
      <c r="T1499">
        <v>3</v>
      </c>
      <c r="U1499">
        <v>12263</v>
      </c>
      <c r="V1499">
        <v>5</v>
      </c>
    </row>
    <row r="1500" spans="1:22" x14ac:dyDescent="0.35">
      <c r="A1500">
        <v>1499</v>
      </c>
      <c r="B1500" t="s">
        <v>45</v>
      </c>
      <c r="C1500" t="s">
        <v>132</v>
      </c>
      <c r="D1500">
        <v>2017</v>
      </c>
      <c r="E1500" t="s">
        <v>31</v>
      </c>
      <c r="F1500">
        <v>149.19999999999999</v>
      </c>
      <c r="G1500" t="s">
        <v>386</v>
      </c>
      <c r="H1500">
        <f>electric_vehicles_dataset[[#This Row],[Battery_Capacity_kWh]]/electric_vehicles_dataset[[#This Row],[Range_km]]</f>
        <v>0.32791208791208787</v>
      </c>
      <c r="I1500">
        <v>455</v>
      </c>
      <c r="J1500" t="s">
        <v>356</v>
      </c>
      <c r="K1500">
        <v>10</v>
      </c>
      <c r="L1500" s="1">
        <v>126154.66</v>
      </c>
      <c r="M1500" s="1" t="str" cm="1">
        <f t="array" ref="M150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00" t="s">
        <v>143</v>
      </c>
      <c r="O1500" t="s">
        <v>107</v>
      </c>
      <c r="P1500" s="2" t="s">
        <v>394</v>
      </c>
      <c r="Q1500">
        <v>0</v>
      </c>
      <c r="R1500" t="s">
        <v>390</v>
      </c>
      <c r="S1500" s="1">
        <f>electric_vehicles_dataset[[#This Row],[Units_Sold_2024]]*electric_vehicles_dataset[[#This Row],[Price_USD]]</f>
        <v>677702833.51999998</v>
      </c>
      <c r="T1500">
        <v>3</v>
      </c>
      <c r="U1500">
        <v>5372</v>
      </c>
      <c r="V1500">
        <v>3</v>
      </c>
    </row>
    <row r="1501" spans="1:22" x14ac:dyDescent="0.35">
      <c r="A1501">
        <v>1500</v>
      </c>
      <c r="B1501" t="s">
        <v>157</v>
      </c>
      <c r="C1501" t="s">
        <v>158</v>
      </c>
      <c r="D1501">
        <v>2021</v>
      </c>
      <c r="E1501" t="s">
        <v>130</v>
      </c>
      <c r="F1501">
        <v>51.4</v>
      </c>
      <c r="G1501" t="s">
        <v>348</v>
      </c>
      <c r="H1501">
        <f>electric_vehicles_dataset[[#This Row],[Battery_Capacity_kWh]]/electric_vehicles_dataset[[#This Row],[Range_km]]</f>
        <v>0.26091370558375632</v>
      </c>
      <c r="I1501">
        <v>197</v>
      </c>
      <c r="J1501" t="s">
        <v>18</v>
      </c>
      <c r="K1501">
        <v>8</v>
      </c>
      <c r="L1501" s="1">
        <v>102444.53</v>
      </c>
      <c r="M1501" s="1" t="str" cm="1">
        <f t="array" ref="M150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01" t="s">
        <v>152</v>
      </c>
      <c r="O1501" t="s">
        <v>124</v>
      </c>
      <c r="P1501" s="2" t="s">
        <v>389</v>
      </c>
      <c r="Q1501">
        <v>1</v>
      </c>
      <c r="R1501" t="s">
        <v>391</v>
      </c>
      <c r="S1501" s="1">
        <f>electric_vehicles_dataset[[#This Row],[Units_Sold_2024]]*electric_vehicles_dataset[[#This Row],[Price_USD]]</f>
        <v>970457032.68999994</v>
      </c>
      <c r="T1501">
        <v>4</v>
      </c>
      <c r="U1501">
        <v>9473</v>
      </c>
      <c r="V1501">
        <v>4</v>
      </c>
    </row>
    <row r="1502" spans="1:22" x14ac:dyDescent="0.35">
      <c r="A1502">
        <v>1501</v>
      </c>
      <c r="B1502" t="s">
        <v>108</v>
      </c>
      <c r="C1502" t="s">
        <v>119</v>
      </c>
      <c r="D1502">
        <v>2023</v>
      </c>
      <c r="E1502" t="s">
        <v>53</v>
      </c>
      <c r="F1502">
        <v>37.299999999999997</v>
      </c>
      <c r="G1502" t="s">
        <v>357</v>
      </c>
      <c r="H1502">
        <f>electric_vehicles_dataset[[#This Row],[Battery_Capacity_kWh]]/electric_vehicles_dataset[[#This Row],[Range_km]]</f>
        <v>0.16801801801801799</v>
      </c>
      <c r="I1502">
        <v>222</v>
      </c>
      <c r="J1502" t="s">
        <v>85</v>
      </c>
      <c r="K1502">
        <v>10</v>
      </c>
      <c r="L1502" s="1">
        <v>142172.56</v>
      </c>
      <c r="M1502" s="1" t="str" cm="1">
        <f t="array" ref="M150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02" t="s">
        <v>32</v>
      </c>
      <c r="O1502" t="s">
        <v>110</v>
      </c>
      <c r="P1502" s="2" t="s">
        <v>394</v>
      </c>
      <c r="Q1502">
        <v>4</v>
      </c>
      <c r="R1502" t="s">
        <v>392</v>
      </c>
      <c r="S1502" s="1">
        <f>electric_vehicles_dataset[[#This Row],[Units_Sold_2024]]*electric_vehicles_dataset[[#This Row],[Price_USD]]</f>
        <v>2205380750.7199998</v>
      </c>
      <c r="T1502">
        <v>4</v>
      </c>
      <c r="U1502">
        <v>15512</v>
      </c>
      <c r="V1502">
        <v>3</v>
      </c>
    </row>
    <row r="1503" spans="1:22" x14ac:dyDescent="0.35">
      <c r="A1503">
        <v>1502</v>
      </c>
      <c r="B1503" t="s">
        <v>155</v>
      </c>
      <c r="C1503" t="s">
        <v>156</v>
      </c>
      <c r="D1503">
        <v>2018</v>
      </c>
      <c r="E1503" t="s">
        <v>17</v>
      </c>
      <c r="F1503">
        <v>89.5</v>
      </c>
      <c r="G1503" t="s">
        <v>350</v>
      </c>
      <c r="H1503">
        <f>electric_vehicles_dataset[[#This Row],[Battery_Capacity_kWh]]/electric_vehicles_dataset[[#This Row],[Range_km]]</f>
        <v>0.32783882783882784</v>
      </c>
      <c r="I1503">
        <v>273</v>
      </c>
      <c r="J1503" t="s">
        <v>18</v>
      </c>
      <c r="K1503">
        <v>1</v>
      </c>
      <c r="L1503" s="1">
        <v>58595.82</v>
      </c>
      <c r="M1503" s="1" t="str" cm="1">
        <f t="array" ref="M150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03" t="s">
        <v>229</v>
      </c>
      <c r="O1503" t="s">
        <v>135</v>
      </c>
      <c r="P1503" s="2" t="s">
        <v>389</v>
      </c>
      <c r="Q1503">
        <v>2</v>
      </c>
      <c r="R1503" t="s">
        <v>391</v>
      </c>
      <c r="S1503" s="1">
        <f>electric_vehicles_dataset[[#This Row],[Units_Sold_2024]]*electric_vehicles_dataset[[#This Row],[Price_USD]]</f>
        <v>812724023.39999998</v>
      </c>
      <c r="T1503">
        <v>4</v>
      </c>
      <c r="U1503">
        <v>13870</v>
      </c>
      <c r="V1503">
        <v>5</v>
      </c>
    </row>
    <row r="1504" spans="1:22" x14ac:dyDescent="0.35">
      <c r="A1504">
        <v>1503</v>
      </c>
      <c r="B1504" t="s">
        <v>112</v>
      </c>
      <c r="C1504" t="s">
        <v>138</v>
      </c>
      <c r="D1504">
        <v>2017</v>
      </c>
      <c r="E1504" t="s">
        <v>47</v>
      </c>
      <c r="F1504">
        <v>56.3</v>
      </c>
      <c r="G1504" t="s">
        <v>348</v>
      </c>
      <c r="H1504">
        <f>electric_vehicles_dataset[[#This Row],[Battery_Capacity_kWh]]/electric_vehicles_dataset[[#This Row],[Range_km]]</f>
        <v>0.33117647058823529</v>
      </c>
      <c r="I1504">
        <v>170</v>
      </c>
      <c r="J1504" t="s">
        <v>359</v>
      </c>
      <c r="K1504">
        <v>12</v>
      </c>
      <c r="L1504" s="1">
        <v>89357.28</v>
      </c>
      <c r="M1504" s="1" t="str" cm="1">
        <f t="array" ref="M150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04" t="s">
        <v>228</v>
      </c>
      <c r="O1504" t="s">
        <v>139</v>
      </c>
      <c r="P1504" s="2" t="s">
        <v>389</v>
      </c>
      <c r="Q1504">
        <v>1</v>
      </c>
      <c r="R1504" t="s">
        <v>391</v>
      </c>
      <c r="S1504" s="1">
        <f>electric_vehicles_dataset[[#This Row],[Units_Sold_2024]]*electric_vehicles_dataset[[#This Row],[Price_USD]]</f>
        <v>1414972528.8</v>
      </c>
      <c r="T1504">
        <v>4</v>
      </c>
      <c r="U1504">
        <v>15835</v>
      </c>
      <c r="V1504">
        <v>4</v>
      </c>
    </row>
    <row r="1505" spans="1:22" x14ac:dyDescent="0.35">
      <c r="A1505">
        <v>1504</v>
      </c>
      <c r="B1505" t="s">
        <v>241</v>
      </c>
      <c r="C1505" t="s">
        <v>242</v>
      </c>
      <c r="D1505">
        <v>2016</v>
      </c>
      <c r="E1505" t="s">
        <v>104</v>
      </c>
      <c r="F1505">
        <v>129.6</v>
      </c>
      <c r="G1505" t="s">
        <v>352</v>
      </c>
      <c r="H1505">
        <f>electric_vehicles_dataset[[#This Row],[Battery_Capacity_kWh]]/electric_vehicles_dataset[[#This Row],[Range_km]]</f>
        <v>0.28609271523178809</v>
      </c>
      <c r="I1505">
        <v>453</v>
      </c>
      <c r="J1505" t="s">
        <v>38</v>
      </c>
      <c r="K1505">
        <v>2</v>
      </c>
      <c r="L1505" s="1">
        <v>76680.479999999996</v>
      </c>
      <c r="M1505" s="1" t="str" cm="1">
        <f t="array" ref="M150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05" t="s">
        <v>172</v>
      </c>
      <c r="O1505" t="s">
        <v>89</v>
      </c>
      <c r="P1505" s="2" t="s">
        <v>389</v>
      </c>
      <c r="Q1505">
        <v>5</v>
      </c>
      <c r="R1505" t="s">
        <v>392</v>
      </c>
      <c r="S1505" s="1">
        <f>electric_vehicles_dataset[[#This Row],[Units_Sold_2024]]*electric_vehicles_dataset[[#This Row],[Price_USD]]</f>
        <v>1384696107.8399999</v>
      </c>
      <c r="T1505">
        <v>4</v>
      </c>
      <c r="U1505">
        <v>18058</v>
      </c>
      <c r="V1505">
        <v>3</v>
      </c>
    </row>
    <row r="1506" spans="1:22" x14ac:dyDescent="0.35">
      <c r="A1506">
        <v>1505</v>
      </c>
      <c r="B1506" t="s">
        <v>64</v>
      </c>
      <c r="C1506" t="s">
        <v>65</v>
      </c>
      <c r="D1506">
        <v>2015</v>
      </c>
      <c r="E1506" t="s">
        <v>17</v>
      </c>
      <c r="F1506">
        <v>128.19999999999999</v>
      </c>
      <c r="G1506" t="s">
        <v>352</v>
      </c>
      <c r="H1506">
        <f>electric_vehicles_dataset[[#This Row],[Battery_Capacity_kWh]]/electric_vehicles_dataset[[#This Row],[Range_km]]</f>
        <v>0.25487077534791253</v>
      </c>
      <c r="I1506">
        <v>503</v>
      </c>
      <c r="J1506" t="s">
        <v>54</v>
      </c>
      <c r="K1506">
        <v>12</v>
      </c>
      <c r="L1506" s="1">
        <v>55613.29</v>
      </c>
      <c r="M1506" s="1" t="str" cm="1">
        <f t="array" ref="M150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06" t="s">
        <v>240</v>
      </c>
      <c r="O1506" t="s">
        <v>86</v>
      </c>
      <c r="P1506" s="2" t="s">
        <v>389</v>
      </c>
      <c r="Q1506">
        <v>3</v>
      </c>
      <c r="R1506" t="s">
        <v>397</v>
      </c>
      <c r="S1506" s="1">
        <f>electric_vehicles_dataset[[#This Row],[Units_Sold_2024]]*electric_vehicles_dataset[[#This Row],[Price_USD]]</f>
        <v>233742657.87</v>
      </c>
      <c r="T1506">
        <v>3</v>
      </c>
      <c r="U1506">
        <v>4203</v>
      </c>
      <c r="V1506">
        <v>4</v>
      </c>
    </row>
    <row r="1507" spans="1:22" x14ac:dyDescent="0.35">
      <c r="A1507">
        <v>1506</v>
      </c>
      <c r="B1507" t="s">
        <v>96</v>
      </c>
      <c r="C1507" t="s">
        <v>116</v>
      </c>
      <c r="D1507">
        <v>2022</v>
      </c>
      <c r="E1507" t="s">
        <v>31</v>
      </c>
      <c r="F1507">
        <v>46.5</v>
      </c>
      <c r="G1507" t="s">
        <v>348</v>
      </c>
      <c r="H1507">
        <f>electric_vehicles_dataset[[#This Row],[Battery_Capacity_kWh]]/electric_vehicles_dataset[[#This Row],[Range_km]]</f>
        <v>0.33695652173913043</v>
      </c>
      <c r="I1507">
        <v>138</v>
      </c>
      <c r="J1507" t="s">
        <v>358</v>
      </c>
      <c r="K1507">
        <v>11</v>
      </c>
      <c r="L1507" s="1">
        <v>90747.839999999997</v>
      </c>
      <c r="M1507" s="1" t="str" cm="1">
        <f t="array" ref="M15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07" t="s">
        <v>210</v>
      </c>
      <c r="O1507" t="s">
        <v>164</v>
      </c>
      <c r="P1507" s="2" t="s">
        <v>394</v>
      </c>
      <c r="Q1507">
        <v>2</v>
      </c>
      <c r="R1507" t="s">
        <v>391</v>
      </c>
      <c r="S1507" s="1">
        <f>electric_vehicles_dataset[[#This Row],[Units_Sold_2024]]*electric_vehicles_dataset[[#This Row],[Price_USD]]</f>
        <v>1317114149.76</v>
      </c>
      <c r="T1507">
        <v>4</v>
      </c>
      <c r="U1507">
        <v>14514</v>
      </c>
      <c r="V1507">
        <v>3</v>
      </c>
    </row>
    <row r="1508" spans="1:22" x14ac:dyDescent="0.35">
      <c r="A1508">
        <v>1507</v>
      </c>
      <c r="B1508" t="s">
        <v>192</v>
      </c>
      <c r="C1508" t="s">
        <v>366</v>
      </c>
      <c r="D1508">
        <v>2020</v>
      </c>
      <c r="E1508" t="s">
        <v>84</v>
      </c>
      <c r="F1508">
        <v>50.9</v>
      </c>
      <c r="G1508" t="s">
        <v>348</v>
      </c>
      <c r="H1508">
        <f>electric_vehicles_dataset[[#This Row],[Battery_Capacity_kWh]]/electric_vehicles_dataset[[#This Row],[Range_km]]</f>
        <v>0.10019685039370078</v>
      </c>
      <c r="I1508">
        <v>508</v>
      </c>
      <c r="J1508" t="s">
        <v>27</v>
      </c>
      <c r="K1508">
        <v>4</v>
      </c>
      <c r="L1508" s="1">
        <v>67583.03</v>
      </c>
      <c r="M1508" s="1" t="str" cm="1">
        <f t="array" ref="M150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08" t="s">
        <v>217</v>
      </c>
      <c r="O1508" t="s">
        <v>206</v>
      </c>
      <c r="P1508" s="2" t="s">
        <v>394</v>
      </c>
      <c r="Q1508">
        <v>1</v>
      </c>
      <c r="R1508" t="s">
        <v>391</v>
      </c>
      <c r="S1508" s="1">
        <f>electric_vehicles_dataset[[#This Row],[Units_Sold_2024]]*electric_vehicles_dataset[[#This Row],[Price_USD]]</f>
        <v>83194709.929999992</v>
      </c>
      <c r="T1508">
        <v>4</v>
      </c>
      <c r="U1508">
        <v>1231</v>
      </c>
      <c r="V1508">
        <v>5</v>
      </c>
    </row>
    <row r="1509" spans="1:22" x14ac:dyDescent="0.35">
      <c r="A1509">
        <v>1508</v>
      </c>
      <c r="B1509" t="s">
        <v>173</v>
      </c>
      <c r="C1509" t="s">
        <v>306</v>
      </c>
      <c r="D1509">
        <v>2019</v>
      </c>
      <c r="E1509" t="s">
        <v>17</v>
      </c>
      <c r="F1509">
        <v>27</v>
      </c>
      <c r="G1509" t="s">
        <v>357</v>
      </c>
      <c r="H1509">
        <f>electric_vehicles_dataset[[#This Row],[Battery_Capacity_kWh]]/electric_vehicles_dataset[[#This Row],[Range_km]]</f>
        <v>4.8300536672629693E-2</v>
      </c>
      <c r="I1509">
        <v>559</v>
      </c>
      <c r="J1509" t="s">
        <v>356</v>
      </c>
      <c r="K1509">
        <v>4</v>
      </c>
      <c r="L1509" s="1">
        <v>111047.7</v>
      </c>
      <c r="M1509" s="1" t="str" cm="1">
        <f t="array" ref="M150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09" t="s">
        <v>196</v>
      </c>
      <c r="O1509" t="s">
        <v>226</v>
      </c>
      <c r="P1509" s="2" t="s">
        <v>395</v>
      </c>
      <c r="Q1509">
        <v>2</v>
      </c>
      <c r="R1509" t="s">
        <v>391</v>
      </c>
      <c r="S1509" s="1">
        <f>electric_vehicles_dataset[[#This Row],[Units_Sold_2024]]*electric_vehicles_dataset[[#This Row],[Price_USD]]</f>
        <v>501047222.39999998</v>
      </c>
      <c r="T1509">
        <v>4</v>
      </c>
      <c r="U1509">
        <v>4512</v>
      </c>
      <c r="V1509">
        <v>4</v>
      </c>
    </row>
    <row r="1510" spans="1:22" x14ac:dyDescent="0.35">
      <c r="A1510">
        <v>1509</v>
      </c>
      <c r="B1510" t="s">
        <v>261</v>
      </c>
      <c r="C1510" t="s">
        <v>372</v>
      </c>
      <c r="D1510">
        <v>2021</v>
      </c>
      <c r="E1510" t="s">
        <v>26</v>
      </c>
      <c r="F1510">
        <v>40.799999999999997</v>
      </c>
      <c r="G1510" t="s">
        <v>348</v>
      </c>
      <c r="H1510">
        <f>electric_vehicles_dataset[[#This Row],[Battery_Capacity_kWh]]/electric_vehicles_dataset[[#This Row],[Range_km]]</f>
        <v>7.6836158192090387E-2</v>
      </c>
      <c r="I1510">
        <v>531</v>
      </c>
      <c r="J1510" t="s">
        <v>27</v>
      </c>
      <c r="K1510">
        <v>3</v>
      </c>
      <c r="L1510" s="1">
        <v>78580.56</v>
      </c>
      <c r="M1510" s="1" t="str" cm="1">
        <f t="array" ref="M151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10" t="s">
        <v>271</v>
      </c>
      <c r="O1510" t="s">
        <v>206</v>
      </c>
      <c r="P1510" s="2" t="s">
        <v>394</v>
      </c>
      <c r="Q1510">
        <v>2</v>
      </c>
      <c r="R1510" t="s">
        <v>391</v>
      </c>
      <c r="S1510" s="1">
        <f>electric_vehicles_dataset[[#This Row],[Units_Sold_2024]]*electric_vehicles_dataset[[#This Row],[Price_USD]]</f>
        <v>675557074.31999993</v>
      </c>
      <c r="T1510">
        <v>4</v>
      </c>
      <c r="U1510">
        <v>8597</v>
      </c>
      <c r="V1510">
        <v>4</v>
      </c>
    </row>
    <row r="1511" spans="1:22" x14ac:dyDescent="0.35">
      <c r="A1511">
        <v>1510</v>
      </c>
      <c r="B1511" t="s">
        <v>259</v>
      </c>
      <c r="C1511" t="s">
        <v>311</v>
      </c>
      <c r="D1511">
        <v>2019</v>
      </c>
      <c r="E1511" t="s">
        <v>90</v>
      </c>
      <c r="F1511">
        <v>78.2</v>
      </c>
      <c r="G1511" t="s">
        <v>351</v>
      </c>
      <c r="H1511">
        <f>electric_vehicles_dataset[[#This Row],[Battery_Capacity_kWh]]/electric_vehicles_dataset[[#This Row],[Range_km]]</f>
        <v>0.29961685823754791</v>
      </c>
      <c r="I1511">
        <v>261</v>
      </c>
      <c r="J1511" t="s">
        <v>356</v>
      </c>
      <c r="K1511">
        <v>8</v>
      </c>
      <c r="L1511" s="1">
        <v>55063.89</v>
      </c>
      <c r="M1511" s="1" t="str" cm="1">
        <f t="array" ref="M15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11" t="s">
        <v>212</v>
      </c>
      <c r="O1511" t="s">
        <v>124</v>
      </c>
      <c r="P1511" s="2" t="s">
        <v>389</v>
      </c>
      <c r="Q1511">
        <v>5</v>
      </c>
      <c r="R1511" t="s">
        <v>392</v>
      </c>
      <c r="S1511" s="1">
        <f>electric_vehicles_dataset[[#This Row],[Units_Sold_2024]]*electric_vehicles_dataset[[#This Row],[Price_USD]]</f>
        <v>1036247345.91</v>
      </c>
      <c r="T1511">
        <v>5</v>
      </c>
      <c r="U1511">
        <v>18819</v>
      </c>
      <c r="V1511">
        <v>5</v>
      </c>
    </row>
    <row r="1512" spans="1:22" x14ac:dyDescent="0.35">
      <c r="A1512">
        <v>1511</v>
      </c>
      <c r="B1512" t="s">
        <v>215</v>
      </c>
      <c r="C1512" t="s">
        <v>377</v>
      </c>
      <c r="D1512">
        <v>2024</v>
      </c>
      <c r="E1512" t="s">
        <v>183</v>
      </c>
      <c r="F1512">
        <v>30.1</v>
      </c>
      <c r="G1512" t="s">
        <v>357</v>
      </c>
      <c r="H1512">
        <f>electric_vehicles_dataset[[#This Row],[Battery_Capacity_kWh]]/electric_vehicles_dataset[[#This Row],[Range_km]]</f>
        <v>7.4137931034482768E-2</v>
      </c>
      <c r="I1512">
        <v>406</v>
      </c>
      <c r="J1512" t="s">
        <v>358</v>
      </c>
      <c r="K1512">
        <v>1</v>
      </c>
      <c r="L1512" s="1">
        <v>118811.14</v>
      </c>
      <c r="M1512" s="1" t="str" cm="1">
        <f t="array" ref="M151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12" t="s">
        <v>146</v>
      </c>
      <c r="O1512" t="s">
        <v>89</v>
      </c>
      <c r="P1512" s="2" t="s">
        <v>389</v>
      </c>
      <c r="Q1512">
        <v>5</v>
      </c>
      <c r="R1512" t="s">
        <v>392</v>
      </c>
      <c r="S1512" s="1">
        <f>electric_vehicles_dataset[[#This Row],[Units_Sold_2024]]*electric_vehicles_dataset[[#This Row],[Price_USD]]</f>
        <v>807915752</v>
      </c>
      <c r="T1512">
        <v>5</v>
      </c>
      <c r="U1512">
        <v>6800</v>
      </c>
      <c r="V1512">
        <v>3</v>
      </c>
    </row>
    <row r="1513" spans="1:22" x14ac:dyDescent="0.35">
      <c r="A1513">
        <v>1512</v>
      </c>
      <c r="B1513" t="s">
        <v>241</v>
      </c>
      <c r="C1513" t="s">
        <v>242</v>
      </c>
      <c r="D1513">
        <v>2021</v>
      </c>
      <c r="E1513" t="s">
        <v>133</v>
      </c>
      <c r="F1513">
        <v>48.1</v>
      </c>
      <c r="G1513" t="s">
        <v>348</v>
      </c>
      <c r="H1513">
        <f>electric_vehicles_dataset[[#This Row],[Battery_Capacity_kWh]]/electric_vehicles_dataset[[#This Row],[Range_km]]</f>
        <v>0.28802395209580839</v>
      </c>
      <c r="I1513">
        <v>167</v>
      </c>
      <c r="J1513" t="s">
        <v>353</v>
      </c>
      <c r="K1513">
        <v>12</v>
      </c>
      <c r="L1513" s="1">
        <v>60871.19</v>
      </c>
      <c r="M1513" s="1" t="str" cm="1">
        <f t="array" ref="M15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13" t="s">
        <v>28</v>
      </c>
      <c r="O1513" t="s">
        <v>93</v>
      </c>
      <c r="P1513" s="2" t="s">
        <v>389</v>
      </c>
      <c r="Q1513">
        <v>5</v>
      </c>
      <c r="R1513" t="s">
        <v>392</v>
      </c>
      <c r="S1513" s="1">
        <f>electric_vehicles_dataset[[#This Row],[Units_Sold_2024]]*electric_vehicles_dataset[[#This Row],[Price_USD]]</f>
        <v>1064454499.5300001</v>
      </c>
      <c r="T1513">
        <v>5</v>
      </c>
      <c r="U1513">
        <v>17487</v>
      </c>
      <c r="V1513">
        <v>5</v>
      </c>
    </row>
    <row r="1514" spans="1:22" x14ac:dyDescent="0.35">
      <c r="A1514">
        <v>1513</v>
      </c>
      <c r="B1514" t="s">
        <v>29</v>
      </c>
      <c r="C1514" t="s">
        <v>30</v>
      </c>
      <c r="D1514">
        <v>2020</v>
      </c>
      <c r="E1514" t="s">
        <v>90</v>
      </c>
      <c r="F1514">
        <v>57.5</v>
      </c>
      <c r="G1514" t="s">
        <v>348</v>
      </c>
      <c r="H1514">
        <f>electric_vehicles_dataset[[#This Row],[Battery_Capacity_kWh]]/electric_vehicles_dataset[[#This Row],[Range_km]]</f>
        <v>9.965337954939342E-2</v>
      </c>
      <c r="I1514">
        <v>577</v>
      </c>
      <c r="J1514" t="s">
        <v>38</v>
      </c>
      <c r="K1514">
        <v>3</v>
      </c>
      <c r="L1514" s="1">
        <v>31954.04</v>
      </c>
      <c r="M1514" s="1" t="str" cm="1">
        <f t="array" ref="M151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14" t="s">
        <v>35</v>
      </c>
      <c r="O1514" t="s">
        <v>92</v>
      </c>
      <c r="P1514" s="2" t="s">
        <v>394</v>
      </c>
      <c r="Q1514">
        <v>3</v>
      </c>
      <c r="R1514" t="s">
        <v>397</v>
      </c>
      <c r="S1514" s="1">
        <f>electric_vehicles_dataset[[#This Row],[Units_Sold_2024]]*electric_vehicles_dataset[[#This Row],[Price_USD]]</f>
        <v>143920996.16</v>
      </c>
      <c r="T1514">
        <v>3</v>
      </c>
      <c r="U1514">
        <v>4504</v>
      </c>
      <c r="V1514">
        <v>3</v>
      </c>
    </row>
    <row r="1515" spans="1:22" x14ac:dyDescent="0.35">
      <c r="A1515">
        <v>1514</v>
      </c>
      <c r="B1515" t="s">
        <v>241</v>
      </c>
      <c r="C1515" t="s">
        <v>247</v>
      </c>
      <c r="D1515">
        <v>2023</v>
      </c>
      <c r="E1515" t="s">
        <v>17</v>
      </c>
      <c r="F1515">
        <v>139</v>
      </c>
      <c r="G1515" t="s">
        <v>352</v>
      </c>
      <c r="H1515">
        <f>electric_vehicles_dataset[[#This Row],[Battery_Capacity_kWh]]/electric_vehicles_dataset[[#This Row],[Range_km]]</f>
        <v>0.23965517241379311</v>
      </c>
      <c r="I1515">
        <v>580</v>
      </c>
      <c r="J1515" t="s">
        <v>356</v>
      </c>
      <c r="K1515">
        <v>4</v>
      </c>
      <c r="L1515" s="1">
        <v>129205.31</v>
      </c>
      <c r="M1515" s="1" t="str" cm="1">
        <f t="array" ref="M151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15" t="s">
        <v>238</v>
      </c>
      <c r="O1515" t="s">
        <v>23</v>
      </c>
      <c r="P1515" s="2" t="s">
        <v>389</v>
      </c>
      <c r="Q1515">
        <v>5</v>
      </c>
      <c r="R1515" t="s">
        <v>392</v>
      </c>
      <c r="S1515" s="1">
        <f>electric_vehicles_dataset[[#This Row],[Units_Sold_2024]]*electric_vehicles_dataset[[#This Row],[Price_USD]]</f>
        <v>271847972.24000001</v>
      </c>
      <c r="T1515">
        <v>4</v>
      </c>
      <c r="U1515">
        <v>2104</v>
      </c>
      <c r="V1515">
        <v>5</v>
      </c>
    </row>
    <row r="1516" spans="1:22" x14ac:dyDescent="0.35">
      <c r="A1516">
        <v>1515</v>
      </c>
      <c r="B1516" t="s">
        <v>193</v>
      </c>
      <c r="C1516" t="s">
        <v>203</v>
      </c>
      <c r="D1516">
        <v>2023</v>
      </c>
      <c r="E1516" t="s">
        <v>101</v>
      </c>
      <c r="F1516">
        <v>138.19999999999999</v>
      </c>
      <c r="G1516" t="s">
        <v>352</v>
      </c>
      <c r="H1516">
        <f>electric_vehicles_dataset[[#This Row],[Battery_Capacity_kWh]]/electric_vehicles_dataset[[#This Row],[Range_km]]</f>
        <v>0.83757575757575753</v>
      </c>
      <c r="I1516">
        <v>165</v>
      </c>
      <c r="J1516" t="s">
        <v>359</v>
      </c>
      <c r="K1516">
        <v>6</v>
      </c>
      <c r="L1516" s="1">
        <v>107155.2</v>
      </c>
      <c r="M1516" s="1" t="str" cm="1">
        <f t="array" ref="M151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16" t="s">
        <v>39</v>
      </c>
      <c r="O1516" t="s">
        <v>226</v>
      </c>
      <c r="P1516" s="2" t="s">
        <v>395</v>
      </c>
      <c r="Q1516">
        <v>5</v>
      </c>
      <c r="R1516" t="s">
        <v>392</v>
      </c>
      <c r="S1516" s="1">
        <f>electric_vehicles_dataset[[#This Row],[Units_Sold_2024]]*electric_vehicles_dataset[[#This Row],[Price_USD]]</f>
        <v>236598681.59999999</v>
      </c>
      <c r="T1516">
        <v>4</v>
      </c>
      <c r="U1516">
        <v>2208</v>
      </c>
      <c r="V1516">
        <v>4</v>
      </c>
    </row>
    <row r="1517" spans="1:22" x14ac:dyDescent="0.35">
      <c r="A1517">
        <v>1516</v>
      </c>
      <c r="B1517" t="s">
        <v>207</v>
      </c>
      <c r="C1517" t="s">
        <v>304</v>
      </c>
      <c r="D1517">
        <v>2021</v>
      </c>
      <c r="E1517" t="s">
        <v>17</v>
      </c>
      <c r="F1517">
        <v>30</v>
      </c>
      <c r="G1517" t="s">
        <v>357</v>
      </c>
      <c r="H1517">
        <f>electric_vehicles_dataset[[#This Row],[Battery_Capacity_kWh]]/electric_vehicles_dataset[[#This Row],[Range_km]]</f>
        <v>6.3291139240506333E-2</v>
      </c>
      <c r="I1517">
        <v>474</v>
      </c>
      <c r="J1517" t="s">
        <v>359</v>
      </c>
      <c r="K1517">
        <v>9</v>
      </c>
      <c r="L1517" s="1">
        <v>60650.14</v>
      </c>
      <c r="M1517" s="1" t="str" cm="1">
        <f t="array" ref="M151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17" t="s">
        <v>39</v>
      </c>
      <c r="O1517" t="s">
        <v>33</v>
      </c>
      <c r="P1517" s="2" t="s">
        <v>393</v>
      </c>
      <c r="Q1517">
        <v>3</v>
      </c>
      <c r="R1517" t="s">
        <v>397</v>
      </c>
      <c r="S1517" s="1">
        <f>electric_vehicles_dataset[[#This Row],[Units_Sold_2024]]*electric_vehicles_dataset[[#This Row],[Price_USD]]</f>
        <v>538573243.20000005</v>
      </c>
      <c r="T1517">
        <v>5</v>
      </c>
      <c r="U1517">
        <v>8880</v>
      </c>
      <c r="V1517">
        <v>4</v>
      </c>
    </row>
    <row r="1518" spans="1:22" x14ac:dyDescent="0.35">
      <c r="A1518">
        <v>1517</v>
      </c>
      <c r="B1518" t="s">
        <v>144</v>
      </c>
      <c r="C1518" t="s">
        <v>145</v>
      </c>
      <c r="D1518">
        <v>2023</v>
      </c>
      <c r="E1518" t="s">
        <v>42</v>
      </c>
      <c r="F1518">
        <v>109.3</v>
      </c>
      <c r="G1518" t="s">
        <v>361</v>
      </c>
      <c r="H1518">
        <f>electric_vehicles_dataset[[#This Row],[Battery_Capacity_kWh]]/electric_vehicles_dataset[[#This Row],[Range_km]]</f>
        <v>0.26085918854415274</v>
      </c>
      <c r="I1518">
        <v>419</v>
      </c>
      <c r="J1518" t="s">
        <v>105</v>
      </c>
      <c r="K1518">
        <v>7</v>
      </c>
      <c r="L1518" s="1">
        <v>125613.57</v>
      </c>
      <c r="M1518" s="1" t="str" cm="1">
        <f t="array" ref="M15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18" t="s">
        <v>55</v>
      </c>
      <c r="O1518" t="s">
        <v>107</v>
      </c>
      <c r="P1518" s="2" t="s">
        <v>394</v>
      </c>
      <c r="Q1518">
        <v>0</v>
      </c>
      <c r="R1518" t="s">
        <v>390</v>
      </c>
      <c r="S1518" s="1">
        <f>electric_vehicles_dataset[[#This Row],[Units_Sold_2024]]*electric_vehicles_dataset[[#This Row],[Price_USD]]</f>
        <v>634474142.07000005</v>
      </c>
      <c r="T1518">
        <v>4</v>
      </c>
      <c r="U1518">
        <v>5051</v>
      </c>
      <c r="V1518">
        <v>3</v>
      </c>
    </row>
    <row r="1519" spans="1:22" x14ac:dyDescent="0.35">
      <c r="A1519">
        <v>1518</v>
      </c>
      <c r="B1519" t="s">
        <v>36</v>
      </c>
      <c r="C1519" t="s">
        <v>245</v>
      </c>
      <c r="D1519">
        <v>2015</v>
      </c>
      <c r="E1519" t="s">
        <v>26</v>
      </c>
      <c r="F1519">
        <v>90.6</v>
      </c>
      <c r="G1519" t="s">
        <v>350</v>
      </c>
      <c r="H1519">
        <f>electric_vehicles_dataset[[#This Row],[Battery_Capacity_kWh]]/electric_vehicles_dataset[[#This Row],[Range_km]]</f>
        <v>0.23053435114503815</v>
      </c>
      <c r="I1519">
        <v>393</v>
      </c>
      <c r="J1519" t="s">
        <v>18</v>
      </c>
      <c r="K1519">
        <v>5</v>
      </c>
      <c r="L1519" s="1">
        <v>76102.929999999993</v>
      </c>
      <c r="M1519" s="1" t="str" cm="1">
        <f t="array" ref="M151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19" t="s">
        <v>131</v>
      </c>
      <c r="O1519" t="s">
        <v>115</v>
      </c>
      <c r="P1519" s="2" t="s">
        <v>396</v>
      </c>
      <c r="Q1519">
        <v>0</v>
      </c>
      <c r="R1519" t="s">
        <v>390</v>
      </c>
      <c r="S1519" s="1">
        <f>electric_vehicles_dataset[[#This Row],[Units_Sold_2024]]*electric_vehicles_dataset[[#This Row],[Price_USD]]</f>
        <v>1121224467.6899998</v>
      </c>
      <c r="T1519">
        <v>5</v>
      </c>
      <c r="U1519">
        <v>14733</v>
      </c>
      <c r="V1519">
        <v>5</v>
      </c>
    </row>
    <row r="1520" spans="1:22" x14ac:dyDescent="0.35">
      <c r="A1520">
        <v>1519</v>
      </c>
      <c r="B1520" t="s">
        <v>140</v>
      </c>
      <c r="C1520" t="s">
        <v>256</v>
      </c>
      <c r="D1520">
        <v>2019</v>
      </c>
      <c r="E1520" t="s">
        <v>104</v>
      </c>
      <c r="F1520">
        <v>84.9</v>
      </c>
      <c r="G1520" t="s">
        <v>350</v>
      </c>
      <c r="H1520">
        <f>electric_vehicles_dataset[[#This Row],[Battery_Capacity_kWh]]/electric_vehicles_dataset[[#This Row],[Range_km]]</f>
        <v>0.14790940766550523</v>
      </c>
      <c r="I1520">
        <v>574</v>
      </c>
      <c r="J1520" t="s">
        <v>34</v>
      </c>
      <c r="K1520">
        <v>4</v>
      </c>
      <c r="L1520" s="1">
        <v>120192.95</v>
      </c>
      <c r="M1520" s="1" t="str" cm="1">
        <f t="array" ref="M152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20" t="s">
        <v>91</v>
      </c>
      <c r="O1520" t="s">
        <v>230</v>
      </c>
      <c r="P1520" s="2" t="s">
        <v>389</v>
      </c>
      <c r="Q1520">
        <v>1</v>
      </c>
      <c r="R1520" t="s">
        <v>391</v>
      </c>
      <c r="S1520" s="1">
        <f>electric_vehicles_dataset[[#This Row],[Units_Sold_2024]]*electric_vehicles_dataset[[#This Row],[Price_USD]]</f>
        <v>26923220.800000001</v>
      </c>
      <c r="T1520">
        <v>3</v>
      </c>
      <c r="U1520">
        <v>224</v>
      </c>
      <c r="V1520">
        <v>3</v>
      </c>
    </row>
    <row r="1521" spans="1:22" x14ac:dyDescent="0.35">
      <c r="A1521">
        <v>1520</v>
      </c>
      <c r="B1521" t="s">
        <v>24</v>
      </c>
      <c r="C1521" t="s">
        <v>343</v>
      </c>
      <c r="D1521">
        <v>2020</v>
      </c>
      <c r="E1521" t="s">
        <v>47</v>
      </c>
      <c r="F1521">
        <v>122.3</v>
      </c>
      <c r="G1521" t="s">
        <v>352</v>
      </c>
      <c r="H1521">
        <f>electric_vehicles_dataset[[#This Row],[Battery_Capacity_kWh]]/electric_vehicles_dataset[[#This Row],[Range_km]]</f>
        <v>0.39198717948717948</v>
      </c>
      <c r="I1521">
        <v>312</v>
      </c>
      <c r="J1521" t="s">
        <v>18</v>
      </c>
      <c r="K1521">
        <v>4</v>
      </c>
      <c r="L1521" s="1">
        <v>36898.78</v>
      </c>
      <c r="M1521" s="1" t="str" cm="1">
        <f t="array" ref="M152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21" t="s">
        <v>228</v>
      </c>
      <c r="O1521" t="s">
        <v>169</v>
      </c>
      <c r="P1521" s="2" t="s">
        <v>394</v>
      </c>
      <c r="Q1521">
        <v>2</v>
      </c>
      <c r="R1521" t="s">
        <v>391</v>
      </c>
      <c r="S1521" s="1">
        <f>electric_vehicles_dataset[[#This Row],[Units_Sold_2024]]*electric_vehicles_dataset[[#This Row],[Price_USD]]</f>
        <v>365777606.13999999</v>
      </c>
      <c r="T1521">
        <v>4</v>
      </c>
      <c r="U1521">
        <v>9913</v>
      </c>
      <c r="V1521">
        <v>4</v>
      </c>
    </row>
    <row r="1522" spans="1:22" x14ac:dyDescent="0.35">
      <c r="A1522">
        <v>1521</v>
      </c>
      <c r="B1522" t="s">
        <v>29</v>
      </c>
      <c r="C1522" t="s">
        <v>378</v>
      </c>
      <c r="D1522">
        <v>2024</v>
      </c>
      <c r="E1522" t="s">
        <v>90</v>
      </c>
      <c r="F1522">
        <v>81.400000000000006</v>
      </c>
      <c r="G1522" t="s">
        <v>350</v>
      </c>
      <c r="H1522">
        <f>electric_vehicles_dataset[[#This Row],[Battery_Capacity_kWh]]/electric_vehicles_dataset[[#This Row],[Range_km]]</f>
        <v>0.32430278884462155</v>
      </c>
      <c r="I1522">
        <v>251</v>
      </c>
      <c r="J1522" t="s">
        <v>76</v>
      </c>
      <c r="K1522">
        <v>2</v>
      </c>
      <c r="L1522" s="1">
        <v>131763.60999999999</v>
      </c>
      <c r="M1522" s="1" t="str" cm="1">
        <f t="array" ref="M152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22" t="s">
        <v>55</v>
      </c>
      <c r="O1522" t="s">
        <v>63</v>
      </c>
      <c r="P1522" s="2" t="s">
        <v>389</v>
      </c>
      <c r="Q1522">
        <v>4</v>
      </c>
      <c r="R1522" t="s">
        <v>392</v>
      </c>
      <c r="S1522" s="1">
        <f>electric_vehicles_dataset[[#This Row],[Units_Sold_2024]]*electric_vehicles_dataset[[#This Row],[Price_USD]]</f>
        <v>1007596325.6699998</v>
      </c>
      <c r="T1522">
        <v>4</v>
      </c>
      <c r="U1522">
        <v>7647</v>
      </c>
      <c r="V1522">
        <v>4</v>
      </c>
    </row>
    <row r="1523" spans="1:22" x14ac:dyDescent="0.35">
      <c r="A1523">
        <v>1522</v>
      </c>
      <c r="B1523" t="s">
        <v>241</v>
      </c>
      <c r="C1523" t="s">
        <v>242</v>
      </c>
      <c r="D1523">
        <v>2015</v>
      </c>
      <c r="E1523" t="s">
        <v>17</v>
      </c>
      <c r="F1523">
        <v>28.3</v>
      </c>
      <c r="G1523" t="s">
        <v>357</v>
      </c>
      <c r="H1523">
        <f>electric_vehicles_dataset[[#This Row],[Battery_Capacity_kWh]]/electric_vehicles_dataset[[#This Row],[Range_km]]</f>
        <v>0.25727272727272726</v>
      </c>
      <c r="I1523">
        <v>110</v>
      </c>
      <c r="J1523" t="s">
        <v>353</v>
      </c>
      <c r="K1523">
        <v>5</v>
      </c>
      <c r="L1523" s="1">
        <v>35469.82</v>
      </c>
      <c r="M1523" s="1" t="str" cm="1">
        <f t="array" ref="M152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23" t="s">
        <v>217</v>
      </c>
      <c r="O1523" t="s">
        <v>111</v>
      </c>
      <c r="P1523" s="2" t="s">
        <v>389</v>
      </c>
      <c r="Q1523">
        <v>2</v>
      </c>
      <c r="R1523" t="s">
        <v>391</v>
      </c>
      <c r="S1523" s="1">
        <f>electric_vehicles_dataset[[#This Row],[Units_Sold_2024]]*electric_vehicles_dataset[[#This Row],[Price_USD]]</f>
        <v>477920354.68000001</v>
      </c>
      <c r="T1523">
        <v>5</v>
      </c>
      <c r="U1523">
        <v>13474</v>
      </c>
      <c r="V1523">
        <v>3</v>
      </c>
    </row>
    <row r="1524" spans="1:22" x14ac:dyDescent="0.35">
      <c r="A1524">
        <v>1523</v>
      </c>
      <c r="B1524" t="s">
        <v>120</v>
      </c>
      <c r="C1524" t="s">
        <v>252</v>
      </c>
      <c r="D1524">
        <v>2020</v>
      </c>
      <c r="E1524" t="s">
        <v>17</v>
      </c>
      <c r="F1524">
        <v>26.3</v>
      </c>
      <c r="G1524" t="s">
        <v>357</v>
      </c>
      <c r="H1524">
        <f>electric_vehicles_dataset[[#This Row],[Battery_Capacity_kWh]]/electric_vehicles_dataset[[#This Row],[Range_km]]</f>
        <v>6.368038740920097E-2</v>
      </c>
      <c r="I1524">
        <v>413</v>
      </c>
      <c r="J1524" t="s">
        <v>353</v>
      </c>
      <c r="K1524">
        <v>1</v>
      </c>
      <c r="L1524" s="1">
        <v>103045.6</v>
      </c>
      <c r="M1524" s="1" t="str" cm="1">
        <f t="array" ref="M152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24" t="s">
        <v>49</v>
      </c>
      <c r="O1524" t="s">
        <v>92</v>
      </c>
      <c r="P1524" s="2" t="s">
        <v>394</v>
      </c>
      <c r="Q1524">
        <v>5</v>
      </c>
      <c r="R1524" t="s">
        <v>392</v>
      </c>
      <c r="S1524" s="1">
        <f>electric_vehicles_dataset[[#This Row],[Units_Sold_2024]]*electric_vehicles_dataset[[#This Row],[Price_USD]]</f>
        <v>223505906.40000001</v>
      </c>
      <c r="T1524">
        <v>4</v>
      </c>
      <c r="U1524">
        <v>2169</v>
      </c>
      <c r="V1524">
        <v>5</v>
      </c>
    </row>
    <row r="1525" spans="1:22" x14ac:dyDescent="0.35">
      <c r="A1525">
        <v>1524</v>
      </c>
      <c r="B1525" t="s">
        <v>173</v>
      </c>
      <c r="C1525" t="s">
        <v>306</v>
      </c>
      <c r="D1525">
        <v>2022</v>
      </c>
      <c r="E1525" t="s">
        <v>26</v>
      </c>
      <c r="F1525">
        <v>129.80000000000001</v>
      </c>
      <c r="G1525" t="s">
        <v>352</v>
      </c>
      <c r="H1525">
        <f>electric_vehicles_dataset[[#This Row],[Battery_Capacity_kWh]]/electric_vehicles_dataset[[#This Row],[Range_km]]</f>
        <v>0.24961538461538463</v>
      </c>
      <c r="I1525">
        <v>520</v>
      </c>
      <c r="J1525" t="s">
        <v>356</v>
      </c>
      <c r="K1525">
        <v>2</v>
      </c>
      <c r="L1525" s="1">
        <v>62728.32</v>
      </c>
      <c r="M1525" s="1" t="str" cm="1">
        <f t="array" ref="M152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25" t="s">
        <v>240</v>
      </c>
      <c r="O1525" t="s">
        <v>354</v>
      </c>
      <c r="P1525" s="2" t="s">
        <v>394</v>
      </c>
      <c r="Q1525">
        <v>1</v>
      </c>
      <c r="R1525" t="s">
        <v>391</v>
      </c>
      <c r="S1525" s="1">
        <f>electric_vehicles_dataset[[#This Row],[Units_Sold_2024]]*electric_vehicles_dataset[[#This Row],[Price_USD]]</f>
        <v>27035905.919999998</v>
      </c>
      <c r="T1525">
        <v>5</v>
      </c>
      <c r="U1525">
        <v>431</v>
      </c>
      <c r="V1525">
        <v>4</v>
      </c>
    </row>
    <row r="1526" spans="1:22" x14ac:dyDescent="0.35">
      <c r="A1526">
        <v>1525</v>
      </c>
      <c r="B1526" t="s">
        <v>56</v>
      </c>
      <c r="C1526" t="s">
        <v>57</v>
      </c>
      <c r="D1526">
        <v>2022</v>
      </c>
      <c r="E1526" t="s">
        <v>31</v>
      </c>
      <c r="F1526">
        <v>66</v>
      </c>
      <c r="G1526" t="s">
        <v>351</v>
      </c>
      <c r="H1526">
        <f>electric_vehicles_dataset[[#This Row],[Battery_Capacity_kWh]]/electric_vehicles_dataset[[#This Row],[Range_km]]</f>
        <v>0.13360323886639677</v>
      </c>
      <c r="I1526">
        <v>494</v>
      </c>
      <c r="J1526" t="s">
        <v>34</v>
      </c>
      <c r="K1526">
        <v>9</v>
      </c>
      <c r="L1526" s="1">
        <v>89057.16</v>
      </c>
      <c r="M1526" s="1" t="str" cm="1">
        <f t="array" ref="M152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26" t="s">
        <v>246</v>
      </c>
      <c r="O1526" t="s">
        <v>115</v>
      </c>
      <c r="P1526" s="2" t="s">
        <v>396</v>
      </c>
      <c r="Q1526">
        <v>3</v>
      </c>
      <c r="R1526" t="s">
        <v>397</v>
      </c>
      <c r="S1526" s="1">
        <f>electric_vehicles_dataset[[#This Row],[Units_Sold_2024]]*electric_vehicles_dataset[[#This Row],[Price_USD]]</f>
        <v>733029483.96000004</v>
      </c>
      <c r="T1526">
        <v>5</v>
      </c>
      <c r="U1526">
        <v>8231</v>
      </c>
      <c r="V1526">
        <v>5</v>
      </c>
    </row>
    <row r="1527" spans="1:22" x14ac:dyDescent="0.35">
      <c r="A1527">
        <v>1526</v>
      </c>
      <c r="B1527" t="s">
        <v>144</v>
      </c>
      <c r="C1527" t="s">
        <v>145</v>
      </c>
      <c r="D1527">
        <v>2024</v>
      </c>
      <c r="E1527" t="s">
        <v>26</v>
      </c>
      <c r="F1527">
        <v>101.6</v>
      </c>
      <c r="G1527" t="s">
        <v>361</v>
      </c>
      <c r="H1527">
        <f>electric_vehicles_dataset[[#This Row],[Battery_Capacity_kWh]]/electric_vehicles_dataset[[#This Row],[Range_km]]</f>
        <v>0.26736842105263159</v>
      </c>
      <c r="I1527">
        <v>380</v>
      </c>
      <c r="J1527" t="s">
        <v>27</v>
      </c>
      <c r="K1527">
        <v>2</v>
      </c>
      <c r="L1527" s="1">
        <v>147910.92000000001</v>
      </c>
      <c r="M1527" s="1" t="str" cm="1">
        <f t="array" ref="M152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27" t="s">
        <v>22</v>
      </c>
      <c r="O1527" t="s">
        <v>23</v>
      </c>
      <c r="P1527" s="2" t="s">
        <v>389</v>
      </c>
      <c r="Q1527">
        <v>2</v>
      </c>
      <c r="R1527" t="s">
        <v>391</v>
      </c>
      <c r="S1527" s="1">
        <f>electric_vehicles_dataset[[#This Row],[Units_Sold_2024]]*electric_vehicles_dataset[[#This Row],[Price_USD]]</f>
        <v>1130483161.5600002</v>
      </c>
      <c r="T1527">
        <v>3</v>
      </c>
      <c r="U1527">
        <v>7643</v>
      </c>
      <c r="V1527">
        <v>3</v>
      </c>
    </row>
    <row r="1528" spans="1:22" x14ac:dyDescent="0.35">
      <c r="A1528">
        <v>1527</v>
      </c>
      <c r="B1528" t="s">
        <v>243</v>
      </c>
      <c r="C1528" t="s">
        <v>244</v>
      </c>
      <c r="D1528">
        <v>2020</v>
      </c>
      <c r="E1528" t="s">
        <v>47</v>
      </c>
      <c r="F1528">
        <v>56.4</v>
      </c>
      <c r="G1528" t="s">
        <v>348</v>
      </c>
      <c r="H1528">
        <f>electric_vehicles_dataset[[#This Row],[Battery_Capacity_kWh]]/electric_vehicles_dataset[[#This Row],[Range_km]]</f>
        <v>0.10641509433962264</v>
      </c>
      <c r="I1528">
        <v>530</v>
      </c>
      <c r="J1528" t="s">
        <v>76</v>
      </c>
      <c r="K1528">
        <v>6</v>
      </c>
      <c r="L1528" s="1">
        <v>131326.07999999999</v>
      </c>
      <c r="M1528" s="1" t="str" cm="1">
        <f t="array" ref="M15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28" t="s">
        <v>240</v>
      </c>
      <c r="O1528" t="s">
        <v>95</v>
      </c>
      <c r="P1528" s="2" t="s">
        <v>394</v>
      </c>
      <c r="Q1528">
        <v>4</v>
      </c>
      <c r="R1528" t="s">
        <v>392</v>
      </c>
      <c r="S1528" s="1">
        <f>electric_vehicles_dataset[[#This Row],[Units_Sold_2024]]*electric_vehicles_dataset[[#This Row],[Price_USD]]</f>
        <v>1229343434.8799999</v>
      </c>
      <c r="T1528">
        <v>4</v>
      </c>
      <c r="U1528">
        <v>9361</v>
      </c>
      <c r="V1528">
        <v>5</v>
      </c>
    </row>
    <row r="1529" spans="1:22" x14ac:dyDescent="0.35">
      <c r="A1529">
        <v>1528</v>
      </c>
      <c r="B1529" t="s">
        <v>222</v>
      </c>
      <c r="C1529" t="s">
        <v>295</v>
      </c>
      <c r="D1529">
        <v>2020</v>
      </c>
      <c r="E1529" t="s">
        <v>90</v>
      </c>
      <c r="F1529">
        <v>67.5</v>
      </c>
      <c r="G1529" t="s">
        <v>351</v>
      </c>
      <c r="H1529">
        <f>electric_vehicles_dataset[[#This Row],[Battery_Capacity_kWh]]/electric_vehicles_dataset[[#This Row],[Range_km]]</f>
        <v>0.11538461538461539</v>
      </c>
      <c r="I1529">
        <v>585</v>
      </c>
      <c r="J1529" t="s">
        <v>48</v>
      </c>
      <c r="K1529">
        <v>8</v>
      </c>
      <c r="L1529" s="1">
        <v>38003.24</v>
      </c>
      <c r="M1529" s="1" t="str" cm="1">
        <f t="array" ref="M15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29" t="s">
        <v>196</v>
      </c>
      <c r="O1529" t="s">
        <v>134</v>
      </c>
      <c r="P1529" s="2" t="s">
        <v>389</v>
      </c>
      <c r="Q1529">
        <v>5</v>
      </c>
      <c r="R1529" t="s">
        <v>392</v>
      </c>
      <c r="S1529" s="1">
        <f>electric_vehicles_dataset[[#This Row],[Units_Sold_2024]]*electric_vehicles_dataset[[#This Row],[Price_USD]]</f>
        <v>623709174.88</v>
      </c>
      <c r="T1529">
        <v>3</v>
      </c>
      <c r="U1529">
        <v>16412</v>
      </c>
      <c r="V1529">
        <v>5</v>
      </c>
    </row>
    <row r="1530" spans="1:22" x14ac:dyDescent="0.35">
      <c r="A1530">
        <v>1529</v>
      </c>
      <c r="B1530" t="s">
        <v>51</v>
      </c>
      <c r="C1530" t="s">
        <v>162</v>
      </c>
      <c r="D1530">
        <v>2017</v>
      </c>
      <c r="E1530" t="s">
        <v>26</v>
      </c>
      <c r="F1530">
        <v>98.8</v>
      </c>
      <c r="G1530" t="s">
        <v>350</v>
      </c>
      <c r="H1530">
        <f>electric_vehicles_dataset[[#This Row],[Battery_Capacity_kWh]]/electric_vehicles_dataset[[#This Row],[Range_km]]</f>
        <v>0.19681274900398404</v>
      </c>
      <c r="I1530">
        <v>502</v>
      </c>
      <c r="J1530" t="s">
        <v>34</v>
      </c>
      <c r="K1530">
        <v>9</v>
      </c>
      <c r="L1530" s="1">
        <v>126717.71</v>
      </c>
      <c r="M1530" s="1" t="str" cm="1">
        <f t="array" ref="M15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30" t="s">
        <v>49</v>
      </c>
      <c r="O1530" t="s">
        <v>93</v>
      </c>
      <c r="P1530" s="2" t="s">
        <v>389</v>
      </c>
      <c r="Q1530">
        <v>1</v>
      </c>
      <c r="R1530" t="s">
        <v>391</v>
      </c>
      <c r="S1530" s="1">
        <f>electric_vehicles_dataset[[#This Row],[Units_Sold_2024]]*electric_vehicles_dataset[[#This Row],[Price_USD]]</f>
        <v>1782791461.99</v>
      </c>
      <c r="T1530">
        <v>3</v>
      </c>
      <c r="U1530">
        <v>14069</v>
      </c>
      <c r="V1530">
        <v>3</v>
      </c>
    </row>
    <row r="1531" spans="1:22" x14ac:dyDescent="0.35">
      <c r="A1531">
        <v>1530</v>
      </c>
      <c r="B1531" t="s">
        <v>269</v>
      </c>
      <c r="C1531" t="s">
        <v>270</v>
      </c>
      <c r="D1531">
        <v>2023</v>
      </c>
      <c r="E1531" t="s">
        <v>42</v>
      </c>
      <c r="F1531">
        <v>113.1</v>
      </c>
      <c r="G1531" t="s">
        <v>361</v>
      </c>
      <c r="H1531">
        <f>electric_vehicles_dataset[[#This Row],[Battery_Capacity_kWh]]/electric_vehicles_dataset[[#This Row],[Range_km]]</f>
        <v>0.23223819301848048</v>
      </c>
      <c r="I1531">
        <v>487</v>
      </c>
      <c r="J1531" t="s">
        <v>105</v>
      </c>
      <c r="K1531">
        <v>2</v>
      </c>
      <c r="L1531" s="1">
        <v>80398.8</v>
      </c>
      <c r="M1531" s="1" t="str" cm="1">
        <f t="array" ref="M153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31" t="s">
        <v>152</v>
      </c>
      <c r="O1531" t="s">
        <v>265</v>
      </c>
      <c r="P1531" s="2" t="s">
        <v>389</v>
      </c>
      <c r="Q1531">
        <v>1</v>
      </c>
      <c r="R1531" t="s">
        <v>391</v>
      </c>
      <c r="S1531" s="1">
        <f>electric_vehicles_dataset[[#This Row],[Units_Sold_2024]]*electric_vehicles_dataset[[#This Row],[Price_USD]]</f>
        <v>6512302.7999999998</v>
      </c>
      <c r="T1531">
        <v>3</v>
      </c>
      <c r="U1531">
        <v>81</v>
      </c>
      <c r="V1531">
        <v>4</v>
      </c>
    </row>
    <row r="1532" spans="1:22" x14ac:dyDescent="0.35">
      <c r="A1532">
        <v>1531</v>
      </c>
      <c r="B1532" t="s">
        <v>36</v>
      </c>
      <c r="C1532" t="s">
        <v>317</v>
      </c>
      <c r="D1532">
        <v>2024</v>
      </c>
      <c r="E1532" t="s">
        <v>31</v>
      </c>
      <c r="F1532">
        <v>105.4</v>
      </c>
      <c r="G1532" t="s">
        <v>361</v>
      </c>
      <c r="H1532">
        <f>electric_vehicles_dataset[[#This Row],[Battery_Capacity_kWh]]/electric_vehicles_dataset[[#This Row],[Range_km]]</f>
        <v>0.24626168224299066</v>
      </c>
      <c r="I1532">
        <v>428</v>
      </c>
      <c r="J1532" t="s">
        <v>364</v>
      </c>
      <c r="K1532">
        <v>5</v>
      </c>
      <c r="L1532" s="1">
        <v>147807.12</v>
      </c>
      <c r="M1532" s="1" t="str" cm="1">
        <f t="array" ref="M153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32" t="s">
        <v>212</v>
      </c>
      <c r="O1532" t="s">
        <v>20</v>
      </c>
      <c r="P1532" s="2" t="s">
        <v>389</v>
      </c>
      <c r="Q1532">
        <v>4</v>
      </c>
      <c r="R1532" t="s">
        <v>392</v>
      </c>
      <c r="S1532" s="1">
        <f>electric_vehicles_dataset[[#This Row],[Units_Sold_2024]]*electric_vehicles_dataset[[#This Row],[Price_USD]]</f>
        <v>1752253407.5999999</v>
      </c>
      <c r="T1532">
        <v>4</v>
      </c>
      <c r="U1532">
        <v>11855</v>
      </c>
      <c r="V1532">
        <v>4</v>
      </c>
    </row>
    <row r="1533" spans="1:22" x14ac:dyDescent="0.35">
      <c r="A1533">
        <v>1532</v>
      </c>
      <c r="B1533" t="s">
        <v>261</v>
      </c>
      <c r="C1533" t="s">
        <v>278</v>
      </c>
      <c r="D1533">
        <v>2021</v>
      </c>
      <c r="E1533" t="s">
        <v>90</v>
      </c>
      <c r="F1533">
        <v>91.3</v>
      </c>
      <c r="G1533" t="s">
        <v>350</v>
      </c>
      <c r="H1533">
        <f>electric_vehicles_dataset[[#This Row],[Battery_Capacity_kWh]]/electric_vehicles_dataset[[#This Row],[Range_km]]</f>
        <v>0.17291666666666666</v>
      </c>
      <c r="I1533">
        <v>528</v>
      </c>
      <c r="J1533" t="s">
        <v>76</v>
      </c>
      <c r="K1533">
        <v>11</v>
      </c>
      <c r="L1533" s="1">
        <v>141342.13</v>
      </c>
      <c r="M1533" s="1" t="str" cm="1">
        <f t="array" ref="M15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33" t="s">
        <v>100</v>
      </c>
      <c r="O1533" t="s">
        <v>150</v>
      </c>
      <c r="P1533" s="2" t="s">
        <v>389</v>
      </c>
      <c r="Q1533">
        <v>1</v>
      </c>
      <c r="R1533" t="s">
        <v>391</v>
      </c>
      <c r="S1533" s="1">
        <f>electric_vehicles_dataset[[#This Row],[Units_Sold_2024]]*electric_vehicles_dataset[[#This Row],[Price_USD]]</f>
        <v>2327622196.8400002</v>
      </c>
      <c r="T1533">
        <v>4</v>
      </c>
      <c r="U1533">
        <v>16468</v>
      </c>
      <c r="V1533">
        <v>5</v>
      </c>
    </row>
    <row r="1534" spans="1:22" x14ac:dyDescent="0.35">
      <c r="A1534">
        <v>1533</v>
      </c>
      <c r="B1534" t="s">
        <v>144</v>
      </c>
      <c r="C1534" t="s">
        <v>273</v>
      </c>
      <c r="D1534">
        <v>2017</v>
      </c>
      <c r="E1534" t="s">
        <v>31</v>
      </c>
      <c r="F1534">
        <v>81.3</v>
      </c>
      <c r="G1534" t="s">
        <v>350</v>
      </c>
      <c r="H1534">
        <f>electric_vehicles_dataset[[#This Row],[Battery_Capacity_kWh]]/electric_vehicles_dataset[[#This Row],[Range_km]]</f>
        <v>0.1554493307839388</v>
      </c>
      <c r="I1534">
        <v>523</v>
      </c>
      <c r="J1534" t="s">
        <v>27</v>
      </c>
      <c r="K1534">
        <v>1</v>
      </c>
      <c r="L1534" s="1">
        <v>127506.17</v>
      </c>
      <c r="M1534" s="1" t="str" cm="1">
        <f t="array" ref="M153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34" t="s">
        <v>62</v>
      </c>
      <c r="O1534" t="s">
        <v>199</v>
      </c>
      <c r="P1534" s="2" t="s">
        <v>394</v>
      </c>
      <c r="Q1534">
        <v>2</v>
      </c>
      <c r="R1534" t="s">
        <v>391</v>
      </c>
      <c r="S1534" s="1">
        <f>electric_vehicles_dataset[[#This Row],[Units_Sold_2024]]*electric_vehicles_dataset[[#This Row],[Price_USD]]</f>
        <v>1871790575.5999999</v>
      </c>
      <c r="T1534">
        <v>5</v>
      </c>
      <c r="U1534">
        <v>14680</v>
      </c>
      <c r="V1534">
        <v>3</v>
      </c>
    </row>
    <row r="1535" spans="1:22" x14ac:dyDescent="0.35">
      <c r="A1535">
        <v>1534</v>
      </c>
      <c r="B1535" t="s">
        <v>68</v>
      </c>
      <c r="C1535" t="s">
        <v>289</v>
      </c>
      <c r="D1535">
        <v>2019</v>
      </c>
      <c r="E1535" t="s">
        <v>183</v>
      </c>
      <c r="F1535">
        <v>80.599999999999994</v>
      </c>
      <c r="G1535" t="s">
        <v>350</v>
      </c>
      <c r="H1535">
        <f>electric_vehicles_dataset[[#This Row],[Battery_Capacity_kWh]]/electric_vehicles_dataset[[#This Row],[Range_km]]</f>
        <v>0.24573170731707317</v>
      </c>
      <c r="I1535">
        <v>328</v>
      </c>
      <c r="J1535" t="s">
        <v>38</v>
      </c>
      <c r="K1535">
        <v>9</v>
      </c>
      <c r="L1535" s="1">
        <v>38472.160000000003</v>
      </c>
      <c r="M1535" s="1" t="str" cm="1">
        <f t="array" ref="M15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35" t="s">
        <v>81</v>
      </c>
      <c r="O1535" t="s">
        <v>236</v>
      </c>
      <c r="P1535" s="2" t="s">
        <v>394</v>
      </c>
      <c r="Q1535">
        <v>2</v>
      </c>
      <c r="R1535" t="s">
        <v>391</v>
      </c>
      <c r="S1535" s="1">
        <f>electric_vehicles_dataset[[#This Row],[Units_Sold_2024]]*electric_vehicles_dataset[[#This Row],[Price_USD]]</f>
        <v>686574167.36000001</v>
      </c>
      <c r="T1535">
        <v>3</v>
      </c>
      <c r="U1535">
        <v>17846</v>
      </c>
      <c r="V1535">
        <v>5</v>
      </c>
    </row>
    <row r="1536" spans="1:22" x14ac:dyDescent="0.35">
      <c r="A1536">
        <v>1535</v>
      </c>
      <c r="B1536" t="s">
        <v>155</v>
      </c>
      <c r="C1536" t="s">
        <v>156</v>
      </c>
      <c r="D1536">
        <v>2022</v>
      </c>
      <c r="E1536" t="s">
        <v>17</v>
      </c>
      <c r="F1536">
        <v>47.3</v>
      </c>
      <c r="G1536" t="s">
        <v>348</v>
      </c>
      <c r="H1536">
        <f>electric_vehicles_dataset[[#This Row],[Battery_Capacity_kWh]]/electric_vehicles_dataset[[#This Row],[Range_km]]</f>
        <v>0.13030303030303028</v>
      </c>
      <c r="I1536">
        <v>363</v>
      </c>
      <c r="J1536" t="s">
        <v>364</v>
      </c>
      <c r="K1536">
        <v>5</v>
      </c>
      <c r="L1536" s="1">
        <v>37776.239999999998</v>
      </c>
      <c r="M1536" s="1" t="str" cm="1">
        <f t="array" ref="M15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36" t="s">
        <v>214</v>
      </c>
      <c r="O1536" t="s">
        <v>139</v>
      </c>
      <c r="P1536" s="2" t="s">
        <v>389</v>
      </c>
      <c r="Q1536">
        <v>2</v>
      </c>
      <c r="R1536" t="s">
        <v>391</v>
      </c>
      <c r="S1536" s="1">
        <f>electric_vehicles_dataset[[#This Row],[Units_Sold_2024]]*electric_vehicles_dataset[[#This Row],[Price_USD]]</f>
        <v>483498095.75999999</v>
      </c>
      <c r="T1536">
        <v>5</v>
      </c>
      <c r="U1536">
        <v>12799</v>
      </c>
      <c r="V1536">
        <v>3</v>
      </c>
    </row>
    <row r="1537" spans="1:22" x14ac:dyDescent="0.35">
      <c r="A1537">
        <v>1536</v>
      </c>
      <c r="B1537" t="s">
        <v>36</v>
      </c>
      <c r="C1537" t="s">
        <v>324</v>
      </c>
      <c r="D1537">
        <v>2018</v>
      </c>
      <c r="E1537" t="s">
        <v>47</v>
      </c>
      <c r="F1537">
        <v>54.3</v>
      </c>
      <c r="G1537" t="s">
        <v>348</v>
      </c>
      <c r="H1537">
        <f>electric_vehicles_dataset[[#This Row],[Battery_Capacity_kWh]]/electric_vehicles_dataset[[#This Row],[Range_km]]</f>
        <v>0.15</v>
      </c>
      <c r="I1537">
        <v>362</v>
      </c>
      <c r="J1537" t="s">
        <v>345</v>
      </c>
      <c r="K1537">
        <v>5</v>
      </c>
      <c r="L1537" s="1">
        <v>93014.84</v>
      </c>
      <c r="M1537" s="1" t="str" cm="1">
        <f t="array" ref="M153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37" t="s">
        <v>240</v>
      </c>
      <c r="O1537" t="s">
        <v>135</v>
      </c>
      <c r="P1537" s="2" t="s">
        <v>389</v>
      </c>
      <c r="Q1537">
        <v>3</v>
      </c>
      <c r="R1537" t="s">
        <v>397</v>
      </c>
      <c r="S1537" s="1">
        <f>electric_vehicles_dataset[[#This Row],[Units_Sold_2024]]*electric_vehicles_dataset[[#This Row],[Price_USD]]</f>
        <v>331504889.75999999</v>
      </c>
      <c r="T1537">
        <v>4</v>
      </c>
      <c r="U1537">
        <v>3564</v>
      </c>
      <c r="V1537">
        <v>3</v>
      </c>
    </row>
    <row r="1538" spans="1:22" x14ac:dyDescent="0.35">
      <c r="A1538">
        <v>1537</v>
      </c>
      <c r="B1538" t="s">
        <v>64</v>
      </c>
      <c r="C1538" t="s">
        <v>65</v>
      </c>
      <c r="D1538">
        <v>2025</v>
      </c>
      <c r="E1538" t="s">
        <v>26</v>
      </c>
      <c r="F1538">
        <v>63.4</v>
      </c>
      <c r="G1538" t="s">
        <v>351</v>
      </c>
      <c r="H1538">
        <f>electric_vehicles_dataset[[#This Row],[Battery_Capacity_kWh]]/electric_vehicles_dataset[[#This Row],[Range_km]]</f>
        <v>0.43724137931034479</v>
      </c>
      <c r="I1538">
        <v>145</v>
      </c>
      <c r="J1538" t="s">
        <v>48</v>
      </c>
      <c r="K1538">
        <v>2</v>
      </c>
      <c r="L1538" s="1">
        <v>98048.69</v>
      </c>
      <c r="M1538" s="1" t="str" cm="1">
        <f t="array" ref="M153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38" t="s">
        <v>81</v>
      </c>
      <c r="O1538" t="s">
        <v>107</v>
      </c>
      <c r="P1538" s="2" t="s">
        <v>394</v>
      </c>
      <c r="Q1538">
        <v>3</v>
      </c>
      <c r="R1538" t="s">
        <v>397</v>
      </c>
      <c r="S1538" s="1">
        <f>electric_vehicles_dataset[[#This Row],[Units_Sold_2024]]*electric_vehicles_dataset[[#This Row],[Price_USD]]</f>
        <v>1640942875.8400002</v>
      </c>
      <c r="T1538">
        <v>3</v>
      </c>
      <c r="U1538">
        <v>16736</v>
      </c>
      <c r="V1538">
        <v>3</v>
      </c>
    </row>
    <row r="1539" spans="1:22" x14ac:dyDescent="0.35">
      <c r="A1539">
        <v>1538</v>
      </c>
      <c r="B1539" t="s">
        <v>241</v>
      </c>
      <c r="C1539" t="s">
        <v>286</v>
      </c>
      <c r="D1539">
        <v>2025</v>
      </c>
      <c r="E1539" t="s">
        <v>26</v>
      </c>
      <c r="F1539">
        <v>83.5</v>
      </c>
      <c r="G1539" t="s">
        <v>350</v>
      </c>
      <c r="H1539">
        <f>electric_vehicles_dataset[[#This Row],[Battery_Capacity_kWh]]/electric_vehicles_dataset[[#This Row],[Range_km]]</f>
        <v>0.14700704225352113</v>
      </c>
      <c r="I1539">
        <v>568</v>
      </c>
      <c r="J1539" t="s">
        <v>34</v>
      </c>
      <c r="K1539">
        <v>5</v>
      </c>
      <c r="L1539" s="1">
        <v>121251.01</v>
      </c>
      <c r="M1539" s="1" t="str" cm="1">
        <f t="array" ref="M153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39" t="s">
        <v>160</v>
      </c>
      <c r="O1539" t="s">
        <v>95</v>
      </c>
      <c r="P1539" s="2" t="s">
        <v>394</v>
      </c>
      <c r="Q1539">
        <v>0</v>
      </c>
      <c r="R1539" t="s">
        <v>390</v>
      </c>
      <c r="S1539" s="1">
        <f>electric_vehicles_dataset[[#This Row],[Units_Sold_2024]]*electric_vehicles_dataset[[#This Row],[Price_USD]]</f>
        <v>582974856.07999992</v>
      </c>
      <c r="T1539">
        <v>4</v>
      </c>
      <c r="U1539">
        <v>4808</v>
      </c>
      <c r="V1539">
        <v>5</v>
      </c>
    </row>
    <row r="1540" spans="1:22" x14ac:dyDescent="0.35">
      <c r="A1540">
        <v>1539</v>
      </c>
      <c r="B1540" t="s">
        <v>21</v>
      </c>
      <c r="C1540" t="s">
        <v>349</v>
      </c>
      <c r="D1540">
        <v>2021</v>
      </c>
      <c r="E1540" t="s">
        <v>47</v>
      </c>
      <c r="F1540">
        <v>98.9</v>
      </c>
      <c r="G1540" t="s">
        <v>350</v>
      </c>
      <c r="H1540">
        <f>electric_vehicles_dataset[[#This Row],[Battery_Capacity_kWh]]/electric_vehicles_dataset[[#This Row],[Range_km]]</f>
        <v>0.45366972477064221</v>
      </c>
      <c r="I1540">
        <v>218</v>
      </c>
      <c r="J1540" t="s">
        <v>353</v>
      </c>
      <c r="K1540">
        <v>4</v>
      </c>
      <c r="L1540" s="1">
        <v>114772.81</v>
      </c>
      <c r="M1540" s="1" t="str" cm="1">
        <f t="array" ref="M15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40" t="s">
        <v>117</v>
      </c>
      <c r="O1540" t="s">
        <v>199</v>
      </c>
      <c r="P1540" s="2" t="s">
        <v>394</v>
      </c>
      <c r="Q1540">
        <v>4</v>
      </c>
      <c r="R1540" t="s">
        <v>392</v>
      </c>
      <c r="S1540" s="1">
        <f>electric_vehicles_dataset[[#This Row],[Units_Sold_2024]]*electric_vehicles_dataset[[#This Row],[Price_USD]]</f>
        <v>1189046311.5999999</v>
      </c>
      <c r="T1540">
        <v>3</v>
      </c>
      <c r="U1540">
        <v>10360</v>
      </c>
      <c r="V1540">
        <v>3</v>
      </c>
    </row>
    <row r="1541" spans="1:22" x14ac:dyDescent="0.35">
      <c r="A1541">
        <v>1540</v>
      </c>
      <c r="B1541" t="s">
        <v>125</v>
      </c>
      <c r="C1541" t="s">
        <v>126</v>
      </c>
      <c r="D1541">
        <v>2020</v>
      </c>
      <c r="E1541" t="s">
        <v>130</v>
      </c>
      <c r="F1541">
        <v>86.4</v>
      </c>
      <c r="G1541" t="s">
        <v>350</v>
      </c>
      <c r="H1541">
        <f>electric_vehicles_dataset[[#This Row],[Battery_Capacity_kWh]]/electric_vehicles_dataset[[#This Row],[Range_km]]</f>
        <v>0.27781350482315115</v>
      </c>
      <c r="I1541">
        <v>311</v>
      </c>
      <c r="J1541" t="s">
        <v>353</v>
      </c>
      <c r="K1541">
        <v>12</v>
      </c>
      <c r="L1541" s="1">
        <v>52921.07</v>
      </c>
      <c r="M1541" s="1" t="str" cm="1">
        <f t="array" ref="M154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41" t="s">
        <v>91</v>
      </c>
      <c r="O1541" t="s">
        <v>236</v>
      </c>
      <c r="P1541" s="2" t="s">
        <v>394</v>
      </c>
      <c r="Q1541">
        <v>4</v>
      </c>
      <c r="R1541" t="s">
        <v>392</v>
      </c>
      <c r="S1541" s="1">
        <f>electric_vehicles_dataset[[#This Row],[Units_Sold_2024]]*electric_vehicles_dataset[[#This Row],[Price_USD]]</f>
        <v>296199228.79000002</v>
      </c>
      <c r="T1541">
        <v>3</v>
      </c>
      <c r="U1541">
        <v>5597</v>
      </c>
      <c r="V1541">
        <v>5</v>
      </c>
    </row>
    <row r="1542" spans="1:22" x14ac:dyDescent="0.35">
      <c r="A1542">
        <v>1541</v>
      </c>
      <c r="B1542" t="s">
        <v>192</v>
      </c>
      <c r="C1542" t="s">
        <v>316</v>
      </c>
      <c r="D1542">
        <v>2020</v>
      </c>
      <c r="E1542" t="s">
        <v>104</v>
      </c>
      <c r="F1542">
        <v>64.2</v>
      </c>
      <c r="G1542" t="s">
        <v>351</v>
      </c>
      <c r="H1542">
        <f>electric_vehicles_dataset[[#This Row],[Battery_Capacity_kWh]]/electric_vehicles_dataset[[#This Row],[Range_km]]</f>
        <v>0.53057851239669429</v>
      </c>
      <c r="I1542">
        <v>121</v>
      </c>
      <c r="J1542" t="s">
        <v>38</v>
      </c>
      <c r="K1542">
        <v>6</v>
      </c>
      <c r="L1542" s="1">
        <v>138608.20000000001</v>
      </c>
      <c r="M1542" s="1" t="str" cm="1">
        <f t="array" ref="M15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42" t="s">
        <v>91</v>
      </c>
      <c r="O1542" t="s">
        <v>150</v>
      </c>
      <c r="P1542" s="2" t="s">
        <v>389</v>
      </c>
      <c r="Q1542">
        <v>4</v>
      </c>
      <c r="R1542" t="s">
        <v>392</v>
      </c>
      <c r="S1542" s="1">
        <f>electric_vehicles_dataset[[#This Row],[Units_Sold_2024]]*electric_vehicles_dataset[[#This Row],[Price_USD]]</f>
        <v>1011146819.0000001</v>
      </c>
      <c r="T1542">
        <v>5</v>
      </c>
      <c r="U1542">
        <v>7295</v>
      </c>
      <c r="V1542">
        <v>5</v>
      </c>
    </row>
    <row r="1543" spans="1:22" x14ac:dyDescent="0.35">
      <c r="A1543">
        <v>1542</v>
      </c>
      <c r="B1543" t="s">
        <v>122</v>
      </c>
      <c r="C1543" t="s">
        <v>250</v>
      </c>
      <c r="D1543">
        <v>2019</v>
      </c>
      <c r="E1543" t="s">
        <v>133</v>
      </c>
      <c r="F1543">
        <v>25.8</v>
      </c>
      <c r="G1543" t="s">
        <v>357</v>
      </c>
      <c r="H1543">
        <f>electric_vehicles_dataset[[#This Row],[Battery_Capacity_kWh]]/electric_vehicles_dataset[[#This Row],[Range_km]]</f>
        <v>8.9583333333333334E-2</v>
      </c>
      <c r="I1543">
        <v>288</v>
      </c>
      <c r="J1543" t="s">
        <v>359</v>
      </c>
      <c r="K1543">
        <v>2</v>
      </c>
      <c r="L1543" s="1">
        <v>39161.99</v>
      </c>
      <c r="M1543" s="1" t="str" cm="1">
        <f t="array" ref="M154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43" t="s">
        <v>228</v>
      </c>
      <c r="O1543" t="s">
        <v>111</v>
      </c>
      <c r="P1543" s="2" t="s">
        <v>389</v>
      </c>
      <c r="Q1543">
        <v>0</v>
      </c>
      <c r="R1543" t="s">
        <v>390</v>
      </c>
      <c r="S1543" s="1">
        <f>electric_vehicles_dataset[[#This Row],[Units_Sold_2024]]*electric_vehicles_dataset[[#This Row],[Price_USD]]</f>
        <v>291051909.68000001</v>
      </c>
      <c r="T1543">
        <v>3</v>
      </c>
      <c r="U1543">
        <v>7432</v>
      </c>
      <c r="V1543">
        <v>5</v>
      </c>
    </row>
    <row r="1544" spans="1:22" x14ac:dyDescent="0.35">
      <c r="A1544">
        <v>1543</v>
      </c>
      <c r="B1544" t="s">
        <v>170</v>
      </c>
      <c r="C1544" t="s">
        <v>218</v>
      </c>
      <c r="D1544">
        <v>2015</v>
      </c>
      <c r="E1544" t="s">
        <v>31</v>
      </c>
      <c r="F1544">
        <v>72.099999999999994</v>
      </c>
      <c r="G1544" t="s">
        <v>351</v>
      </c>
      <c r="H1544">
        <f>electric_vehicles_dataset[[#This Row],[Battery_Capacity_kWh]]/electric_vehicles_dataset[[#This Row],[Range_km]]</f>
        <v>0.2204892966360856</v>
      </c>
      <c r="I1544">
        <v>327</v>
      </c>
      <c r="J1544" t="s">
        <v>48</v>
      </c>
      <c r="K1544">
        <v>4</v>
      </c>
      <c r="L1544" s="1">
        <v>120006.24</v>
      </c>
      <c r="M1544" s="1" t="str" cm="1">
        <f t="array" ref="M15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44" t="s">
        <v>257</v>
      </c>
      <c r="O1544" t="s">
        <v>107</v>
      </c>
      <c r="P1544" s="2" t="s">
        <v>394</v>
      </c>
      <c r="Q1544">
        <v>5</v>
      </c>
      <c r="R1544" t="s">
        <v>392</v>
      </c>
      <c r="S1544" s="1">
        <f>electric_vehicles_dataset[[#This Row],[Units_Sold_2024]]*electric_vehicles_dataset[[#This Row],[Price_USD]]</f>
        <v>1755331272.48</v>
      </c>
      <c r="T1544">
        <v>4</v>
      </c>
      <c r="U1544">
        <v>14627</v>
      </c>
      <c r="V1544">
        <v>5</v>
      </c>
    </row>
    <row r="1545" spans="1:22" x14ac:dyDescent="0.35">
      <c r="A1545">
        <v>1544</v>
      </c>
      <c r="B1545" t="s">
        <v>71</v>
      </c>
      <c r="C1545" t="s">
        <v>315</v>
      </c>
      <c r="D1545">
        <v>2018</v>
      </c>
      <c r="E1545" t="s">
        <v>73</v>
      </c>
      <c r="F1545">
        <v>146.6</v>
      </c>
      <c r="G1545" t="s">
        <v>386</v>
      </c>
      <c r="H1545">
        <f>electric_vehicles_dataset[[#This Row],[Battery_Capacity_kWh]]/electric_vehicles_dataset[[#This Row],[Range_km]]</f>
        <v>0.28688845401174168</v>
      </c>
      <c r="I1545">
        <v>511</v>
      </c>
      <c r="J1545" t="s">
        <v>105</v>
      </c>
      <c r="K1545">
        <v>5</v>
      </c>
      <c r="L1545" s="1">
        <v>91485.37</v>
      </c>
      <c r="M1545" s="1" t="str" cm="1">
        <f t="array" ref="M154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45" t="s">
        <v>189</v>
      </c>
      <c r="O1545" t="s">
        <v>169</v>
      </c>
      <c r="P1545" s="2" t="s">
        <v>394</v>
      </c>
      <c r="Q1545">
        <v>4</v>
      </c>
      <c r="R1545" t="s">
        <v>392</v>
      </c>
      <c r="S1545" s="1">
        <f>electric_vehicles_dataset[[#This Row],[Units_Sold_2024]]*electric_vehicles_dataset[[#This Row],[Price_USD]]</f>
        <v>695105841.25999999</v>
      </c>
      <c r="T1545">
        <v>4</v>
      </c>
      <c r="U1545">
        <v>7598</v>
      </c>
      <c r="V1545">
        <v>4</v>
      </c>
    </row>
    <row r="1546" spans="1:22" x14ac:dyDescent="0.35">
      <c r="A1546">
        <v>1545</v>
      </c>
      <c r="B1546" t="s">
        <v>259</v>
      </c>
      <c r="C1546" t="s">
        <v>260</v>
      </c>
      <c r="D1546">
        <v>2019</v>
      </c>
      <c r="E1546" t="s">
        <v>26</v>
      </c>
      <c r="F1546">
        <v>22.8</v>
      </c>
      <c r="G1546" t="s">
        <v>357</v>
      </c>
      <c r="H1546">
        <f>electric_vehicles_dataset[[#This Row],[Battery_Capacity_kWh]]/electric_vehicles_dataset[[#This Row],[Range_km]]</f>
        <v>7.1028037383177575E-2</v>
      </c>
      <c r="I1546">
        <v>321</v>
      </c>
      <c r="J1546" t="s">
        <v>359</v>
      </c>
      <c r="K1546">
        <v>11</v>
      </c>
      <c r="L1546" s="1">
        <v>103578.72</v>
      </c>
      <c r="M1546" s="1" t="str" cm="1">
        <f t="array" ref="M154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46" t="s">
        <v>152</v>
      </c>
      <c r="O1546" t="s">
        <v>124</v>
      </c>
      <c r="P1546" s="2" t="s">
        <v>389</v>
      </c>
      <c r="Q1546">
        <v>4</v>
      </c>
      <c r="R1546" t="s">
        <v>392</v>
      </c>
      <c r="S1546" s="1">
        <f>electric_vehicles_dataset[[#This Row],[Units_Sold_2024]]*electric_vehicles_dataset[[#This Row],[Price_USD]]</f>
        <v>1976281977.5999999</v>
      </c>
      <c r="T1546">
        <v>4</v>
      </c>
      <c r="U1546">
        <v>19080</v>
      </c>
      <c r="V1546">
        <v>4</v>
      </c>
    </row>
    <row r="1547" spans="1:22" x14ac:dyDescent="0.35">
      <c r="A1547">
        <v>1546</v>
      </c>
      <c r="B1547" t="s">
        <v>187</v>
      </c>
      <c r="C1547" t="s">
        <v>293</v>
      </c>
      <c r="D1547">
        <v>2017</v>
      </c>
      <c r="E1547" t="s">
        <v>90</v>
      </c>
      <c r="F1547">
        <v>138.30000000000001</v>
      </c>
      <c r="G1547" t="s">
        <v>352</v>
      </c>
      <c r="H1547">
        <f>electric_vehicles_dataset[[#This Row],[Battery_Capacity_kWh]]/electric_vehicles_dataset[[#This Row],[Range_km]]</f>
        <v>0.31289592760180995</v>
      </c>
      <c r="I1547">
        <v>442</v>
      </c>
      <c r="J1547" t="s">
        <v>18</v>
      </c>
      <c r="K1547">
        <v>8</v>
      </c>
      <c r="L1547" s="1">
        <v>58022.57</v>
      </c>
      <c r="M1547" s="1" t="str" cm="1">
        <f t="array" ref="M154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47" t="s">
        <v>246</v>
      </c>
      <c r="O1547" t="s">
        <v>164</v>
      </c>
      <c r="P1547" s="2" t="s">
        <v>394</v>
      </c>
      <c r="Q1547">
        <v>5</v>
      </c>
      <c r="R1547" t="s">
        <v>392</v>
      </c>
      <c r="S1547" s="1">
        <f>electric_vehicles_dataset[[#This Row],[Units_Sold_2024]]*electric_vehicles_dataset[[#This Row],[Price_USD]]</f>
        <v>1074055793.27</v>
      </c>
      <c r="T1547">
        <v>4</v>
      </c>
      <c r="U1547">
        <v>18511</v>
      </c>
      <c r="V1547">
        <v>3</v>
      </c>
    </row>
    <row r="1548" spans="1:22" x14ac:dyDescent="0.35">
      <c r="A1548">
        <v>1547</v>
      </c>
      <c r="B1548" t="s">
        <v>313</v>
      </c>
      <c r="C1548" t="s">
        <v>314</v>
      </c>
      <c r="D1548">
        <v>2025</v>
      </c>
      <c r="E1548" t="s">
        <v>133</v>
      </c>
      <c r="F1548">
        <v>103.5</v>
      </c>
      <c r="G1548" t="s">
        <v>361</v>
      </c>
      <c r="H1548">
        <f>electric_vehicles_dataset[[#This Row],[Battery_Capacity_kWh]]/electric_vehicles_dataset[[#This Row],[Range_km]]</f>
        <v>0.19903846153846153</v>
      </c>
      <c r="I1548">
        <v>520</v>
      </c>
      <c r="J1548" t="s">
        <v>353</v>
      </c>
      <c r="K1548">
        <v>3</v>
      </c>
      <c r="L1548" s="1">
        <v>66010.31</v>
      </c>
      <c r="M1548" s="1" t="str" cm="1">
        <f t="array" ref="M15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48" t="s">
        <v>28</v>
      </c>
      <c r="O1548" t="s">
        <v>33</v>
      </c>
      <c r="P1548" s="2" t="s">
        <v>393</v>
      </c>
      <c r="Q1548">
        <v>5</v>
      </c>
      <c r="R1548" t="s">
        <v>392</v>
      </c>
      <c r="S1548" s="1">
        <f>electric_vehicles_dataset[[#This Row],[Units_Sold_2024]]*electric_vehicles_dataset[[#This Row],[Price_USD]]</f>
        <v>535211593.47999996</v>
      </c>
      <c r="T1548">
        <v>5</v>
      </c>
      <c r="U1548">
        <v>8108</v>
      </c>
      <c r="V1548">
        <v>5</v>
      </c>
    </row>
    <row r="1549" spans="1:22" x14ac:dyDescent="0.35">
      <c r="A1549">
        <v>1548</v>
      </c>
      <c r="B1549" t="s">
        <v>222</v>
      </c>
      <c r="C1549" t="s">
        <v>295</v>
      </c>
      <c r="D1549">
        <v>2015</v>
      </c>
      <c r="E1549" t="s">
        <v>130</v>
      </c>
      <c r="F1549">
        <v>138.30000000000001</v>
      </c>
      <c r="G1549" t="s">
        <v>352</v>
      </c>
      <c r="H1549">
        <f>electric_vehicles_dataset[[#This Row],[Battery_Capacity_kWh]]/electric_vehicles_dataset[[#This Row],[Range_km]]</f>
        <v>0.54664031620553366</v>
      </c>
      <c r="I1549">
        <v>253</v>
      </c>
      <c r="J1549" t="s">
        <v>54</v>
      </c>
      <c r="K1549">
        <v>10</v>
      </c>
      <c r="L1549" s="1">
        <v>131587.07999999999</v>
      </c>
      <c r="M1549" s="1" t="str" cm="1">
        <f t="array" ref="M154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49" t="s">
        <v>66</v>
      </c>
      <c r="O1549" t="s">
        <v>161</v>
      </c>
      <c r="P1549" s="2" t="s">
        <v>389</v>
      </c>
      <c r="Q1549">
        <v>5</v>
      </c>
      <c r="R1549" t="s">
        <v>392</v>
      </c>
      <c r="S1549" s="1">
        <f>electric_vehicles_dataset[[#This Row],[Units_Sold_2024]]*electric_vehicles_dataset[[#This Row],[Price_USD]]</f>
        <v>1538121378.1199999</v>
      </c>
      <c r="T1549">
        <v>5</v>
      </c>
      <c r="U1549">
        <v>11689</v>
      </c>
      <c r="V1549">
        <v>5</v>
      </c>
    </row>
    <row r="1550" spans="1:22" x14ac:dyDescent="0.35">
      <c r="A1550">
        <v>1549</v>
      </c>
      <c r="B1550" t="s">
        <v>176</v>
      </c>
      <c r="C1550" t="s">
        <v>326</v>
      </c>
      <c r="D1550">
        <v>2025</v>
      </c>
      <c r="E1550" t="s">
        <v>130</v>
      </c>
      <c r="F1550">
        <v>54.8</v>
      </c>
      <c r="G1550" t="s">
        <v>348</v>
      </c>
      <c r="H1550">
        <f>electric_vehicles_dataset[[#This Row],[Battery_Capacity_kWh]]/electric_vehicles_dataset[[#This Row],[Range_km]]</f>
        <v>9.4974003466204507E-2</v>
      </c>
      <c r="I1550">
        <v>577</v>
      </c>
      <c r="J1550" t="s">
        <v>48</v>
      </c>
      <c r="K1550">
        <v>5</v>
      </c>
      <c r="L1550" s="1">
        <v>83034.41</v>
      </c>
      <c r="M1550" s="1" t="str" cm="1">
        <f t="array" ref="M15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50" t="s">
        <v>219</v>
      </c>
      <c r="O1550" t="s">
        <v>115</v>
      </c>
      <c r="P1550" s="2" t="s">
        <v>396</v>
      </c>
      <c r="Q1550">
        <v>1</v>
      </c>
      <c r="R1550" t="s">
        <v>391</v>
      </c>
      <c r="S1550" s="1">
        <f>electric_vehicles_dataset[[#This Row],[Units_Sold_2024]]*electric_vehicles_dataset[[#This Row],[Price_USD]]</f>
        <v>1535970516.1800001</v>
      </c>
      <c r="T1550">
        <v>4</v>
      </c>
      <c r="U1550">
        <v>18498</v>
      </c>
      <c r="V1550">
        <v>5</v>
      </c>
    </row>
    <row r="1551" spans="1:22" x14ac:dyDescent="0.35">
      <c r="A1551">
        <v>1550</v>
      </c>
      <c r="B1551" t="s">
        <v>29</v>
      </c>
      <c r="C1551" t="s">
        <v>331</v>
      </c>
      <c r="D1551">
        <v>2016</v>
      </c>
      <c r="E1551" t="s">
        <v>31</v>
      </c>
      <c r="F1551">
        <v>122.4</v>
      </c>
      <c r="G1551" t="s">
        <v>352</v>
      </c>
      <c r="H1551">
        <f>electric_vehicles_dataset[[#This Row],[Battery_Capacity_kWh]]/electric_vehicles_dataset[[#This Row],[Range_km]]</f>
        <v>0.48379446640316209</v>
      </c>
      <c r="I1551">
        <v>253</v>
      </c>
      <c r="J1551" t="s">
        <v>105</v>
      </c>
      <c r="K1551">
        <v>8</v>
      </c>
      <c r="L1551" s="1">
        <v>76392.479999999996</v>
      </c>
      <c r="M1551" s="1" t="str" cm="1">
        <f t="array" ref="M155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51" t="s">
        <v>279</v>
      </c>
      <c r="O1551" t="s">
        <v>167</v>
      </c>
      <c r="P1551" s="2" t="s">
        <v>394</v>
      </c>
      <c r="Q1551">
        <v>4</v>
      </c>
      <c r="R1551" t="s">
        <v>392</v>
      </c>
      <c r="S1551" s="1">
        <f>electric_vehicles_dataset[[#This Row],[Units_Sold_2024]]*electric_vehicles_dataset[[#This Row],[Price_USD]]</f>
        <v>720381086.39999998</v>
      </c>
      <c r="T1551">
        <v>4</v>
      </c>
      <c r="U1551">
        <v>9430</v>
      </c>
      <c r="V1551">
        <v>3</v>
      </c>
    </row>
    <row r="1552" spans="1:22" x14ac:dyDescent="0.35">
      <c r="A1552">
        <v>1551</v>
      </c>
      <c r="B1552" t="s">
        <v>269</v>
      </c>
      <c r="C1552" t="s">
        <v>329</v>
      </c>
      <c r="D1552">
        <v>2024</v>
      </c>
      <c r="E1552" t="s">
        <v>183</v>
      </c>
      <c r="F1552">
        <v>113.5</v>
      </c>
      <c r="G1552" t="s">
        <v>361</v>
      </c>
      <c r="H1552">
        <f>electric_vehicles_dataset[[#This Row],[Battery_Capacity_kWh]]/electric_vehicles_dataset[[#This Row],[Range_km]]</f>
        <v>0.69207317073170727</v>
      </c>
      <c r="I1552">
        <v>164</v>
      </c>
      <c r="J1552" t="s">
        <v>34</v>
      </c>
      <c r="K1552">
        <v>4</v>
      </c>
      <c r="L1552" s="1">
        <v>106430.63</v>
      </c>
      <c r="M1552" s="1" t="str" cm="1">
        <f t="array" ref="M155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52" t="s">
        <v>100</v>
      </c>
      <c r="O1552" t="s">
        <v>63</v>
      </c>
      <c r="P1552" s="2" t="s">
        <v>389</v>
      </c>
      <c r="Q1552">
        <v>0</v>
      </c>
      <c r="R1552" t="s">
        <v>390</v>
      </c>
      <c r="S1552" s="1">
        <f>electric_vehicles_dataset[[#This Row],[Units_Sold_2024]]*electric_vehicles_dataset[[#This Row],[Price_USD]]</f>
        <v>1213202751.3700001</v>
      </c>
      <c r="T1552">
        <v>5</v>
      </c>
      <c r="U1552">
        <v>11399</v>
      </c>
      <c r="V1552">
        <v>5</v>
      </c>
    </row>
    <row r="1553" spans="1:22" x14ac:dyDescent="0.35">
      <c r="A1553">
        <v>1552</v>
      </c>
      <c r="B1553" t="s">
        <v>144</v>
      </c>
      <c r="C1553" t="s">
        <v>145</v>
      </c>
      <c r="D1553">
        <v>2017</v>
      </c>
      <c r="E1553" t="s">
        <v>58</v>
      </c>
      <c r="F1553">
        <v>92.5</v>
      </c>
      <c r="G1553" t="s">
        <v>350</v>
      </c>
      <c r="H1553">
        <f>electric_vehicles_dataset[[#This Row],[Battery_Capacity_kWh]]/electric_vehicles_dataset[[#This Row],[Range_km]]</f>
        <v>0.47193877551020408</v>
      </c>
      <c r="I1553">
        <v>196</v>
      </c>
      <c r="J1553" t="s">
        <v>358</v>
      </c>
      <c r="K1553">
        <v>5</v>
      </c>
      <c r="L1553" s="1">
        <v>85161.56</v>
      </c>
      <c r="M1553" s="1" t="str" cm="1">
        <f t="array" ref="M155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53" t="s">
        <v>160</v>
      </c>
      <c r="O1553" t="s">
        <v>110</v>
      </c>
      <c r="P1553" s="2" t="s">
        <v>394</v>
      </c>
      <c r="Q1553">
        <v>3</v>
      </c>
      <c r="R1553" t="s">
        <v>397</v>
      </c>
      <c r="S1553" s="1">
        <f>electric_vehicles_dataset[[#This Row],[Units_Sold_2024]]*electric_vehicles_dataset[[#This Row],[Price_USD]]</f>
        <v>389358652.31999999</v>
      </c>
      <c r="T1553">
        <v>4</v>
      </c>
      <c r="U1553">
        <v>4572</v>
      </c>
      <c r="V1553">
        <v>4</v>
      </c>
    </row>
    <row r="1554" spans="1:22" x14ac:dyDescent="0.35">
      <c r="A1554">
        <v>1553</v>
      </c>
      <c r="B1554" t="s">
        <v>269</v>
      </c>
      <c r="C1554" t="s">
        <v>340</v>
      </c>
      <c r="D1554">
        <v>2018</v>
      </c>
      <c r="E1554" t="s">
        <v>133</v>
      </c>
      <c r="F1554">
        <v>42.6</v>
      </c>
      <c r="G1554" t="s">
        <v>348</v>
      </c>
      <c r="H1554">
        <f>electric_vehicles_dataset[[#This Row],[Battery_Capacity_kWh]]/electric_vehicles_dataset[[#This Row],[Range_km]]</f>
        <v>7.2696245733788398E-2</v>
      </c>
      <c r="I1554">
        <v>586</v>
      </c>
      <c r="J1554" t="s">
        <v>27</v>
      </c>
      <c r="K1554">
        <v>2</v>
      </c>
      <c r="L1554" s="1">
        <v>131883.56</v>
      </c>
      <c r="M1554" s="1" t="str" cm="1">
        <f t="array" ref="M155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54" t="s">
        <v>131</v>
      </c>
      <c r="O1554" t="s">
        <v>150</v>
      </c>
      <c r="P1554" s="2" t="s">
        <v>389</v>
      </c>
      <c r="Q1554">
        <v>1</v>
      </c>
      <c r="R1554" t="s">
        <v>391</v>
      </c>
      <c r="S1554" s="1">
        <f>electric_vehicles_dataset[[#This Row],[Units_Sold_2024]]*electric_vehicles_dataset[[#This Row],[Price_USD]]</f>
        <v>312695920.75999999</v>
      </c>
      <c r="T1554">
        <v>3</v>
      </c>
      <c r="U1554">
        <v>2371</v>
      </c>
      <c r="V1554">
        <v>3</v>
      </c>
    </row>
    <row r="1555" spans="1:22" x14ac:dyDescent="0.35">
      <c r="A1555">
        <v>1554</v>
      </c>
      <c r="B1555" t="s">
        <v>259</v>
      </c>
      <c r="C1555" t="s">
        <v>260</v>
      </c>
      <c r="D1555">
        <v>2021</v>
      </c>
      <c r="E1555" t="s">
        <v>47</v>
      </c>
      <c r="F1555">
        <v>48.7</v>
      </c>
      <c r="G1555" t="s">
        <v>348</v>
      </c>
      <c r="H1555">
        <f>electric_vehicles_dataset[[#This Row],[Battery_Capacity_kWh]]/electric_vehicles_dataset[[#This Row],[Range_km]]</f>
        <v>0.1546031746031746</v>
      </c>
      <c r="I1555">
        <v>315</v>
      </c>
      <c r="J1555" t="s">
        <v>356</v>
      </c>
      <c r="K1555">
        <v>5</v>
      </c>
      <c r="L1555" s="1">
        <v>118844.33</v>
      </c>
      <c r="M1555" s="1" t="str" cm="1">
        <f t="array" ref="M155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55" t="s">
        <v>175</v>
      </c>
      <c r="O1555" t="s">
        <v>226</v>
      </c>
      <c r="P1555" s="2" t="s">
        <v>395</v>
      </c>
      <c r="Q1555">
        <v>4</v>
      </c>
      <c r="R1555" t="s">
        <v>392</v>
      </c>
      <c r="S1555" s="1">
        <f>electric_vehicles_dataset[[#This Row],[Units_Sold_2024]]*electric_vehicles_dataset[[#This Row],[Price_USD]]</f>
        <v>1075065809.1800001</v>
      </c>
      <c r="T1555">
        <v>4</v>
      </c>
      <c r="U1555">
        <v>9046</v>
      </c>
      <c r="V1555">
        <v>4</v>
      </c>
    </row>
    <row r="1556" spans="1:22" x14ac:dyDescent="0.35">
      <c r="A1556">
        <v>1555</v>
      </c>
      <c r="B1556" t="s">
        <v>64</v>
      </c>
      <c r="C1556" t="s">
        <v>65</v>
      </c>
      <c r="D1556">
        <v>2019</v>
      </c>
      <c r="E1556" t="s">
        <v>84</v>
      </c>
      <c r="F1556">
        <v>100.2</v>
      </c>
      <c r="G1556" t="s">
        <v>361</v>
      </c>
      <c r="H1556">
        <f>electric_vehicles_dataset[[#This Row],[Battery_Capacity_kWh]]/electric_vehicles_dataset[[#This Row],[Range_km]]</f>
        <v>0.48173076923076924</v>
      </c>
      <c r="I1556">
        <v>208</v>
      </c>
      <c r="J1556" t="s">
        <v>353</v>
      </c>
      <c r="K1556">
        <v>9</v>
      </c>
      <c r="L1556" s="1">
        <v>72055.42</v>
      </c>
      <c r="M1556" s="1" t="str" cm="1">
        <f t="array" ref="M15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56" t="s">
        <v>32</v>
      </c>
      <c r="O1556" t="s">
        <v>111</v>
      </c>
      <c r="P1556" s="2" t="s">
        <v>389</v>
      </c>
      <c r="Q1556">
        <v>2</v>
      </c>
      <c r="R1556" t="s">
        <v>391</v>
      </c>
      <c r="S1556" s="1">
        <f>electric_vehicles_dataset[[#This Row],[Units_Sold_2024]]*electric_vehicles_dataset[[#This Row],[Price_USD]]</f>
        <v>124007377.81999999</v>
      </c>
      <c r="T1556">
        <v>4</v>
      </c>
      <c r="U1556">
        <v>1721</v>
      </c>
      <c r="V1556">
        <v>3</v>
      </c>
    </row>
    <row r="1557" spans="1:22" x14ac:dyDescent="0.35">
      <c r="A1557">
        <v>1556</v>
      </c>
      <c r="B1557" t="s">
        <v>21</v>
      </c>
      <c r="C1557" t="s">
        <v>363</v>
      </c>
      <c r="D1557">
        <v>2018</v>
      </c>
      <c r="E1557" t="s">
        <v>130</v>
      </c>
      <c r="F1557">
        <v>117.7</v>
      </c>
      <c r="G1557" t="s">
        <v>361</v>
      </c>
      <c r="H1557">
        <f>electric_vehicles_dataset[[#This Row],[Battery_Capacity_kWh]]/electric_vehicles_dataset[[#This Row],[Range_km]]</f>
        <v>0.40034013605442176</v>
      </c>
      <c r="I1557">
        <v>294</v>
      </c>
      <c r="J1557" t="s">
        <v>359</v>
      </c>
      <c r="K1557">
        <v>1</v>
      </c>
      <c r="L1557" s="1">
        <v>100146.78</v>
      </c>
      <c r="M1557" s="1" t="str" cm="1">
        <f t="array" ref="M155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57" t="s">
        <v>62</v>
      </c>
      <c r="O1557" t="s">
        <v>202</v>
      </c>
      <c r="P1557" s="2" t="s">
        <v>393</v>
      </c>
      <c r="Q1557">
        <v>5</v>
      </c>
      <c r="R1557" t="s">
        <v>392</v>
      </c>
      <c r="S1557" s="1">
        <f>electric_vehicles_dataset[[#This Row],[Units_Sold_2024]]*electric_vehicles_dataset[[#This Row],[Price_USD]]</f>
        <v>1168212188.7</v>
      </c>
      <c r="T1557">
        <v>4</v>
      </c>
      <c r="U1557">
        <v>11665</v>
      </c>
      <c r="V1557">
        <v>5</v>
      </c>
    </row>
    <row r="1558" spans="1:22" x14ac:dyDescent="0.35">
      <c r="A1558">
        <v>1557</v>
      </c>
      <c r="B1558" t="s">
        <v>51</v>
      </c>
      <c r="C1558" t="s">
        <v>52</v>
      </c>
      <c r="D1558">
        <v>2025</v>
      </c>
      <c r="E1558" t="s">
        <v>101</v>
      </c>
      <c r="F1558">
        <v>83.2</v>
      </c>
      <c r="G1558" t="s">
        <v>350</v>
      </c>
      <c r="H1558">
        <f>electric_vehicles_dataset[[#This Row],[Battery_Capacity_kWh]]/electric_vehicles_dataset[[#This Row],[Range_km]]</f>
        <v>0.25679012345679014</v>
      </c>
      <c r="I1558">
        <v>324</v>
      </c>
      <c r="J1558" t="s">
        <v>34</v>
      </c>
      <c r="K1558">
        <v>10</v>
      </c>
      <c r="L1558" s="1">
        <v>61524.98</v>
      </c>
      <c r="M1558" s="1" t="str" cm="1">
        <f t="array" ref="M155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58" t="s">
        <v>143</v>
      </c>
      <c r="O1558" t="s">
        <v>111</v>
      </c>
      <c r="P1558" s="2" t="s">
        <v>389</v>
      </c>
      <c r="Q1558">
        <v>0</v>
      </c>
      <c r="R1558" t="s">
        <v>390</v>
      </c>
      <c r="S1558" s="1">
        <f>electric_vehicles_dataset[[#This Row],[Units_Sold_2024]]*electric_vehicles_dataset[[#This Row],[Price_USD]]</f>
        <v>651918688.08000004</v>
      </c>
      <c r="T1558">
        <v>5</v>
      </c>
      <c r="U1558">
        <v>10596</v>
      </c>
      <c r="V1558">
        <v>3</v>
      </c>
    </row>
    <row r="1559" spans="1:22" x14ac:dyDescent="0.35">
      <c r="A1559">
        <v>1558</v>
      </c>
      <c r="B1559" t="s">
        <v>120</v>
      </c>
      <c r="C1559" t="s">
        <v>195</v>
      </c>
      <c r="D1559">
        <v>2020</v>
      </c>
      <c r="E1559" t="s">
        <v>58</v>
      </c>
      <c r="F1559">
        <v>114.7</v>
      </c>
      <c r="G1559" t="s">
        <v>361</v>
      </c>
      <c r="H1559">
        <f>electric_vehicles_dataset[[#This Row],[Battery_Capacity_kWh]]/electric_vehicles_dataset[[#This Row],[Range_km]]</f>
        <v>0.55679611650485439</v>
      </c>
      <c r="I1559">
        <v>206</v>
      </c>
      <c r="J1559" t="s">
        <v>105</v>
      </c>
      <c r="K1559">
        <v>10</v>
      </c>
      <c r="L1559" s="1">
        <v>141043.15</v>
      </c>
      <c r="M1559" s="1" t="str" cm="1">
        <f t="array" ref="M155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59" t="s">
        <v>189</v>
      </c>
      <c r="O1559" t="s">
        <v>354</v>
      </c>
      <c r="P1559" s="2" t="s">
        <v>394</v>
      </c>
      <c r="Q1559">
        <v>1</v>
      </c>
      <c r="R1559" t="s">
        <v>391</v>
      </c>
      <c r="S1559" s="1">
        <f>electric_vehicles_dataset[[#This Row],[Units_Sold_2024]]*electric_vehicles_dataset[[#This Row],[Price_USD]]</f>
        <v>2646674709.75</v>
      </c>
      <c r="T1559">
        <v>3</v>
      </c>
      <c r="U1559">
        <v>18765</v>
      </c>
      <c r="V1559">
        <v>3</v>
      </c>
    </row>
    <row r="1560" spans="1:22" x14ac:dyDescent="0.35">
      <c r="A1560">
        <v>1559</v>
      </c>
      <c r="B1560" t="s">
        <v>234</v>
      </c>
      <c r="C1560" t="s">
        <v>235</v>
      </c>
      <c r="D1560">
        <v>2018</v>
      </c>
      <c r="E1560" t="s">
        <v>31</v>
      </c>
      <c r="F1560">
        <v>28.6</v>
      </c>
      <c r="G1560" t="s">
        <v>357</v>
      </c>
      <c r="H1560">
        <f>electric_vehicles_dataset[[#This Row],[Battery_Capacity_kWh]]/electric_vehicles_dataset[[#This Row],[Range_km]]</f>
        <v>4.9912739965095987E-2</v>
      </c>
      <c r="I1560">
        <v>573</v>
      </c>
      <c r="J1560" t="s">
        <v>149</v>
      </c>
      <c r="K1560">
        <v>4</v>
      </c>
      <c r="L1560" s="1">
        <v>117745.81</v>
      </c>
      <c r="M1560" s="1" t="str" cm="1">
        <f t="array" ref="M156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60" t="s">
        <v>35</v>
      </c>
      <c r="O1560" t="s">
        <v>20</v>
      </c>
      <c r="P1560" s="2" t="s">
        <v>389</v>
      </c>
      <c r="Q1560">
        <v>3</v>
      </c>
      <c r="R1560" t="s">
        <v>397</v>
      </c>
      <c r="S1560" s="1">
        <f>electric_vehicles_dataset[[#This Row],[Units_Sold_2024]]*electric_vehicles_dataset[[#This Row],[Price_USD]]</f>
        <v>1379627655.77</v>
      </c>
      <c r="T1560">
        <v>3</v>
      </c>
      <c r="U1560">
        <v>11717</v>
      </c>
      <c r="V1560">
        <v>3</v>
      </c>
    </row>
    <row r="1561" spans="1:22" x14ac:dyDescent="0.35">
      <c r="A1561">
        <v>1560</v>
      </c>
      <c r="B1561" t="s">
        <v>64</v>
      </c>
      <c r="C1561" t="s">
        <v>65</v>
      </c>
      <c r="D1561">
        <v>2024</v>
      </c>
      <c r="E1561" t="s">
        <v>130</v>
      </c>
      <c r="F1561">
        <v>88.4</v>
      </c>
      <c r="G1561" t="s">
        <v>350</v>
      </c>
      <c r="H1561">
        <f>electric_vehicles_dataset[[#This Row],[Battery_Capacity_kWh]]/electric_vehicles_dataset[[#This Row],[Range_km]]</f>
        <v>0.26153846153846155</v>
      </c>
      <c r="I1561">
        <v>338</v>
      </c>
      <c r="J1561" t="s">
        <v>38</v>
      </c>
      <c r="K1561">
        <v>3</v>
      </c>
      <c r="L1561" s="1">
        <v>46081.57</v>
      </c>
      <c r="M1561" s="1" t="str" cm="1">
        <f t="array" ref="M156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61" t="s">
        <v>35</v>
      </c>
      <c r="O1561" t="s">
        <v>115</v>
      </c>
      <c r="P1561" s="2" t="s">
        <v>396</v>
      </c>
      <c r="Q1561">
        <v>4</v>
      </c>
      <c r="R1561" t="s">
        <v>392</v>
      </c>
      <c r="S1561" s="1">
        <f>electric_vehicles_dataset[[#This Row],[Units_Sold_2024]]*electric_vehicles_dataset[[#This Row],[Price_USD]]</f>
        <v>657491840.75999999</v>
      </c>
      <c r="T1561">
        <v>4</v>
      </c>
      <c r="U1561">
        <v>14268</v>
      </c>
      <c r="V1561">
        <v>4</v>
      </c>
    </row>
    <row r="1562" spans="1:22" x14ac:dyDescent="0.35">
      <c r="A1562">
        <v>1561</v>
      </c>
      <c r="B1562" t="s">
        <v>184</v>
      </c>
      <c r="C1562" t="s">
        <v>213</v>
      </c>
      <c r="D1562">
        <v>2015</v>
      </c>
      <c r="E1562" t="s">
        <v>17</v>
      </c>
      <c r="F1562">
        <v>88.7</v>
      </c>
      <c r="G1562" t="s">
        <v>350</v>
      </c>
      <c r="H1562">
        <f>electric_vehicles_dataset[[#This Row],[Battery_Capacity_kWh]]/electric_vehicles_dataset[[#This Row],[Range_km]]</f>
        <v>0.30481099656357391</v>
      </c>
      <c r="I1562">
        <v>291</v>
      </c>
      <c r="J1562" t="s">
        <v>27</v>
      </c>
      <c r="K1562">
        <v>1</v>
      </c>
      <c r="L1562" s="1">
        <v>116770.4</v>
      </c>
      <c r="M1562" s="1" t="str" cm="1">
        <f t="array" ref="M156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62" t="s">
        <v>19</v>
      </c>
      <c r="O1562" t="s">
        <v>226</v>
      </c>
      <c r="P1562" s="2" t="s">
        <v>395</v>
      </c>
      <c r="Q1562">
        <v>0</v>
      </c>
      <c r="R1562" t="s">
        <v>390</v>
      </c>
      <c r="S1562" s="1">
        <f>electric_vehicles_dataset[[#This Row],[Units_Sold_2024]]*electric_vehicles_dataset[[#This Row],[Price_USD]]</f>
        <v>352296296.80000001</v>
      </c>
      <c r="T1562">
        <v>4</v>
      </c>
      <c r="U1562">
        <v>3017</v>
      </c>
      <c r="V1562">
        <v>3</v>
      </c>
    </row>
    <row r="1563" spans="1:22" x14ac:dyDescent="0.35">
      <c r="A1563">
        <v>1562</v>
      </c>
      <c r="B1563" t="s">
        <v>180</v>
      </c>
      <c r="C1563" t="s">
        <v>285</v>
      </c>
      <c r="D1563">
        <v>2021</v>
      </c>
      <c r="E1563" t="s">
        <v>130</v>
      </c>
      <c r="F1563">
        <v>89.5</v>
      </c>
      <c r="G1563" t="s">
        <v>350</v>
      </c>
      <c r="H1563">
        <f>electric_vehicles_dataset[[#This Row],[Battery_Capacity_kWh]]/electric_vehicles_dataset[[#This Row],[Range_km]]</f>
        <v>0.47860962566844922</v>
      </c>
      <c r="I1563">
        <v>187</v>
      </c>
      <c r="J1563" t="s">
        <v>48</v>
      </c>
      <c r="K1563">
        <v>11</v>
      </c>
      <c r="L1563" s="1">
        <v>31773.86</v>
      </c>
      <c r="M1563" s="1" t="str" cm="1">
        <f t="array" ref="M156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63" t="s">
        <v>271</v>
      </c>
      <c r="O1563" t="s">
        <v>354</v>
      </c>
      <c r="P1563" s="2" t="s">
        <v>394</v>
      </c>
      <c r="Q1563">
        <v>0</v>
      </c>
      <c r="R1563" t="s">
        <v>390</v>
      </c>
      <c r="S1563" s="1">
        <f>electric_vehicles_dataset[[#This Row],[Units_Sold_2024]]*electric_vehicles_dataset[[#This Row],[Price_USD]]</f>
        <v>422052182.38</v>
      </c>
      <c r="T1563">
        <v>4</v>
      </c>
      <c r="U1563">
        <v>13283</v>
      </c>
      <c r="V1563">
        <v>5</v>
      </c>
    </row>
    <row r="1564" spans="1:22" x14ac:dyDescent="0.35">
      <c r="A1564">
        <v>1563</v>
      </c>
      <c r="B1564" t="s">
        <v>207</v>
      </c>
      <c r="C1564" t="s">
        <v>287</v>
      </c>
      <c r="D1564">
        <v>2021</v>
      </c>
      <c r="E1564" t="s">
        <v>133</v>
      </c>
      <c r="F1564">
        <v>36.799999999999997</v>
      </c>
      <c r="G1564" t="s">
        <v>357</v>
      </c>
      <c r="H1564">
        <f>electric_vehicles_dataset[[#This Row],[Battery_Capacity_kWh]]/electric_vehicles_dataset[[#This Row],[Range_km]]</f>
        <v>7.5255623721881382E-2</v>
      </c>
      <c r="I1564">
        <v>489</v>
      </c>
      <c r="J1564" t="s">
        <v>345</v>
      </c>
      <c r="K1564">
        <v>10</v>
      </c>
      <c r="L1564" s="1">
        <v>78785.539999999994</v>
      </c>
      <c r="M1564" s="1" t="str" cm="1">
        <f t="array" ref="M156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64" t="s">
        <v>114</v>
      </c>
      <c r="O1564" t="s">
        <v>115</v>
      </c>
      <c r="P1564" s="2" t="s">
        <v>396</v>
      </c>
      <c r="Q1564">
        <v>0</v>
      </c>
      <c r="R1564" t="s">
        <v>390</v>
      </c>
      <c r="S1564" s="1">
        <f>electric_vehicles_dataset[[#This Row],[Units_Sold_2024]]*electric_vehicles_dataset[[#This Row],[Price_USD]]</f>
        <v>630914604.31999993</v>
      </c>
      <c r="T1564">
        <v>3</v>
      </c>
      <c r="U1564">
        <v>8008</v>
      </c>
      <c r="V1564">
        <v>5</v>
      </c>
    </row>
    <row r="1565" spans="1:22" x14ac:dyDescent="0.35">
      <c r="A1565">
        <v>1564</v>
      </c>
      <c r="B1565" t="s">
        <v>29</v>
      </c>
      <c r="C1565" t="s">
        <v>331</v>
      </c>
      <c r="D1565">
        <v>2019</v>
      </c>
      <c r="E1565" t="s">
        <v>101</v>
      </c>
      <c r="F1565">
        <v>111.9</v>
      </c>
      <c r="G1565" t="s">
        <v>361</v>
      </c>
      <c r="H1565">
        <f>electric_vehicles_dataset[[#This Row],[Battery_Capacity_kWh]]/electric_vehicles_dataset[[#This Row],[Range_km]]</f>
        <v>0.5595</v>
      </c>
      <c r="I1565">
        <v>200</v>
      </c>
      <c r="J1565" t="s">
        <v>76</v>
      </c>
      <c r="K1565">
        <v>5</v>
      </c>
      <c r="L1565" s="1">
        <v>36335.26</v>
      </c>
      <c r="M1565" s="1" t="str" cm="1">
        <f t="array" ref="M156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65" t="s">
        <v>55</v>
      </c>
      <c r="O1565" t="s">
        <v>67</v>
      </c>
      <c r="P1565" s="2" t="s">
        <v>394</v>
      </c>
      <c r="Q1565">
        <v>4</v>
      </c>
      <c r="R1565" t="s">
        <v>392</v>
      </c>
      <c r="S1565" s="1">
        <f>electric_vehicles_dataset[[#This Row],[Units_Sold_2024]]*electric_vehicles_dataset[[#This Row],[Price_USD]]</f>
        <v>398997490.06</v>
      </c>
      <c r="T1565">
        <v>5</v>
      </c>
      <c r="U1565">
        <v>10981</v>
      </c>
      <c r="V1565">
        <v>5</v>
      </c>
    </row>
    <row r="1566" spans="1:22" x14ac:dyDescent="0.35">
      <c r="A1566">
        <v>1565</v>
      </c>
      <c r="B1566" t="s">
        <v>144</v>
      </c>
      <c r="C1566" t="s">
        <v>145</v>
      </c>
      <c r="D1566">
        <v>2017</v>
      </c>
      <c r="E1566" t="s">
        <v>101</v>
      </c>
      <c r="F1566">
        <v>57.5</v>
      </c>
      <c r="G1566" t="s">
        <v>348</v>
      </c>
      <c r="H1566">
        <f>electric_vehicles_dataset[[#This Row],[Battery_Capacity_kWh]]/electric_vehicles_dataset[[#This Row],[Range_km]]</f>
        <v>0.38851351351351349</v>
      </c>
      <c r="I1566">
        <v>148</v>
      </c>
      <c r="J1566" t="s">
        <v>48</v>
      </c>
      <c r="K1566">
        <v>4</v>
      </c>
      <c r="L1566" s="1">
        <v>48408.3</v>
      </c>
      <c r="M1566" s="1" t="str" cm="1">
        <f t="array" ref="M156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66" t="s">
        <v>253</v>
      </c>
      <c r="O1566" t="s">
        <v>169</v>
      </c>
      <c r="P1566" s="2" t="s">
        <v>394</v>
      </c>
      <c r="Q1566">
        <v>0</v>
      </c>
      <c r="R1566" t="s">
        <v>390</v>
      </c>
      <c r="S1566" s="1">
        <f>electric_vehicles_dataset[[#This Row],[Units_Sold_2024]]*electric_vehicles_dataset[[#This Row],[Price_USD]]</f>
        <v>933989740.20000005</v>
      </c>
      <c r="T1566">
        <v>5</v>
      </c>
      <c r="U1566">
        <v>19294</v>
      </c>
      <c r="V1566">
        <v>5</v>
      </c>
    </row>
    <row r="1567" spans="1:22" x14ac:dyDescent="0.35">
      <c r="A1567">
        <v>1566</v>
      </c>
      <c r="B1567" t="s">
        <v>153</v>
      </c>
      <c r="C1567" t="s">
        <v>204</v>
      </c>
      <c r="D1567">
        <v>2016</v>
      </c>
      <c r="E1567" t="s">
        <v>26</v>
      </c>
      <c r="F1567">
        <v>72.2</v>
      </c>
      <c r="G1567" t="s">
        <v>351</v>
      </c>
      <c r="H1567">
        <f>electric_vehicles_dataset[[#This Row],[Battery_Capacity_kWh]]/electric_vehicles_dataset[[#This Row],[Range_km]]</f>
        <v>0.1296229802513465</v>
      </c>
      <c r="I1567">
        <v>557</v>
      </c>
      <c r="J1567" t="s">
        <v>353</v>
      </c>
      <c r="K1567">
        <v>3</v>
      </c>
      <c r="L1567" s="1">
        <v>118822.63</v>
      </c>
      <c r="M1567" s="1" t="str" cm="1">
        <f t="array" ref="M156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67" t="s">
        <v>240</v>
      </c>
      <c r="O1567" t="s">
        <v>150</v>
      </c>
      <c r="P1567" s="2" t="s">
        <v>389</v>
      </c>
      <c r="Q1567">
        <v>0</v>
      </c>
      <c r="R1567" t="s">
        <v>390</v>
      </c>
      <c r="S1567" s="1">
        <f>electric_vehicles_dataset[[#This Row],[Units_Sold_2024]]*electric_vehicles_dataset[[#This Row],[Price_USD]]</f>
        <v>1243954113.47</v>
      </c>
      <c r="T1567">
        <v>4</v>
      </c>
      <c r="U1567">
        <v>10469</v>
      </c>
      <c r="V1567">
        <v>3</v>
      </c>
    </row>
    <row r="1568" spans="1:22" x14ac:dyDescent="0.35">
      <c r="A1568">
        <v>1567</v>
      </c>
      <c r="B1568" t="s">
        <v>41</v>
      </c>
      <c r="C1568" t="s">
        <v>374</v>
      </c>
      <c r="D1568">
        <v>2017</v>
      </c>
      <c r="E1568" t="s">
        <v>73</v>
      </c>
      <c r="F1568">
        <v>42.9</v>
      </c>
      <c r="G1568" t="s">
        <v>348</v>
      </c>
      <c r="H1568">
        <f>electric_vehicles_dataset[[#This Row],[Battery_Capacity_kWh]]/electric_vehicles_dataset[[#This Row],[Range_km]]</f>
        <v>0.14793103448275863</v>
      </c>
      <c r="I1568">
        <v>290</v>
      </c>
      <c r="J1568" t="s">
        <v>34</v>
      </c>
      <c r="K1568">
        <v>2</v>
      </c>
      <c r="L1568" s="1">
        <v>33303.760000000002</v>
      </c>
      <c r="M1568" s="1" t="str" cm="1">
        <f t="array" ref="M156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68" t="s">
        <v>117</v>
      </c>
      <c r="O1568" t="s">
        <v>118</v>
      </c>
      <c r="P1568" s="2" t="s">
        <v>389</v>
      </c>
      <c r="Q1568">
        <v>0</v>
      </c>
      <c r="R1568" t="s">
        <v>390</v>
      </c>
      <c r="S1568" s="1">
        <f>electric_vehicles_dataset[[#This Row],[Units_Sold_2024]]*electric_vehicles_dataset[[#This Row],[Price_USD]]</f>
        <v>334736091.76000005</v>
      </c>
      <c r="T1568">
        <v>5</v>
      </c>
      <c r="U1568">
        <v>10051</v>
      </c>
      <c r="V1568">
        <v>3</v>
      </c>
    </row>
    <row r="1569" spans="1:22" x14ac:dyDescent="0.35">
      <c r="A1569">
        <v>1568</v>
      </c>
      <c r="B1569" t="s">
        <v>128</v>
      </c>
      <c r="C1569" t="s">
        <v>284</v>
      </c>
      <c r="D1569">
        <v>2018</v>
      </c>
      <c r="E1569" t="s">
        <v>31</v>
      </c>
      <c r="F1569">
        <v>103.4</v>
      </c>
      <c r="G1569" t="s">
        <v>361</v>
      </c>
      <c r="H1569">
        <f>electric_vehicles_dataset[[#This Row],[Battery_Capacity_kWh]]/electric_vehicles_dataset[[#This Row],[Range_km]]</f>
        <v>0.36153846153846153</v>
      </c>
      <c r="I1569">
        <v>286</v>
      </c>
      <c r="J1569" t="s">
        <v>85</v>
      </c>
      <c r="K1569">
        <v>6</v>
      </c>
      <c r="L1569" s="1">
        <v>144642.82</v>
      </c>
      <c r="M1569" s="1" t="str" cm="1">
        <f t="array" ref="M156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69" t="s">
        <v>43</v>
      </c>
      <c r="O1569" t="s">
        <v>124</v>
      </c>
      <c r="P1569" s="2" t="s">
        <v>389</v>
      </c>
      <c r="Q1569">
        <v>5</v>
      </c>
      <c r="R1569" t="s">
        <v>392</v>
      </c>
      <c r="S1569" s="1">
        <f>electric_vehicles_dataset[[#This Row],[Units_Sold_2024]]*electric_vehicles_dataset[[#This Row],[Price_USD]]</f>
        <v>1342719298.0600002</v>
      </c>
      <c r="T1569">
        <v>4</v>
      </c>
      <c r="U1569">
        <v>9283</v>
      </c>
      <c r="V1569">
        <v>4</v>
      </c>
    </row>
    <row r="1570" spans="1:22" x14ac:dyDescent="0.35">
      <c r="A1570">
        <v>1569</v>
      </c>
      <c r="B1570" t="s">
        <v>60</v>
      </c>
      <c r="C1570" t="s">
        <v>342</v>
      </c>
      <c r="D1570">
        <v>2019</v>
      </c>
      <c r="E1570" t="s">
        <v>101</v>
      </c>
      <c r="F1570">
        <v>85.1</v>
      </c>
      <c r="G1570" t="s">
        <v>350</v>
      </c>
      <c r="H1570">
        <f>electric_vehicles_dataset[[#This Row],[Battery_Capacity_kWh]]/electric_vehicles_dataset[[#This Row],[Range_km]]</f>
        <v>0.33769841269841266</v>
      </c>
      <c r="I1570">
        <v>252</v>
      </c>
      <c r="J1570" t="s">
        <v>54</v>
      </c>
      <c r="K1570">
        <v>8</v>
      </c>
      <c r="L1570" s="1">
        <v>81383.62</v>
      </c>
      <c r="M1570" s="1" t="str" cm="1">
        <f t="array" ref="M15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70" t="s">
        <v>22</v>
      </c>
      <c r="O1570" t="s">
        <v>86</v>
      </c>
      <c r="P1570" s="2" t="s">
        <v>389</v>
      </c>
      <c r="Q1570">
        <v>4</v>
      </c>
      <c r="R1570" t="s">
        <v>392</v>
      </c>
      <c r="S1570" s="1">
        <f>electric_vehicles_dataset[[#This Row],[Units_Sold_2024]]*electric_vehicles_dataset[[#This Row],[Price_USD]]</f>
        <v>145351145.31999999</v>
      </c>
      <c r="T1570">
        <v>3</v>
      </c>
      <c r="U1570">
        <v>1786</v>
      </c>
      <c r="V1570">
        <v>5</v>
      </c>
    </row>
    <row r="1571" spans="1:22" x14ac:dyDescent="0.35">
      <c r="A1571">
        <v>1570</v>
      </c>
      <c r="B1571" t="s">
        <v>74</v>
      </c>
      <c r="C1571" t="s">
        <v>75</v>
      </c>
      <c r="D1571">
        <v>2018</v>
      </c>
      <c r="E1571" t="s">
        <v>42</v>
      </c>
      <c r="F1571">
        <v>117.5</v>
      </c>
      <c r="G1571" t="s">
        <v>361</v>
      </c>
      <c r="H1571">
        <f>electric_vehicles_dataset[[#This Row],[Battery_Capacity_kWh]]/electric_vehicles_dataset[[#This Row],[Range_km]]</f>
        <v>0.27647058823529413</v>
      </c>
      <c r="I1571">
        <v>425</v>
      </c>
      <c r="J1571" t="s">
        <v>356</v>
      </c>
      <c r="K1571">
        <v>8</v>
      </c>
      <c r="L1571" s="1">
        <v>134036.35</v>
      </c>
      <c r="M1571" s="1" t="str" cm="1">
        <f t="array" ref="M157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71" t="s">
        <v>100</v>
      </c>
      <c r="O1571" t="s">
        <v>134</v>
      </c>
      <c r="P1571" s="2" t="s">
        <v>389</v>
      </c>
      <c r="Q1571">
        <v>4</v>
      </c>
      <c r="R1571" t="s">
        <v>392</v>
      </c>
      <c r="S1571" s="1">
        <f>electric_vehicles_dataset[[#This Row],[Units_Sold_2024]]*electric_vehicles_dataset[[#This Row],[Price_USD]]</f>
        <v>2072604080.0500002</v>
      </c>
      <c r="T1571">
        <v>5</v>
      </c>
      <c r="U1571">
        <v>15463</v>
      </c>
      <c r="V1571">
        <v>3</v>
      </c>
    </row>
    <row r="1572" spans="1:22" x14ac:dyDescent="0.35">
      <c r="A1572">
        <v>1571</v>
      </c>
      <c r="B1572" t="s">
        <v>243</v>
      </c>
      <c r="C1572" t="s">
        <v>371</v>
      </c>
      <c r="D1572">
        <v>2016</v>
      </c>
      <c r="E1572" t="s">
        <v>104</v>
      </c>
      <c r="F1572">
        <v>109.5</v>
      </c>
      <c r="G1572" t="s">
        <v>361</v>
      </c>
      <c r="H1572">
        <f>electric_vehicles_dataset[[#This Row],[Battery_Capacity_kWh]]/electric_vehicles_dataset[[#This Row],[Range_km]]</f>
        <v>0.36993243243243246</v>
      </c>
      <c r="I1572">
        <v>296</v>
      </c>
      <c r="J1572" t="s">
        <v>34</v>
      </c>
      <c r="K1572">
        <v>5</v>
      </c>
      <c r="L1572" s="1">
        <v>69901.87</v>
      </c>
      <c r="M1572" s="1" t="str" cm="1">
        <f t="array" ref="M15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72" t="s">
        <v>77</v>
      </c>
      <c r="O1572" t="s">
        <v>92</v>
      </c>
      <c r="P1572" s="2" t="s">
        <v>394</v>
      </c>
      <c r="Q1572">
        <v>3</v>
      </c>
      <c r="R1572" t="s">
        <v>397</v>
      </c>
      <c r="S1572" s="1">
        <f>electric_vehicles_dataset[[#This Row],[Units_Sold_2024]]*electric_vehicles_dataset[[#This Row],[Price_USD]]</f>
        <v>1170227205.6699998</v>
      </c>
      <c r="T1572">
        <v>3</v>
      </c>
      <c r="U1572">
        <v>16741</v>
      </c>
      <c r="V1572">
        <v>3</v>
      </c>
    </row>
    <row r="1573" spans="1:22" x14ac:dyDescent="0.35">
      <c r="A1573">
        <v>1572</v>
      </c>
      <c r="B1573" t="s">
        <v>155</v>
      </c>
      <c r="C1573" t="s">
        <v>190</v>
      </c>
      <c r="D1573">
        <v>2021</v>
      </c>
      <c r="E1573" t="s">
        <v>133</v>
      </c>
      <c r="F1573">
        <v>33.700000000000003</v>
      </c>
      <c r="G1573" t="s">
        <v>357</v>
      </c>
      <c r="H1573">
        <f>electric_vehicles_dataset[[#This Row],[Battery_Capacity_kWh]]/electric_vehicles_dataset[[#This Row],[Range_km]]</f>
        <v>9.8538011695906438E-2</v>
      </c>
      <c r="I1573">
        <v>342</v>
      </c>
      <c r="J1573" t="s">
        <v>149</v>
      </c>
      <c r="K1573">
        <v>3</v>
      </c>
      <c r="L1573" s="1">
        <v>78518.37</v>
      </c>
      <c r="M1573" s="1" t="str" cm="1">
        <f t="array" ref="M157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73" t="s">
        <v>98</v>
      </c>
      <c r="O1573" t="s">
        <v>33</v>
      </c>
      <c r="P1573" s="2" t="s">
        <v>393</v>
      </c>
      <c r="Q1573">
        <v>3</v>
      </c>
      <c r="R1573" t="s">
        <v>397</v>
      </c>
      <c r="S1573" s="1">
        <f>electric_vehicles_dataset[[#This Row],[Units_Sold_2024]]*electric_vehicles_dataset[[#This Row],[Price_USD]]</f>
        <v>1117394923.47</v>
      </c>
      <c r="T1573">
        <v>4</v>
      </c>
      <c r="U1573">
        <v>14231</v>
      </c>
      <c r="V1573">
        <v>5</v>
      </c>
    </row>
    <row r="1574" spans="1:22" x14ac:dyDescent="0.35">
      <c r="A1574">
        <v>1573</v>
      </c>
      <c r="B1574" t="s">
        <v>56</v>
      </c>
      <c r="C1574" t="s">
        <v>57</v>
      </c>
      <c r="D1574">
        <v>2020</v>
      </c>
      <c r="E1574" t="s">
        <v>31</v>
      </c>
      <c r="F1574">
        <v>93</v>
      </c>
      <c r="G1574" t="s">
        <v>350</v>
      </c>
      <c r="H1574">
        <f>electric_vehicles_dataset[[#This Row],[Battery_Capacity_kWh]]/electric_vehicles_dataset[[#This Row],[Range_km]]</f>
        <v>0.20350109409190373</v>
      </c>
      <c r="I1574">
        <v>457</v>
      </c>
      <c r="J1574" t="s">
        <v>358</v>
      </c>
      <c r="K1574">
        <v>2</v>
      </c>
      <c r="L1574" s="1">
        <v>106054.84</v>
      </c>
      <c r="M1574" s="1" t="str" cm="1">
        <f t="array" ref="M157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74" t="s">
        <v>168</v>
      </c>
      <c r="O1574" t="s">
        <v>182</v>
      </c>
      <c r="P1574" s="2" t="s">
        <v>394</v>
      </c>
      <c r="Q1574">
        <v>2</v>
      </c>
      <c r="R1574" t="s">
        <v>391</v>
      </c>
      <c r="S1574" s="1">
        <f>electric_vehicles_dataset[[#This Row],[Units_Sold_2024]]*electric_vehicles_dataset[[#This Row],[Price_USD]]</f>
        <v>1349229674.48</v>
      </c>
      <c r="T1574">
        <v>3</v>
      </c>
      <c r="U1574">
        <v>12722</v>
      </c>
      <c r="V1574">
        <v>4</v>
      </c>
    </row>
    <row r="1575" spans="1:22" x14ac:dyDescent="0.35">
      <c r="A1575">
        <v>1574</v>
      </c>
      <c r="B1575" t="s">
        <v>41</v>
      </c>
      <c r="C1575" t="s">
        <v>374</v>
      </c>
      <c r="D1575">
        <v>2019</v>
      </c>
      <c r="E1575" t="s">
        <v>58</v>
      </c>
      <c r="F1575">
        <v>64</v>
      </c>
      <c r="G1575" t="s">
        <v>351</v>
      </c>
      <c r="H1575">
        <f>electric_vehicles_dataset[[#This Row],[Battery_Capacity_kWh]]/electric_vehicles_dataset[[#This Row],[Range_km]]</f>
        <v>0.45390070921985815</v>
      </c>
      <c r="I1575">
        <v>141</v>
      </c>
      <c r="J1575" t="s">
        <v>85</v>
      </c>
      <c r="K1575">
        <v>8</v>
      </c>
      <c r="L1575" s="1">
        <v>133609.35</v>
      </c>
      <c r="M1575" s="1" t="str" cm="1">
        <f t="array" ref="M15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75" t="s">
        <v>35</v>
      </c>
      <c r="O1575" t="s">
        <v>169</v>
      </c>
      <c r="P1575" s="2" t="s">
        <v>394</v>
      </c>
      <c r="Q1575">
        <v>5</v>
      </c>
      <c r="R1575" t="s">
        <v>392</v>
      </c>
      <c r="S1575" s="1">
        <f>electric_vehicles_dataset[[#This Row],[Units_Sold_2024]]*electric_vehicles_dataset[[#This Row],[Price_USD]]</f>
        <v>1188321558.9000001</v>
      </c>
      <c r="T1575">
        <v>4</v>
      </c>
      <c r="U1575">
        <v>8894</v>
      </c>
      <c r="V1575">
        <v>3</v>
      </c>
    </row>
    <row r="1576" spans="1:22" x14ac:dyDescent="0.35">
      <c r="A1576">
        <v>1575</v>
      </c>
      <c r="B1576" t="s">
        <v>68</v>
      </c>
      <c r="C1576" t="s">
        <v>69</v>
      </c>
      <c r="D1576">
        <v>2021</v>
      </c>
      <c r="E1576" t="s">
        <v>47</v>
      </c>
      <c r="F1576">
        <v>62.7</v>
      </c>
      <c r="G1576" t="s">
        <v>351</v>
      </c>
      <c r="H1576">
        <f>electric_vehicles_dataset[[#This Row],[Battery_Capacity_kWh]]/electric_vehicles_dataset[[#This Row],[Range_km]]</f>
        <v>0.1298136645962733</v>
      </c>
      <c r="I1576">
        <v>483</v>
      </c>
      <c r="J1576" t="s">
        <v>358</v>
      </c>
      <c r="K1576">
        <v>3</v>
      </c>
      <c r="L1576" s="1">
        <v>99330.14</v>
      </c>
      <c r="M1576" s="1" t="str" cm="1">
        <f t="array" ref="M157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76" t="s">
        <v>70</v>
      </c>
      <c r="O1576" t="s">
        <v>93</v>
      </c>
      <c r="P1576" s="2" t="s">
        <v>389</v>
      </c>
      <c r="Q1576">
        <v>4</v>
      </c>
      <c r="R1576" t="s">
        <v>392</v>
      </c>
      <c r="S1576" s="1">
        <f>electric_vehicles_dataset[[#This Row],[Units_Sold_2024]]*electric_vehicles_dataset[[#This Row],[Price_USD]]</f>
        <v>769311934.29999995</v>
      </c>
      <c r="T1576">
        <v>5</v>
      </c>
      <c r="U1576">
        <v>7745</v>
      </c>
      <c r="V1576">
        <v>5</v>
      </c>
    </row>
    <row r="1577" spans="1:22" x14ac:dyDescent="0.35">
      <c r="A1577">
        <v>1576</v>
      </c>
      <c r="B1577" t="s">
        <v>157</v>
      </c>
      <c r="C1577" t="s">
        <v>375</v>
      </c>
      <c r="D1577">
        <v>2025</v>
      </c>
      <c r="E1577" t="s">
        <v>58</v>
      </c>
      <c r="F1577">
        <v>74</v>
      </c>
      <c r="G1577" t="s">
        <v>351</v>
      </c>
      <c r="H1577">
        <f>electric_vehicles_dataset[[#This Row],[Battery_Capacity_kWh]]/electric_vehicles_dataset[[#This Row],[Range_km]]</f>
        <v>0.26334519572953735</v>
      </c>
      <c r="I1577">
        <v>281</v>
      </c>
      <c r="J1577" t="s">
        <v>353</v>
      </c>
      <c r="K1577">
        <v>8</v>
      </c>
      <c r="L1577" s="1">
        <v>90011.17</v>
      </c>
      <c r="M1577" s="1" t="str" cm="1">
        <f t="array" ref="M157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77" t="s">
        <v>175</v>
      </c>
      <c r="O1577" t="s">
        <v>164</v>
      </c>
      <c r="P1577" s="2" t="s">
        <v>394</v>
      </c>
      <c r="Q1577">
        <v>4</v>
      </c>
      <c r="R1577" t="s">
        <v>392</v>
      </c>
      <c r="S1577" s="1">
        <f>electric_vehicles_dataset[[#This Row],[Units_Sold_2024]]*electric_vehicles_dataset[[#This Row],[Price_USD]]</f>
        <v>86140689.689999998</v>
      </c>
      <c r="T1577">
        <v>3</v>
      </c>
      <c r="U1577">
        <v>957</v>
      </c>
      <c r="V1577">
        <v>3</v>
      </c>
    </row>
    <row r="1578" spans="1:22" x14ac:dyDescent="0.35">
      <c r="A1578">
        <v>1577</v>
      </c>
      <c r="B1578" t="s">
        <v>144</v>
      </c>
      <c r="C1578" t="s">
        <v>145</v>
      </c>
      <c r="D1578">
        <v>2018</v>
      </c>
      <c r="E1578" t="s">
        <v>130</v>
      </c>
      <c r="F1578">
        <v>37</v>
      </c>
      <c r="G1578" t="s">
        <v>357</v>
      </c>
      <c r="H1578">
        <f>electric_vehicles_dataset[[#This Row],[Battery_Capacity_kWh]]/electric_vehicles_dataset[[#This Row],[Range_km]]</f>
        <v>0.2846153846153846</v>
      </c>
      <c r="I1578">
        <v>130</v>
      </c>
      <c r="J1578" t="s">
        <v>356</v>
      </c>
      <c r="K1578">
        <v>8</v>
      </c>
      <c r="L1578" s="1">
        <v>123001.86</v>
      </c>
      <c r="M1578" s="1" t="str" cm="1">
        <f t="array" ref="M15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78" t="s">
        <v>168</v>
      </c>
      <c r="O1578" t="s">
        <v>115</v>
      </c>
      <c r="P1578" s="2" t="s">
        <v>396</v>
      </c>
      <c r="Q1578">
        <v>2</v>
      </c>
      <c r="R1578" t="s">
        <v>391</v>
      </c>
      <c r="S1578" s="1">
        <f>electric_vehicles_dataset[[#This Row],[Units_Sold_2024]]*electric_vehicles_dataset[[#This Row],[Price_USD]]</f>
        <v>2232360757.1399999</v>
      </c>
      <c r="T1578">
        <v>4</v>
      </c>
      <c r="U1578">
        <v>18149</v>
      </c>
      <c r="V1578">
        <v>5</v>
      </c>
    </row>
    <row r="1579" spans="1:22" x14ac:dyDescent="0.35">
      <c r="A1579">
        <v>1578</v>
      </c>
      <c r="B1579" t="s">
        <v>144</v>
      </c>
      <c r="C1579" t="s">
        <v>273</v>
      </c>
      <c r="D1579">
        <v>2021</v>
      </c>
      <c r="E1579" t="s">
        <v>17</v>
      </c>
      <c r="F1579">
        <v>55.8</v>
      </c>
      <c r="G1579" t="s">
        <v>348</v>
      </c>
      <c r="H1579">
        <f>electric_vehicles_dataset[[#This Row],[Battery_Capacity_kWh]]/electric_vehicles_dataset[[#This Row],[Range_km]]</f>
        <v>0.27087378640776699</v>
      </c>
      <c r="I1579">
        <v>206</v>
      </c>
      <c r="J1579" t="s">
        <v>48</v>
      </c>
      <c r="K1579">
        <v>2</v>
      </c>
      <c r="L1579" s="1">
        <v>44698.33</v>
      </c>
      <c r="M1579" s="1" t="str" cm="1">
        <f t="array" ref="M157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79" t="s">
        <v>179</v>
      </c>
      <c r="O1579" t="s">
        <v>164</v>
      </c>
      <c r="P1579" s="2" t="s">
        <v>394</v>
      </c>
      <c r="Q1579">
        <v>4</v>
      </c>
      <c r="R1579" t="s">
        <v>392</v>
      </c>
      <c r="S1579" s="1">
        <f>electric_vehicles_dataset[[#This Row],[Units_Sold_2024]]*electric_vehicles_dataset[[#This Row],[Price_USD]]</f>
        <v>581257083.32000005</v>
      </c>
      <c r="T1579">
        <v>4</v>
      </c>
      <c r="U1579">
        <v>13004</v>
      </c>
      <c r="V1579">
        <v>3</v>
      </c>
    </row>
    <row r="1580" spans="1:22" x14ac:dyDescent="0.35">
      <c r="A1580">
        <v>1579</v>
      </c>
      <c r="B1580" t="s">
        <v>56</v>
      </c>
      <c r="C1580" t="s">
        <v>57</v>
      </c>
      <c r="D1580">
        <v>2017</v>
      </c>
      <c r="E1580" t="s">
        <v>17</v>
      </c>
      <c r="F1580">
        <v>95.2</v>
      </c>
      <c r="G1580" t="s">
        <v>350</v>
      </c>
      <c r="H1580">
        <f>electric_vehicles_dataset[[#This Row],[Battery_Capacity_kWh]]/electric_vehicles_dataset[[#This Row],[Range_km]]</f>
        <v>0.18133333333333335</v>
      </c>
      <c r="I1580">
        <v>525</v>
      </c>
      <c r="J1580" t="s">
        <v>85</v>
      </c>
      <c r="K1580">
        <v>5</v>
      </c>
      <c r="L1580" s="1">
        <v>114303.75</v>
      </c>
      <c r="M1580" s="1" t="str" cm="1">
        <f t="array" ref="M158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80" t="s">
        <v>91</v>
      </c>
      <c r="O1580" t="s">
        <v>164</v>
      </c>
      <c r="P1580" s="2" t="s">
        <v>394</v>
      </c>
      <c r="Q1580">
        <v>1</v>
      </c>
      <c r="R1580" t="s">
        <v>391</v>
      </c>
      <c r="S1580" s="1">
        <f>electric_vehicles_dataset[[#This Row],[Units_Sold_2024]]*electric_vehicles_dataset[[#This Row],[Price_USD]]</f>
        <v>2191317191.25</v>
      </c>
      <c r="T1580">
        <v>5</v>
      </c>
      <c r="U1580">
        <v>19171</v>
      </c>
      <c r="V1580">
        <v>5</v>
      </c>
    </row>
    <row r="1581" spans="1:22" x14ac:dyDescent="0.35">
      <c r="A1581">
        <v>1580</v>
      </c>
      <c r="B1581" t="s">
        <v>16</v>
      </c>
      <c r="C1581" t="s">
        <v>347</v>
      </c>
      <c r="D1581">
        <v>2015</v>
      </c>
      <c r="E1581" t="s">
        <v>31</v>
      </c>
      <c r="F1581">
        <v>71.400000000000006</v>
      </c>
      <c r="G1581" t="s">
        <v>351</v>
      </c>
      <c r="H1581">
        <f>electric_vehicles_dataset[[#This Row],[Battery_Capacity_kWh]]/electric_vehicles_dataset[[#This Row],[Range_km]]</f>
        <v>0.18167938931297711</v>
      </c>
      <c r="I1581">
        <v>393</v>
      </c>
      <c r="J1581" t="s">
        <v>105</v>
      </c>
      <c r="K1581">
        <v>6</v>
      </c>
      <c r="L1581" s="1">
        <v>109793.25</v>
      </c>
      <c r="M1581" s="1" t="str" cm="1">
        <f t="array" ref="M15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81" t="s">
        <v>117</v>
      </c>
      <c r="O1581" t="s">
        <v>147</v>
      </c>
      <c r="P1581" s="2" t="s">
        <v>396</v>
      </c>
      <c r="Q1581">
        <v>3</v>
      </c>
      <c r="R1581" t="s">
        <v>397</v>
      </c>
      <c r="S1581" s="1">
        <f>electric_vehicles_dataset[[#This Row],[Units_Sold_2024]]*electric_vehicles_dataset[[#This Row],[Price_USD]]</f>
        <v>2040397758</v>
      </c>
      <c r="T1581">
        <v>4</v>
      </c>
      <c r="U1581">
        <v>18584</v>
      </c>
      <c r="V1581">
        <v>4</v>
      </c>
    </row>
    <row r="1582" spans="1:22" x14ac:dyDescent="0.35">
      <c r="A1582">
        <v>1581</v>
      </c>
      <c r="B1582" t="s">
        <v>200</v>
      </c>
      <c r="C1582" t="s">
        <v>368</v>
      </c>
      <c r="D1582">
        <v>2022</v>
      </c>
      <c r="E1582" t="s">
        <v>73</v>
      </c>
      <c r="F1582">
        <v>23.3</v>
      </c>
      <c r="G1582" t="s">
        <v>357</v>
      </c>
      <c r="H1582">
        <f>electric_vehicles_dataset[[#This Row],[Battery_Capacity_kWh]]/electric_vehicles_dataset[[#This Row],[Range_km]]</f>
        <v>5.1893095768374163E-2</v>
      </c>
      <c r="I1582">
        <v>449</v>
      </c>
      <c r="J1582" t="s">
        <v>353</v>
      </c>
      <c r="K1582">
        <v>3</v>
      </c>
      <c r="L1582" s="1">
        <v>56480.84</v>
      </c>
      <c r="M1582" s="1" t="str" cm="1">
        <f t="array" ref="M15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82" t="s">
        <v>43</v>
      </c>
      <c r="O1582" t="s">
        <v>95</v>
      </c>
      <c r="P1582" s="2" t="s">
        <v>394</v>
      </c>
      <c r="Q1582">
        <v>3</v>
      </c>
      <c r="R1582" t="s">
        <v>397</v>
      </c>
      <c r="S1582" s="1">
        <f>electric_vehicles_dataset[[#This Row],[Units_Sold_2024]]*electric_vehicles_dataset[[#This Row],[Price_USD]]</f>
        <v>50945717.68</v>
      </c>
      <c r="T1582">
        <v>5</v>
      </c>
      <c r="U1582">
        <v>902</v>
      </c>
      <c r="V1582">
        <v>3</v>
      </c>
    </row>
    <row r="1583" spans="1:22" x14ac:dyDescent="0.35">
      <c r="A1583">
        <v>1582</v>
      </c>
      <c r="B1583" t="s">
        <v>36</v>
      </c>
      <c r="C1583" t="s">
        <v>317</v>
      </c>
      <c r="D1583">
        <v>2024</v>
      </c>
      <c r="E1583" t="s">
        <v>90</v>
      </c>
      <c r="F1583">
        <v>55.4</v>
      </c>
      <c r="G1583" t="s">
        <v>348</v>
      </c>
      <c r="H1583">
        <f>electric_vehicles_dataset[[#This Row],[Battery_Capacity_kWh]]/electric_vehicles_dataset[[#This Row],[Range_km]]</f>
        <v>0.13884711779448622</v>
      </c>
      <c r="I1583">
        <v>399</v>
      </c>
      <c r="J1583" t="s">
        <v>27</v>
      </c>
      <c r="K1583">
        <v>9</v>
      </c>
      <c r="L1583" s="1">
        <v>39756.46</v>
      </c>
      <c r="M1583" s="1" t="str" cm="1">
        <f t="array" ref="M158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83" t="s">
        <v>102</v>
      </c>
      <c r="O1583" t="s">
        <v>159</v>
      </c>
      <c r="P1583" s="2" t="s">
        <v>389</v>
      </c>
      <c r="Q1583">
        <v>2</v>
      </c>
      <c r="R1583" t="s">
        <v>391</v>
      </c>
      <c r="S1583" s="1">
        <f>electric_vehicles_dataset[[#This Row],[Units_Sold_2024]]*electric_vehicles_dataset[[#This Row],[Price_USD]]</f>
        <v>627953285.69999993</v>
      </c>
      <c r="T1583">
        <v>4</v>
      </c>
      <c r="U1583">
        <v>15795</v>
      </c>
      <c r="V1583">
        <v>5</v>
      </c>
    </row>
    <row r="1584" spans="1:22" x14ac:dyDescent="0.35">
      <c r="A1584">
        <v>1583</v>
      </c>
      <c r="B1584" t="s">
        <v>74</v>
      </c>
      <c r="C1584" t="s">
        <v>75</v>
      </c>
      <c r="D1584">
        <v>2025</v>
      </c>
      <c r="E1584" t="s">
        <v>133</v>
      </c>
      <c r="F1584">
        <v>89.4</v>
      </c>
      <c r="G1584" t="s">
        <v>350</v>
      </c>
      <c r="H1584">
        <f>electric_vehicles_dataset[[#This Row],[Battery_Capacity_kWh]]/electric_vehicles_dataset[[#This Row],[Range_km]]</f>
        <v>0.59205298013245033</v>
      </c>
      <c r="I1584">
        <v>151</v>
      </c>
      <c r="J1584" t="s">
        <v>54</v>
      </c>
      <c r="K1584">
        <v>1</v>
      </c>
      <c r="L1584" s="1">
        <v>97602.21</v>
      </c>
      <c r="M1584" s="1" t="str" cm="1">
        <f t="array" ref="M158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84" t="s">
        <v>271</v>
      </c>
      <c r="O1584" t="s">
        <v>161</v>
      </c>
      <c r="P1584" s="2" t="s">
        <v>389</v>
      </c>
      <c r="Q1584">
        <v>2</v>
      </c>
      <c r="R1584" t="s">
        <v>391</v>
      </c>
      <c r="S1584" s="1">
        <f>electric_vehicles_dataset[[#This Row],[Units_Sold_2024]]*electric_vehicles_dataset[[#This Row],[Price_USD]]</f>
        <v>1388489039.46</v>
      </c>
      <c r="T1584">
        <v>4</v>
      </c>
      <c r="U1584">
        <v>14226</v>
      </c>
      <c r="V1584">
        <v>4</v>
      </c>
    </row>
    <row r="1585" spans="1:22" x14ac:dyDescent="0.35">
      <c r="A1585">
        <v>1584</v>
      </c>
      <c r="B1585" t="s">
        <v>157</v>
      </c>
      <c r="C1585" t="s">
        <v>296</v>
      </c>
      <c r="D1585">
        <v>2015</v>
      </c>
      <c r="E1585" t="s">
        <v>58</v>
      </c>
      <c r="F1585">
        <v>149.19999999999999</v>
      </c>
      <c r="G1585" t="s">
        <v>386</v>
      </c>
      <c r="H1585">
        <f>electric_vehicles_dataset[[#This Row],[Battery_Capacity_kWh]]/electric_vehicles_dataset[[#This Row],[Range_km]]</f>
        <v>0.26407079646017695</v>
      </c>
      <c r="I1585">
        <v>565</v>
      </c>
      <c r="J1585" t="s">
        <v>364</v>
      </c>
      <c r="K1585">
        <v>2</v>
      </c>
      <c r="L1585" s="1">
        <v>31250.63</v>
      </c>
      <c r="M1585" s="1" t="str" cm="1">
        <f t="array" ref="M158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85" t="s">
        <v>179</v>
      </c>
      <c r="O1585" t="s">
        <v>167</v>
      </c>
      <c r="P1585" s="2" t="s">
        <v>394</v>
      </c>
      <c r="Q1585">
        <v>4</v>
      </c>
      <c r="R1585" t="s">
        <v>392</v>
      </c>
      <c r="S1585" s="1">
        <f>electric_vehicles_dataset[[#This Row],[Units_Sold_2024]]*electric_vehicles_dataset[[#This Row],[Price_USD]]</f>
        <v>25500514.080000002</v>
      </c>
      <c r="T1585">
        <v>4</v>
      </c>
      <c r="U1585">
        <v>816</v>
      </c>
      <c r="V1585">
        <v>3</v>
      </c>
    </row>
    <row r="1586" spans="1:22" x14ac:dyDescent="0.35">
      <c r="A1586">
        <v>1585</v>
      </c>
      <c r="B1586" t="s">
        <v>234</v>
      </c>
      <c r="C1586" t="s">
        <v>235</v>
      </c>
      <c r="D1586">
        <v>2015</v>
      </c>
      <c r="E1586" t="s">
        <v>101</v>
      </c>
      <c r="F1586">
        <v>88.9</v>
      </c>
      <c r="G1586" t="s">
        <v>350</v>
      </c>
      <c r="H1586">
        <f>electric_vehicles_dataset[[#This Row],[Battery_Capacity_kWh]]/electric_vehicles_dataset[[#This Row],[Range_km]]</f>
        <v>0.16933333333333334</v>
      </c>
      <c r="I1586">
        <v>525</v>
      </c>
      <c r="J1586" t="s">
        <v>358</v>
      </c>
      <c r="K1586">
        <v>10</v>
      </c>
      <c r="L1586" s="1">
        <v>141099.54999999999</v>
      </c>
      <c r="M1586" s="1" t="str" cm="1">
        <f t="array" ref="M158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86" t="s">
        <v>253</v>
      </c>
      <c r="O1586" t="s">
        <v>107</v>
      </c>
      <c r="P1586" s="2" t="s">
        <v>394</v>
      </c>
      <c r="Q1586">
        <v>5</v>
      </c>
      <c r="R1586" t="s">
        <v>392</v>
      </c>
      <c r="S1586" s="1">
        <f>electric_vehicles_dataset[[#This Row],[Units_Sold_2024]]*electric_vehicles_dataset[[#This Row],[Price_USD]]</f>
        <v>182865016.79999998</v>
      </c>
      <c r="T1586">
        <v>5</v>
      </c>
      <c r="U1586">
        <v>1296</v>
      </c>
      <c r="V1586">
        <v>3</v>
      </c>
    </row>
    <row r="1587" spans="1:22" x14ac:dyDescent="0.35">
      <c r="A1587">
        <v>1586</v>
      </c>
      <c r="B1587" t="s">
        <v>176</v>
      </c>
      <c r="C1587" t="s">
        <v>326</v>
      </c>
      <c r="D1587">
        <v>2016</v>
      </c>
      <c r="E1587" t="s">
        <v>26</v>
      </c>
      <c r="F1587">
        <v>120.1</v>
      </c>
      <c r="G1587" t="s">
        <v>352</v>
      </c>
      <c r="H1587">
        <f>electric_vehicles_dataset[[#This Row],[Battery_Capacity_kWh]]/electric_vehicles_dataset[[#This Row],[Range_km]]</f>
        <v>0.51767241379310347</v>
      </c>
      <c r="I1587">
        <v>232</v>
      </c>
      <c r="J1587" t="s">
        <v>38</v>
      </c>
      <c r="K1587">
        <v>4</v>
      </c>
      <c r="L1587" s="1">
        <v>61335.98</v>
      </c>
      <c r="M1587" s="1" t="str" cm="1">
        <f t="array" ref="M158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87" t="s">
        <v>240</v>
      </c>
      <c r="O1587" t="s">
        <v>67</v>
      </c>
      <c r="P1587" s="2" t="s">
        <v>394</v>
      </c>
      <c r="Q1587">
        <v>1</v>
      </c>
      <c r="R1587" t="s">
        <v>391</v>
      </c>
      <c r="S1587" s="1">
        <f>electric_vehicles_dataset[[#This Row],[Units_Sold_2024]]*electric_vehicles_dataset[[#This Row],[Price_USD]]</f>
        <v>960766790.72000003</v>
      </c>
      <c r="T1587">
        <v>4</v>
      </c>
      <c r="U1587">
        <v>15664</v>
      </c>
      <c r="V1587">
        <v>5</v>
      </c>
    </row>
    <row r="1588" spans="1:22" x14ac:dyDescent="0.35">
      <c r="A1588">
        <v>1587</v>
      </c>
      <c r="B1588" t="s">
        <v>68</v>
      </c>
      <c r="C1588" t="s">
        <v>103</v>
      </c>
      <c r="D1588">
        <v>2022</v>
      </c>
      <c r="E1588" t="s">
        <v>26</v>
      </c>
      <c r="F1588">
        <v>142.1</v>
      </c>
      <c r="G1588" t="s">
        <v>386</v>
      </c>
      <c r="H1588">
        <f>electric_vehicles_dataset[[#This Row],[Battery_Capacity_kWh]]/electric_vehicles_dataset[[#This Row],[Range_km]]</f>
        <v>0.35348258706467661</v>
      </c>
      <c r="I1588">
        <v>402</v>
      </c>
      <c r="J1588" t="s">
        <v>48</v>
      </c>
      <c r="K1588">
        <v>3</v>
      </c>
      <c r="L1588" s="1">
        <v>95225.42</v>
      </c>
      <c r="M1588" s="1" t="str" cm="1">
        <f t="array" ref="M158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88" t="s">
        <v>279</v>
      </c>
      <c r="O1588" t="s">
        <v>20</v>
      </c>
      <c r="P1588" s="2" t="s">
        <v>389</v>
      </c>
      <c r="Q1588">
        <v>3</v>
      </c>
      <c r="R1588" t="s">
        <v>397</v>
      </c>
      <c r="S1588" s="1">
        <f>electric_vehicles_dataset[[#This Row],[Units_Sold_2024]]*electric_vehicles_dataset[[#This Row],[Price_USD]]</f>
        <v>1546079919.1199999</v>
      </c>
      <c r="T1588">
        <v>3</v>
      </c>
      <c r="U1588">
        <v>16236</v>
      </c>
      <c r="V1588">
        <v>3</v>
      </c>
    </row>
    <row r="1589" spans="1:22" x14ac:dyDescent="0.35">
      <c r="A1589">
        <v>1588</v>
      </c>
      <c r="B1589" t="s">
        <v>192</v>
      </c>
      <c r="C1589" t="s">
        <v>316</v>
      </c>
      <c r="D1589">
        <v>2016</v>
      </c>
      <c r="E1589" t="s">
        <v>90</v>
      </c>
      <c r="F1589">
        <v>108.6</v>
      </c>
      <c r="G1589" t="s">
        <v>361</v>
      </c>
      <c r="H1589">
        <f>electric_vehicles_dataset[[#This Row],[Battery_Capacity_kWh]]/electric_vehicles_dataset[[#This Row],[Range_km]]</f>
        <v>0.18919860627177698</v>
      </c>
      <c r="I1589">
        <v>574</v>
      </c>
      <c r="J1589" t="s">
        <v>76</v>
      </c>
      <c r="K1589">
        <v>12</v>
      </c>
      <c r="L1589" s="1">
        <v>66414.61</v>
      </c>
      <c r="M1589" s="1" t="str" cm="1">
        <f t="array" ref="M158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89" t="s">
        <v>32</v>
      </c>
      <c r="O1589" t="s">
        <v>115</v>
      </c>
      <c r="P1589" s="2" t="s">
        <v>396</v>
      </c>
      <c r="Q1589">
        <v>4</v>
      </c>
      <c r="R1589" t="s">
        <v>392</v>
      </c>
      <c r="S1589" s="1">
        <f>electric_vehicles_dataset[[#This Row],[Units_Sold_2024]]*electric_vehicles_dataset[[#This Row],[Price_USD]]</f>
        <v>200240049.15000001</v>
      </c>
      <c r="T1589">
        <v>4</v>
      </c>
      <c r="U1589">
        <v>3015</v>
      </c>
      <c r="V1589">
        <v>3</v>
      </c>
    </row>
    <row r="1590" spans="1:22" x14ac:dyDescent="0.35">
      <c r="A1590">
        <v>1589</v>
      </c>
      <c r="B1590" t="s">
        <v>60</v>
      </c>
      <c r="C1590" t="s">
        <v>233</v>
      </c>
      <c r="D1590">
        <v>2023</v>
      </c>
      <c r="E1590" t="s">
        <v>130</v>
      </c>
      <c r="F1590">
        <v>130.6</v>
      </c>
      <c r="G1590" t="s">
        <v>352</v>
      </c>
      <c r="H1590">
        <f>electric_vehicles_dataset[[#This Row],[Battery_Capacity_kWh]]/electric_vehicles_dataset[[#This Row],[Range_km]]</f>
        <v>0.51620553359683796</v>
      </c>
      <c r="I1590">
        <v>253</v>
      </c>
      <c r="J1590" t="s">
        <v>38</v>
      </c>
      <c r="K1590">
        <v>2</v>
      </c>
      <c r="L1590" s="1">
        <v>88149.47</v>
      </c>
      <c r="M1590" s="1" t="str" cm="1">
        <f t="array" ref="M159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90" t="s">
        <v>35</v>
      </c>
      <c r="O1590" t="s">
        <v>92</v>
      </c>
      <c r="P1590" s="2" t="s">
        <v>394</v>
      </c>
      <c r="Q1590">
        <v>4</v>
      </c>
      <c r="R1590" t="s">
        <v>392</v>
      </c>
      <c r="S1590" s="1">
        <f>electric_vehicles_dataset[[#This Row],[Units_Sold_2024]]*electric_vehicles_dataset[[#This Row],[Price_USD]]</f>
        <v>1064404850.25</v>
      </c>
      <c r="T1590">
        <v>5</v>
      </c>
      <c r="U1590">
        <v>12075</v>
      </c>
      <c r="V1590">
        <v>4</v>
      </c>
    </row>
    <row r="1591" spans="1:22" x14ac:dyDescent="0.35">
      <c r="A1591">
        <v>1590</v>
      </c>
      <c r="B1591" t="s">
        <v>24</v>
      </c>
      <c r="C1591" t="s">
        <v>300</v>
      </c>
      <c r="D1591">
        <v>2021</v>
      </c>
      <c r="E1591" t="s">
        <v>31</v>
      </c>
      <c r="F1591">
        <v>98.7</v>
      </c>
      <c r="G1591" t="s">
        <v>350</v>
      </c>
      <c r="H1591">
        <f>electric_vehicles_dataset[[#This Row],[Battery_Capacity_kWh]]/electric_vehicles_dataset[[#This Row],[Range_km]]</f>
        <v>0.44459459459459461</v>
      </c>
      <c r="I1591">
        <v>222</v>
      </c>
      <c r="J1591" t="s">
        <v>364</v>
      </c>
      <c r="K1591">
        <v>1</v>
      </c>
      <c r="L1591" s="1">
        <v>106458.26</v>
      </c>
      <c r="M1591" s="1" t="str" cm="1">
        <f t="array" ref="M159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91" t="s">
        <v>127</v>
      </c>
      <c r="O1591" t="s">
        <v>118</v>
      </c>
      <c r="P1591" s="2" t="s">
        <v>389</v>
      </c>
      <c r="Q1591">
        <v>5</v>
      </c>
      <c r="R1591" t="s">
        <v>392</v>
      </c>
      <c r="S1591" s="1">
        <f>electric_vehicles_dataset[[#This Row],[Units_Sold_2024]]*electric_vehicles_dataset[[#This Row],[Price_USD]]</f>
        <v>998578478.79999995</v>
      </c>
      <c r="T1591">
        <v>5</v>
      </c>
      <c r="U1591">
        <v>9380</v>
      </c>
      <c r="V1591">
        <v>3</v>
      </c>
    </row>
    <row r="1592" spans="1:22" x14ac:dyDescent="0.35">
      <c r="A1592">
        <v>1591</v>
      </c>
      <c r="B1592" t="s">
        <v>87</v>
      </c>
      <c r="C1592" t="s">
        <v>191</v>
      </c>
      <c r="D1592">
        <v>2016</v>
      </c>
      <c r="E1592" t="s">
        <v>104</v>
      </c>
      <c r="F1592">
        <v>56.9</v>
      </c>
      <c r="G1592" t="s">
        <v>348</v>
      </c>
      <c r="H1592">
        <f>electric_vehicles_dataset[[#This Row],[Battery_Capacity_kWh]]/electric_vehicles_dataset[[#This Row],[Range_km]]</f>
        <v>0.45887096774193548</v>
      </c>
      <c r="I1592">
        <v>124</v>
      </c>
      <c r="J1592" t="s">
        <v>364</v>
      </c>
      <c r="K1592">
        <v>9</v>
      </c>
      <c r="L1592" s="1">
        <v>39888.14</v>
      </c>
      <c r="M1592" s="1" t="str" cm="1">
        <f t="array" ref="M159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92" t="s">
        <v>219</v>
      </c>
      <c r="O1592" t="s">
        <v>124</v>
      </c>
      <c r="P1592" s="2" t="s">
        <v>389</v>
      </c>
      <c r="Q1592">
        <v>3</v>
      </c>
      <c r="R1592" t="s">
        <v>397</v>
      </c>
      <c r="S1592" s="1">
        <f>electric_vehicles_dataset[[#This Row],[Units_Sold_2024]]*electric_vehicles_dataset[[#This Row],[Price_USD]]</f>
        <v>242480003.06</v>
      </c>
      <c r="T1592">
        <v>5</v>
      </c>
      <c r="U1592">
        <v>6079</v>
      </c>
      <c r="V1592">
        <v>4</v>
      </c>
    </row>
    <row r="1593" spans="1:22" x14ac:dyDescent="0.35">
      <c r="A1593">
        <v>1592</v>
      </c>
      <c r="B1593" t="s">
        <v>29</v>
      </c>
      <c r="C1593" t="s">
        <v>323</v>
      </c>
      <c r="D1593">
        <v>2023</v>
      </c>
      <c r="E1593" t="s">
        <v>133</v>
      </c>
      <c r="F1593">
        <v>125.8</v>
      </c>
      <c r="G1593" t="s">
        <v>352</v>
      </c>
      <c r="H1593">
        <f>electric_vehicles_dataset[[#This Row],[Battery_Capacity_kWh]]/electric_vehicles_dataset[[#This Row],[Range_km]]</f>
        <v>0.46249999999999997</v>
      </c>
      <c r="I1593">
        <v>272</v>
      </c>
      <c r="J1593" t="s">
        <v>85</v>
      </c>
      <c r="K1593">
        <v>12</v>
      </c>
      <c r="L1593" s="1">
        <v>51060.04</v>
      </c>
      <c r="M1593" s="1" t="str" cm="1">
        <f t="array" ref="M159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93" t="s">
        <v>39</v>
      </c>
      <c r="O1593" t="s">
        <v>230</v>
      </c>
      <c r="P1593" s="2" t="s">
        <v>389</v>
      </c>
      <c r="Q1593">
        <v>0</v>
      </c>
      <c r="R1593" t="s">
        <v>390</v>
      </c>
      <c r="S1593" s="1">
        <f>electric_vehicles_dataset[[#This Row],[Units_Sold_2024]]*electric_vehicles_dataset[[#This Row],[Price_USD]]</f>
        <v>814050217.72000003</v>
      </c>
      <c r="T1593">
        <v>4</v>
      </c>
      <c r="U1593">
        <v>15943</v>
      </c>
      <c r="V1593">
        <v>5</v>
      </c>
    </row>
    <row r="1594" spans="1:22" x14ac:dyDescent="0.35">
      <c r="A1594">
        <v>1593</v>
      </c>
      <c r="B1594" t="s">
        <v>74</v>
      </c>
      <c r="C1594" t="s">
        <v>75</v>
      </c>
      <c r="D1594">
        <v>2022</v>
      </c>
      <c r="E1594" t="s">
        <v>90</v>
      </c>
      <c r="F1594">
        <v>90.6</v>
      </c>
      <c r="G1594" t="s">
        <v>350</v>
      </c>
      <c r="H1594">
        <f>electric_vehicles_dataset[[#This Row],[Battery_Capacity_kWh]]/electric_vehicles_dataset[[#This Row],[Range_km]]</f>
        <v>0.19695652173913042</v>
      </c>
      <c r="I1594">
        <v>460</v>
      </c>
      <c r="J1594" t="s">
        <v>105</v>
      </c>
      <c r="K1594">
        <v>7</v>
      </c>
      <c r="L1594" s="1">
        <v>139788.17000000001</v>
      </c>
      <c r="M1594" s="1" t="str" cm="1">
        <f t="array" ref="M15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594" t="s">
        <v>91</v>
      </c>
      <c r="O1594" t="s">
        <v>199</v>
      </c>
      <c r="P1594" s="2" t="s">
        <v>394</v>
      </c>
      <c r="Q1594">
        <v>2</v>
      </c>
      <c r="R1594" t="s">
        <v>391</v>
      </c>
      <c r="S1594" s="1">
        <f>electric_vehicles_dataset[[#This Row],[Units_Sold_2024]]*electric_vehicles_dataset[[#This Row],[Price_USD]]</f>
        <v>1011786774.46</v>
      </c>
      <c r="T1594">
        <v>5</v>
      </c>
      <c r="U1594">
        <v>7238</v>
      </c>
      <c r="V1594">
        <v>3</v>
      </c>
    </row>
    <row r="1595" spans="1:22" x14ac:dyDescent="0.35">
      <c r="A1595">
        <v>1594</v>
      </c>
      <c r="B1595" t="s">
        <v>144</v>
      </c>
      <c r="C1595" t="s">
        <v>145</v>
      </c>
      <c r="D1595">
        <v>2016</v>
      </c>
      <c r="E1595" t="s">
        <v>90</v>
      </c>
      <c r="F1595">
        <v>148.80000000000001</v>
      </c>
      <c r="G1595" t="s">
        <v>386</v>
      </c>
      <c r="H1595">
        <f>electric_vehicles_dataset[[#This Row],[Battery_Capacity_kWh]]/electric_vehicles_dataset[[#This Row],[Range_km]]</f>
        <v>0.32489082969432315</v>
      </c>
      <c r="I1595">
        <v>458</v>
      </c>
      <c r="J1595" t="s">
        <v>38</v>
      </c>
      <c r="K1595">
        <v>6</v>
      </c>
      <c r="L1595" s="1">
        <v>71744.17</v>
      </c>
      <c r="M1595" s="1" t="str" cm="1">
        <f t="array" ref="M15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95" t="s">
        <v>117</v>
      </c>
      <c r="O1595" t="s">
        <v>164</v>
      </c>
      <c r="P1595" s="2" t="s">
        <v>394</v>
      </c>
      <c r="Q1595">
        <v>2</v>
      </c>
      <c r="R1595" t="s">
        <v>391</v>
      </c>
      <c r="S1595" s="1">
        <f>electric_vehicles_dataset[[#This Row],[Units_Sold_2024]]*electric_vehicles_dataset[[#This Row],[Price_USD]]</f>
        <v>433047810.12</v>
      </c>
      <c r="T1595">
        <v>3</v>
      </c>
      <c r="U1595">
        <v>6036</v>
      </c>
      <c r="V1595">
        <v>4</v>
      </c>
    </row>
    <row r="1596" spans="1:22" x14ac:dyDescent="0.35">
      <c r="A1596">
        <v>1595</v>
      </c>
      <c r="B1596" t="s">
        <v>16</v>
      </c>
      <c r="C1596" t="s">
        <v>347</v>
      </c>
      <c r="D1596">
        <v>2022</v>
      </c>
      <c r="E1596" t="s">
        <v>101</v>
      </c>
      <c r="F1596">
        <v>70.7</v>
      </c>
      <c r="G1596" t="s">
        <v>351</v>
      </c>
      <c r="H1596">
        <f>electric_vehicles_dataset[[#This Row],[Battery_Capacity_kWh]]/electric_vehicles_dataset[[#This Row],[Range_km]]</f>
        <v>0.42083333333333334</v>
      </c>
      <c r="I1596">
        <v>168</v>
      </c>
      <c r="J1596" t="s">
        <v>149</v>
      </c>
      <c r="K1596">
        <v>5</v>
      </c>
      <c r="L1596" s="1">
        <v>33106.839999999997</v>
      </c>
      <c r="M1596" s="1" t="str" cm="1">
        <f t="array" ref="M159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96" t="s">
        <v>28</v>
      </c>
      <c r="O1596" t="s">
        <v>115</v>
      </c>
      <c r="P1596" s="2" t="s">
        <v>396</v>
      </c>
      <c r="Q1596">
        <v>5</v>
      </c>
      <c r="R1596" t="s">
        <v>392</v>
      </c>
      <c r="S1596" s="1">
        <f>electric_vehicles_dataset[[#This Row],[Units_Sold_2024]]*electric_vehicles_dataset[[#This Row],[Price_USD]]</f>
        <v>297729812.11999995</v>
      </c>
      <c r="T1596">
        <v>5</v>
      </c>
      <c r="U1596">
        <v>8993</v>
      </c>
      <c r="V1596">
        <v>3</v>
      </c>
    </row>
    <row r="1597" spans="1:22" x14ac:dyDescent="0.35">
      <c r="A1597">
        <v>1596</v>
      </c>
      <c r="B1597" t="s">
        <v>128</v>
      </c>
      <c r="C1597" t="s">
        <v>284</v>
      </c>
      <c r="D1597">
        <v>2021</v>
      </c>
      <c r="E1597" t="s">
        <v>47</v>
      </c>
      <c r="F1597">
        <v>104.3</v>
      </c>
      <c r="G1597" t="s">
        <v>361</v>
      </c>
      <c r="H1597">
        <f>electric_vehicles_dataset[[#This Row],[Battery_Capacity_kWh]]/electric_vehicles_dataset[[#This Row],[Range_km]]</f>
        <v>0.17618243243243242</v>
      </c>
      <c r="I1597">
        <v>592</v>
      </c>
      <c r="J1597" t="s">
        <v>358</v>
      </c>
      <c r="K1597">
        <v>10</v>
      </c>
      <c r="L1597" s="1">
        <v>61281.24</v>
      </c>
      <c r="M1597" s="1" t="str" cm="1">
        <f t="array" ref="M15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597" t="s">
        <v>81</v>
      </c>
      <c r="O1597" t="s">
        <v>206</v>
      </c>
      <c r="P1597" s="2" t="s">
        <v>394</v>
      </c>
      <c r="Q1597">
        <v>0</v>
      </c>
      <c r="R1597" t="s">
        <v>390</v>
      </c>
      <c r="S1597" s="1">
        <f>electric_vehicles_dataset[[#This Row],[Units_Sold_2024]]*electric_vehicles_dataset[[#This Row],[Price_USD]]</f>
        <v>826990333.79999995</v>
      </c>
      <c r="T1597">
        <v>4</v>
      </c>
      <c r="U1597">
        <v>13495</v>
      </c>
      <c r="V1597">
        <v>4</v>
      </c>
    </row>
    <row r="1598" spans="1:22" x14ac:dyDescent="0.35">
      <c r="A1598">
        <v>1597</v>
      </c>
      <c r="B1598" t="s">
        <v>82</v>
      </c>
      <c r="C1598" t="s">
        <v>83</v>
      </c>
      <c r="D1598">
        <v>2025</v>
      </c>
      <c r="E1598" t="s">
        <v>133</v>
      </c>
      <c r="F1598">
        <v>148.5</v>
      </c>
      <c r="G1598" t="s">
        <v>386</v>
      </c>
      <c r="H1598">
        <f>electric_vehicles_dataset[[#This Row],[Battery_Capacity_kWh]]/electric_vehicles_dataset[[#This Row],[Range_km]]</f>
        <v>0.29060665362035226</v>
      </c>
      <c r="I1598">
        <v>511</v>
      </c>
      <c r="J1598" t="s">
        <v>48</v>
      </c>
      <c r="K1598">
        <v>6</v>
      </c>
      <c r="L1598" s="1">
        <v>94355.839999999997</v>
      </c>
      <c r="M1598" s="1" t="str" cm="1">
        <f t="array" ref="M159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98" t="s">
        <v>22</v>
      </c>
      <c r="O1598" t="s">
        <v>226</v>
      </c>
      <c r="P1598" s="2" t="s">
        <v>395</v>
      </c>
      <c r="Q1598">
        <v>1</v>
      </c>
      <c r="R1598" t="s">
        <v>391</v>
      </c>
      <c r="S1598" s="1">
        <f>electric_vehicles_dataset[[#This Row],[Units_Sold_2024]]*electric_vehicles_dataset[[#This Row],[Price_USD]]</f>
        <v>498764970.24000001</v>
      </c>
      <c r="T1598">
        <v>4</v>
      </c>
      <c r="U1598">
        <v>5286</v>
      </c>
      <c r="V1598">
        <v>3</v>
      </c>
    </row>
    <row r="1599" spans="1:22" x14ac:dyDescent="0.35">
      <c r="A1599">
        <v>1598</v>
      </c>
      <c r="B1599" t="s">
        <v>128</v>
      </c>
      <c r="C1599" t="s">
        <v>268</v>
      </c>
      <c r="D1599">
        <v>2023</v>
      </c>
      <c r="E1599" t="s">
        <v>101</v>
      </c>
      <c r="F1599">
        <v>43.5</v>
      </c>
      <c r="G1599" t="s">
        <v>348</v>
      </c>
      <c r="H1599">
        <f>electric_vehicles_dataset[[#This Row],[Battery_Capacity_kWh]]/electric_vehicles_dataset[[#This Row],[Range_km]]</f>
        <v>0.11328125</v>
      </c>
      <c r="I1599">
        <v>384</v>
      </c>
      <c r="J1599" t="s">
        <v>18</v>
      </c>
      <c r="K1599">
        <v>4</v>
      </c>
      <c r="L1599" s="1">
        <v>94326</v>
      </c>
      <c r="M1599" s="1" t="str" cm="1">
        <f t="array" ref="M159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599" t="s">
        <v>152</v>
      </c>
      <c r="O1599" t="s">
        <v>89</v>
      </c>
      <c r="P1599" s="2" t="s">
        <v>389</v>
      </c>
      <c r="Q1599">
        <v>4</v>
      </c>
      <c r="R1599" t="s">
        <v>392</v>
      </c>
      <c r="S1599" s="1">
        <f>electric_vehicles_dataset[[#This Row],[Units_Sold_2024]]*electric_vehicles_dataset[[#This Row],[Price_USD]]</f>
        <v>1840583238</v>
      </c>
      <c r="T1599">
        <v>5</v>
      </c>
      <c r="U1599">
        <v>19513</v>
      </c>
      <c r="V1599">
        <v>4</v>
      </c>
    </row>
    <row r="1600" spans="1:22" x14ac:dyDescent="0.35">
      <c r="A1600">
        <v>1599</v>
      </c>
      <c r="B1600" t="s">
        <v>108</v>
      </c>
      <c r="C1600" t="s">
        <v>109</v>
      </c>
      <c r="D1600">
        <v>2019</v>
      </c>
      <c r="E1600" t="s">
        <v>58</v>
      </c>
      <c r="F1600">
        <v>25.1</v>
      </c>
      <c r="G1600" t="s">
        <v>357</v>
      </c>
      <c r="H1600">
        <f>electric_vehicles_dataset[[#This Row],[Battery_Capacity_kWh]]/electric_vehicles_dataset[[#This Row],[Range_km]]</f>
        <v>5.1859504132231407E-2</v>
      </c>
      <c r="I1600">
        <v>484</v>
      </c>
      <c r="J1600" t="s">
        <v>105</v>
      </c>
      <c r="K1600">
        <v>6</v>
      </c>
      <c r="L1600" s="1">
        <v>126304.05</v>
      </c>
      <c r="M1600" s="1" t="str" cm="1">
        <f t="array" ref="M160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00" t="s">
        <v>102</v>
      </c>
      <c r="O1600" t="s">
        <v>33</v>
      </c>
      <c r="P1600" s="2" t="s">
        <v>393</v>
      </c>
      <c r="Q1600">
        <v>0</v>
      </c>
      <c r="R1600" t="s">
        <v>390</v>
      </c>
      <c r="S1600" s="1">
        <f>electric_vehicles_dataset[[#This Row],[Units_Sold_2024]]*electric_vehicles_dataset[[#This Row],[Price_USD]]</f>
        <v>122893840.65000001</v>
      </c>
      <c r="T1600">
        <v>4</v>
      </c>
      <c r="U1600">
        <v>973</v>
      </c>
      <c r="V1600">
        <v>4</v>
      </c>
    </row>
    <row r="1601" spans="1:22" x14ac:dyDescent="0.35">
      <c r="A1601">
        <v>1600</v>
      </c>
      <c r="B1601" t="s">
        <v>112</v>
      </c>
      <c r="C1601" t="s">
        <v>113</v>
      </c>
      <c r="D1601">
        <v>2022</v>
      </c>
      <c r="E1601" t="s">
        <v>53</v>
      </c>
      <c r="F1601">
        <v>38.9</v>
      </c>
      <c r="G1601" t="s">
        <v>357</v>
      </c>
      <c r="H1601">
        <f>electric_vehicles_dataset[[#This Row],[Battery_Capacity_kWh]]/electric_vehicles_dataset[[#This Row],[Range_km]]</f>
        <v>7.9065040650406496E-2</v>
      </c>
      <c r="I1601">
        <v>492</v>
      </c>
      <c r="J1601" t="s">
        <v>18</v>
      </c>
      <c r="K1601">
        <v>11</v>
      </c>
      <c r="L1601" s="1">
        <v>30918.69</v>
      </c>
      <c r="M1601" s="1" t="str" cm="1">
        <f t="array" ref="M160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01" t="s">
        <v>196</v>
      </c>
      <c r="O1601" t="s">
        <v>265</v>
      </c>
      <c r="P1601" s="2" t="s">
        <v>389</v>
      </c>
      <c r="Q1601">
        <v>0</v>
      </c>
      <c r="R1601" t="s">
        <v>390</v>
      </c>
      <c r="S1601" s="1">
        <f>electric_vehicles_dataset[[#This Row],[Units_Sold_2024]]*electric_vehicles_dataset[[#This Row],[Price_USD]]</f>
        <v>563833230.84000003</v>
      </c>
      <c r="T1601">
        <v>4</v>
      </c>
      <c r="U1601">
        <v>18236</v>
      </c>
      <c r="V1601">
        <v>3</v>
      </c>
    </row>
    <row r="1602" spans="1:22" x14ac:dyDescent="0.35">
      <c r="A1602">
        <v>1601</v>
      </c>
      <c r="B1602" t="s">
        <v>157</v>
      </c>
      <c r="C1602" t="s">
        <v>158</v>
      </c>
      <c r="D1602">
        <v>2023</v>
      </c>
      <c r="E1602" t="s">
        <v>31</v>
      </c>
      <c r="F1602">
        <v>23.8</v>
      </c>
      <c r="G1602" t="s">
        <v>357</v>
      </c>
      <c r="H1602">
        <f>electric_vehicles_dataset[[#This Row],[Battery_Capacity_kWh]]/electric_vehicles_dataset[[#This Row],[Range_km]]</f>
        <v>4.1463414634146344E-2</v>
      </c>
      <c r="I1602">
        <v>574</v>
      </c>
      <c r="J1602" t="s">
        <v>76</v>
      </c>
      <c r="K1602">
        <v>10</v>
      </c>
      <c r="L1602" s="1">
        <v>32847.56</v>
      </c>
      <c r="M1602" s="1" t="str" cm="1">
        <f t="array" ref="M160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02" t="s">
        <v>127</v>
      </c>
      <c r="O1602" t="s">
        <v>93</v>
      </c>
      <c r="P1602" s="2" t="s">
        <v>389</v>
      </c>
      <c r="Q1602">
        <v>5</v>
      </c>
      <c r="R1602" t="s">
        <v>392</v>
      </c>
      <c r="S1602" s="1">
        <f>electric_vehicles_dataset[[#This Row],[Units_Sold_2024]]*electric_vehicles_dataset[[#This Row],[Price_USD]]</f>
        <v>358334032.03999996</v>
      </c>
      <c r="T1602">
        <v>3</v>
      </c>
      <c r="U1602">
        <v>10909</v>
      </c>
      <c r="V1602">
        <v>3</v>
      </c>
    </row>
    <row r="1603" spans="1:22" x14ac:dyDescent="0.35">
      <c r="A1603">
        <v>1602</v>
      </c>
      <c r="B1603" t="s">
        <v>170</v>
      </c>
      <c r="C1603" t="s">
        <v>367</v>
      </c>
      <c r="D1603">
        <v>2016</v>
      </c>
      <c r="E1603" t="s">
        <v>53</v>
      </c>
      <c r="F1603">
        <v>105.3</v>
      </c>
      <c r="G1603" t="s">
        <v>361</v>
      </c>
      <c r="H1603">
        <f>electric_vehicles_dataset[[#This Row],[Battery_Capacity_kWh]]/electric_vehicles_dataset[[#This Row],[Range_km]]</f>
        <v>0.4263157894736842</v>
      </c>
      <c r="I1603">
        <v>247</v>
      </c>
      <c r="J1603" t="s">
        <v>356</v>
      </c>
      <c r="K1603">
        <v>7</v>
      </c>
      <c r="L1603" s="1">
        <v>125984.09</v>
      </c>
      <c r="M1603" s="1" t="str" cm="1">
        <f t="array" ref="M160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03" t="s">
        <v>179</v>
      </c>
      <c r="O1603" t="s">
        <v>150</v>
      </c>
      <c r="P1603" s="2" t="s">
        <v>389</v>
      </c>
      <c r="Q1603">
        <v>1</v>
      </c>
      <c r="R1603" t="s">
        <v>391</v>
      </c>
      <c r="S1603" s="1">
        <f>electric_vehicles_dataset[[#This Row],[Units_Sold_2024]]*electric_vehicles_dataset[[#This Row],[Price_USD]]</f>
        <v>2519177863.6399999</v>
      </c>
      <c r="T1603">
        <v>5</v>
      </c>
      <c r="U1603">
        <v>19996</v>
      </c>
      <c r="V1603">
        <v>3</v>
      </c>
    </row>
    <row r="1604" spans="1:22" x14ac:dyDescent="0.35">
      <c r="A1604">
        <v>1603</v>
      </c>
      <c r="B1604" t="s">
        <v>144</v>
      </c>
      <c r="C1604" t="s">
        <v>145</v>
      </c>
      <c r="D1604">
        <v>2018</v>
      </c>
      <c r="E1604" t="s">
        <v>183</v>
      </c>
      <c r="F1604">
        <v>64.8</v>
      </c>
      <c r="G1604" t="s">
        <v>351</v>
      </c>
      <c r="H1604">
        <f>electric_vehicles_dataset[[#This Row],[Battery_Capacity_kWh]]/electric_vehicles_dataset[[#This Row],[Range_km]]</f>
        <v>0.11428571428571428</v>
      </c>
      <c r="I1604">
        <v>567</v>
      </c>
      <c r="J1604" t="s">
        <v>76</v>
      </c>
      <c r="K1604">
        <v>8</v>
      </c>
      <c r="L1604" s="1">
        <v>57281.34</v>
      </c>
      <c r="M1604" s="1" t="str" cm="1">
        <f t="array" ref="M160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04" t="s">
        <v>114</v>
      </c>
      <c r="O1604" t="s">
        <v>167</v>
      </c>
      <c r="P1604" s="2" t="s">
        <v>394</v>
      </c>
      <c r="Q1604">
        <v>5</v>
      </c>
      <c r="R1604" t="s">
        <v>392</v>
      </c>
      <c r="S1604" s="1">
        <f>electric_vehicles_dataset[[#This Row],[Units_Sold_2024]]*electric_vehicles_dataset[[#This Row],[Price_USD]]</f>
        <v>834531842.45999992</v>
      </c>
      <c r="T1604">
        <v>5</v>
      </c>
      <c r="U1604">
        <v>14569</v>
      </c>
      <c r="V1604">
        <v>4</v>
      </c>
    </row>
    <row r="1605" spans="1:22" x14ac:dyDescent="0.35">
      <c r="A1605">
        <v>1604</v>
      </c>
      <c r="B1605" t="s">
        <v>87</v>
      </c>
      <c r="C1605" t="s">
        <v>381</v>
      </c>
      <c r="D1605">
        <v>2024</v>
      </c>
      <c r="E1605" t="s">
        <v>90</v>
      </c>
      <c r="F1605">
        <v>21.8</v>
      </c>
      <c r="G1605" t="s">
        <v>357</v>
      </c>
      <c r="H1605">
        <f>electric_vehicles_dataset[[#This Row],[Battery_Capacity_kWh]]/electric_vehicles_dataset[[#This Row],[Range_km]]</f>
        <v>4.2248062015503879E-2</v>
      </c>
      <c r="I1605">
        <v>516</v>
      </c>
      <c r="J1605" t="s">
        <v>38</v>
      </c>
      <c r="K1605">
        <v>7</v>
      </c>
      <c r="L1605" s="1">
        <v>144938.6</v>
      </c>
      <c r="M1605" s="1" t="str" cm="1">
        <f t="array" ref="M160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05" t="s">
        <v>214</v>
      </c>
      <c r="O1605" t="s">
        <v>33</v>
      </c>
      <c r="P1605" s="2" t="s">
        <v>393</v>
      </c>
      <c r="Q1605">
        <v>2</v>
      </c>
      <c r="R1605" t="s">
        <v>391</v>
      </c>
      <c r="S1605" s="1">
        <f>electric_vehicles_dataset[[#This Row],[Units_Sold_2024]]*electric_vehicles_dataset[[#This Row],[Price_USD]]</f>
        <v>1321405216.2</v>
      </c>
      <c r="T1605">
        <v>4</v>
      </c>
      <c r="U1605">
        <v>9117</v>
      </c>
      <c r="V1605">
        <v>3</v>
      </c>
    </row>
    <row r="1606" spans="1:22" x14ac:dyDescent="0.35">
      <c r="A1606">
        <v>1605</v>
      </c>
      <c r="B1606" t="s">
        <v>261</v>
      </c>
      <c r="C1606" t="s">
        <v>370</v>
      </c>
      <c r="D1606">
        <v>2015</v>
      </c>
      <c r="E1606" t="s">
        <v>26</v>
      </c>
      <c r="F1606">
        <v>74.5</v>
      </c>
      <c r="G1606" t="s">
        <v>351</v>
      </c>
      <c r="H1606">
        <f>electric_vehicles_dataset[[#This Row],[Battery_Capacity_kWh]]/electric_vehicles_dataset[[#This Row],[Range_km]]</f>
        <v>0.12563237774030353</v>
      </c>
      <c r="I1606">
        <v>593</v>
      </c>
      <c r="J1606" t="s">
        <v>358</v>
      </c>
      <c r="K1606">
        <v>7</v>
      </c>
      <c r="L1606" s="1">
        <v>35860.67</v>
      </c>
      <c r="M1606" s="1" t="str" cm="1">
        <f t="array" ref="M160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06" t="s">
        <v>127</v>
      </c>
      <c r="O1606" t="s">
        <v>202</v>
      </c>
      <c r="P1606" s="2" t="s">
        <v>393</v>
      </c>
      <c r="Q1606">
        <v>4</v>
      </c>
      <c r="R1606" t="s">
        <v>392</v>
      </c>
      <c r="S1606" s="1">
        <f>electric_vehicles_dataset[[#This Row],[Units_Sold_2024]]*electric_vehicles_dataset[[#This Row],[Price_USD]]</f>
        <v>443309602.53999996</v>
      </c>
      <c r="T1606">
        <v>3</v>
      </c>
      <c r="U1606">
        <v>12362</v>
      </c>
      <c r="V1606">
        <v>3</v>
      </c>
    </row>
    <row r="1607" spans="1:22" x14ac:dyDescent="0.35">
      <c r="A1607">
        <v>1606</v>
      </c>
      <c r="B1607" t="s">
        <v>259</v>
      </c>
      <c r="C1607" t="s">
        <v>311</v>
      </c>
      <c r="D1607">
        <v>2021</v>
      </c>
      <c r="E1607" t="s">
        <v>104</v>
      </c>
      <c r="F1607">
        <v>74.599999999999994</v>
      </c>
      <c r="G1607" t="s">
        <v>351</v>
      </c>
      <c r="H1607">
        <f>electric_vehicles_dataset[[#This Row],[Battery_Capacity_kWh]]/electric_vehicles_dataset[[#This Row],[Range_km]]</f>
        <v>0.33452914798206274</v>
      </c>
      <c r="I1607">
        <v>223</v>
      </c>
      <c r="J1607" t="s">
        <v>353</v>
      </c>
      <c r="K1607">
        <v>6</v>
      </c>
      <c r="L1607" s="1">
        <v>62804.21</v>
      </c>
      <c r="M1607" s="1" t="str" cm="1">
        <f t="array" ref="M160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07" t="s">
        <v>172</v>
      </c>
      <c r="O1607" t="s">
        <v>95</v>
      </c>
      <c r="P1607" s="2" t="s">
        <v>394</v>
      </c>
      <c r="Q1607">
        <v>4</v>
      </c>
      <c r="R1607" t="s">
        <v>392</v>
      </c>
      <c r="S1607" s="1">
        <f>electric_vehicles_dataset[[#This Row],[Units_Sold_2024]]*electric_vehicles_dataset[[#This Row],[Price_USD]]</f>
        <v>458219516.15999997</v>
      </c>
      <c r="T1607">
        <v>3</v>
      </c>
      <c r="U1607">
        <v>7296</v>
      </c>
      <c r="V1607">
        <v>4</v>
      </c>
    </row>
    <row r="1608" spans="1:22" x14ac:dyDescent="0.35">
      <c r="A1608">
        <v>1607</v>
      </c>
      <c r="B1608" t="s">
        <v>68</v>
      </c>
      <c r="C1608" t="s">
        <v>289</v>
      </c>
      <c r="D1608">
        <v>2016</v>
      </c>
      <c r="E1608" t="s">
        <v>133</v>
      </c>
      <c r="F1608">
        <v>96.4</v>
      </c>
      <c r="G1608" t="s">
        <v>350</v>
      </c>
      <c r="H1608">
        <f>electric_vehicles_dataset[[#This Row],[Battery_Capacity_kWh]]/electric_vehicles_dataset[[#This Row],[Range_km]]</f>
        <v>0.25235602094240839</v>
      </c>
      <c r="I1608">
        <v>382</v>
      </c>
      <c r="J1608" t="s">
        <v>27</v>
      </c>
      <c r="K1608">
        <v>2</v>
      </c>
      <c r="L1608" s="1">
        <v>56394.239999999998</v>
      </c>
      <c r="M1608" s="1" t="str" cm="1">
        <f t="array" ref="M160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08" t="s">
        <v>301</v>
      </c>
      <c r="O1608" t="s">
        <v>206</v>
      </c>
      <c r="P1608" s="2" t="s">
        <v>394</v>
      </c>
      <c r="Q1608">
        <v>3</v>
      </c>
      <c r="R1608" t="s">
        <v>397</v>
      </c>
      <c r="S1608" s="1">
        <f>electric_vehicles_dataset[[#This Row],[Units_Sold_2024]]*electric_vehicles_dataset[[#This Row],[Price_USD]]</f>
        <v>735042524.15999997</v>
      </c>
      <c r="T1608">
        <v>3</v>
      </c>
      <c r="U1608">
        <v>13034</v>
      </c>
      <c r="V1608">
        <v>4</v>
      </c>
    </row>
    <row r="1609" spans="1:22" x14ac:dyDescent="0.35">
      <c r="A1609">
        <v>1608</v>
      </c>
      <c r="B1609" t="s">
        <v>122</v>
      </c>
      <c r="C1609" t="s">
        <v>123</v>
      </c>
      <c r="D1609">
        <v>2022</v>
      </c>
      <c r="E1609" t="s">
        <v>183</v>
      </c>
      <c r="F1609">
        <v>128.9</v>
      </c>
      <c r="G1609" t="s">
        <v>352</v>
      </c>
      <c r="H1609">
        <f>electric_vehicles_dataset[[#This Row],[Battery_Capacity_kWh]]/electric_vehicles_dataset[[#This Row],[Range_km]]</f>
        <v>0.23870370370370372</v>
      </c>
      <c r="I1609">
        <v>540</v>
      </c>
      <c r="J1609" t="s">
        <v>85</v>
      </c>
      <c r="K1609">
        <v>4</v>
      </c>
      <c r="L1609" s="1">
        <v>135172.73000000001</v>
      </c>
      <c r="M1609" s="1" t="str" cm="1">
        <f t="array" ref="M160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09" t="s">
        <v>22</v>
      </c>
      <c r="O1609" t="s">
        <v>107</v>
      </c>
      <c r="P1609" s="2" t="s">
        <v>394</v>
      </c>
      <c r="Q1609">
        <v>1</v>
      </c>
      <c r="R1609" t="s">
        <v>391</v>
      </c>
      <c r="S1609" s="1">
        <f>electric_vehicles_dataset[[#This Row],[Units_Sold_2024]]*electric_vehicles_dataset[[#This Row],[Price_USD]]</f>
        <v>771160424.6500001</v>
      </c>
      <c r="T1609">
        <v>4</v>
      </c>
      <c r="U1609">
        <v>5705</v>
      </c>
      <c r="V1609">
        <v>3</v>
      </c>
    </row>
    <row r="1610" spans="1:22" x14ac:dyDescent="0.35">
      <c r="A1610">
        <v>1609</v>
      </c>
      <c r="B1610" t="s">
        <v>234</v>
      </c>
      <c r="C1610" t="s">
        <v>235</v>
      </c>
      <c r="D1610">
        <v>2015</v>
      </c>
      <c r="E1610" t="s">
        <v>133</v>
      </c>
      <c r="F1610">
        <v>30.4</v>
      </c>
      <c r="G1610" t="s">
        <v>357</v>
      </c>
      <c r="H1610">
        <f>electric_vehicles_dataset[[#This Row],[Battery_Capacity_kWh]]/electric_vehicles_dataset[[#This Row],[Range_km]]</f>
        <v>6.565874730021598E-2</v>
      </c>
      <c r="I1610">
        <v>463</v>
      </c>
      <c r="J1610" t="s">
        <v>18</v>
      </c>
      <c r="K1610">
        <v>4</v>
      </c>
      <c r="L1610" s="1">
        <v>116417.55</v>
      </c>
      <c r="M1610" s="1" t="str" cm="1">
        <f t="array" ref="M161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10" t="s">
        <v>219</v>
      </c>
      <c r="O1610" t="s">
        <v>78</v>
      </c>
      <c r="P1610" s="2" t="s">
        <v>389</v>
      </c>
      <c r="Q1610">
        <v>3</v>
      </c>
      <c r="R1610" t="s">
        <v>397</v>
      </c>
      <c r="S1610" s="1">
        <f>electric_vehicles_dataset[[#This Row],[Units_Sold_2024]]*electric_vehicles_dataset[[#This Row],[Price_USD]]</f>
        <v>1202826126.6000001</v>
      </c>
      <c r="T1610">
        <v>4</v>
      </c>
      <c r="U1610">
        <v>10332</v>
      </c>
      <c r="V1610">
        <v>4</v>
      </c>
    </row>
    <row r="1611" spans="1:22" x14ac:dyDescent="0.35">
      <c r="A1611">
        <v>1610</v>
      </c>
      <c r="B1611" t="s">
        <v>176</v>
      </c>
      <c r="C1611" t="s">
        <v>326</v>
      </c>
      <c r="D1611">
        <v>2021</v>
      </c>
      <c r="E1611" t="s">
        <v>101</v>
      </c>
      <c r="F1611">
        <v>128.4</v>
      </c>
      <c r="G1611" t="s">
        <v>352</v>
      </c>
      <c r="H1611">
        <f>electric_vehicles_dataset[[#This Row],[Battery_Capacity_kWh]]/electric_vehicles_dataset[[#This Row],[Range_km]]</f>
        <v>0.33092783505154638</v>
      </c>
      <c r="I1611">
        <v>388</v>
      </c>
      <c r="J1611" t="s">
        <v>34</v>
      </c>
      <c r="K1611">
        <v>1</v>
      </c>
      <c r="L1611" s="1">
        <v>63306.05</v>
      </c>
      <c r="M1611" s="1" t="str" cm="1">
        <f t="array" ref="M16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11" t="s">
        <v>165</v>
      </c>
      <c r="O1611" t="s">
        <v>236</v>
      </c>
      <c r="P1611" s="2" t="s">
        <v>394</v>
      </c>
      <c r="Q1611">
        <v>3</v>
      </c>
      <c r="R1611" t="s">
        <v>397</v>
      </c>
      <c r="S1611" s="1">
        <f>electric_vehicles_dataset[[#This Row],[Units_Sold_2024]]*electric_vehicles_dataset[[#This Row],[Price_USD]]</f>
        <v>299500922.55000001</v>
      </c>
      <c r="T1611">
        <v>5</v>
      </c>
      <c r="U1611">
        <v>4731</v>
      </c>
      <c r="V1611">
        <v>5</v>
      </c>
    </row>
    <row r="1612" spans="1:22" x14ac:dyDescent="0.35">
      <c r="A1612">
        <v>1611</v>
      </c>
      <c r="B1612" t="s">
        <v>170</v>
      </c>
      <c r="C1612" t="s">
        <v>218</v>
      </c>
      <c r="D1612">
        <v>2025</v>
      </c>
      <c r="E1612" t="s">
        <v>90</v>
      </c>
      <c r="F1612">
        <v>57.8</v>
      </c>
      <c r="G1612" t="s">
        <v>348</v>
      </c>
      <c r="H1612">
        <f>electric_vehicles_dataset[[#This Row],[Battery_Capacity_kWh]]/electric_vehicles_dataset[[#This Row],[Range_km]]</f>
        <v>0.30104166666666665</v>
      </c>
      <c r="I1612">
        <v>192</v>
      </c>
      <c r="J1612" t="s">
        <v>353</v>
      </c>
      <c r="K1612">
        <v>10</v>
      </c>
      <c r="L1612" s="1">
        <v>68659.02</v>
      </c>
      <c r="M1612" s="1" t="str" cm="1">
        <f t="array" ref="M161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12" t="s">
        <v>19</v>
      </c>
      <c r="O1612" t="s">
        <v>150</v>
      </c>
      <c r="P1612" s="2" t="s">
        <v>389</v>
      </c>
      <c r="Q1612">
        <v>1</v>
      </c>
      <c r="R1612" t="s">
        <v>391</v>
      </c>
      <c r="S1612" s="1">
        <f>electric_vehicles_dataset[[#This Row],[Units_Sold_2024]]*electric_vehicles_dataset[[#This Row],[Price_USD]]</f>
        <v>314526970.62</v>
      </c>
      <c r="T1612">
        <v>4</v>
      </c>
      <c r="U1612">
        <v>4581</v>
      </c>
      <c r="V1612">
        <v>5</v>
      </c>
    </row>
    <row r="1613" spans="1:22" x14ac:dyDescent="0.35">
      <c r="A1613">
        <v>1612</v>
      </c>
      <c r="B1613" t="s">
        <v>222</v>
      </c>
      <c r="C1613" t="s">
        <v>295</v>
      </c>
      <c r="D1613">
        <v>2017</v>
      </c>
      <c r="E1613" t="s">
        <v>53</v>
      </c>
      <c r="F1613">
        <v>134.6</v>
      </c>
      <c r="G1613" t="s">
        <v>352</v>
      </c>
      <c r="H1613">
        <f>electric_vehicles_dataset[[#This Row],[Battery_Capacity_kWh]]/electric_vehicles_dataset[[#This Row],[Range_km]]</f>
        <v>0.32355769230769227</v>
      </c>
      <c r="I1613">
        <v>416</v>
      </c>
      <c r="J1613" t="s">
        <v>364</v>
      </c>
      <c r="K1613">
        <v>6</v>
      </c>
      <c r="L1613" s="1">
        <v>41905.050000000003</v>
      </c>
      <c r="M1613" s="1" t="str" cm="1">
        <f t="array" ref="M16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13" t="s">
        <v>179</v>
      </c>
      <c r="O1613" t="s">
        <v>23</v>
      </c>
      <c r="P1613" s="2" t="s">
        <v>389</v>
      </c>
      <c r="Q1613">
        <v>1</v>
      </c>
      <c r="R1613" t="s">
        <v>391</v>
      </c>
      <c r="S1613" s="1">
        <f>electric_vehicles_dataset[[#This Row],[Units_Sold_2024]]*electric_vehicles_dataset[[#This Row],[Price_USD]]</f>
        <v>637124380.20000005</v>
      </c>
      <c r="T1613">
        <v>4</v>
      </c>
      <c r="U1613">
        <v>15204</v>
      </c>
      <c r="V1613">
        <v>5</v>
      </c>
    </row>
    <row r="1614" spans="1:22" x14ac:dyDescent="0.35">
      <c r="A1614">
        <v>1613</v>
      </c>
      <c r="B1614" t="s">
        <v>193</v>
      </c>
      <c r="C1614" t="s">
        <v>194</v>
      </c>
      <c r="D1614">
        <v>2016</v>
      </c>
      <c r="E1614" t="s">
        <v>104</v>
      </c>
      <c r="F1614">
        <v>109</v>
      </c>
      <c r="G1614" t="s">
        <v>361</v>
      </c>
      <c r="H1614">
        <f>electric_vehicles_dataset[[#This Row],[Battery_Capacity_kWh]]/electric_vehicles_dataset[[#This Row],[Range_km]]</f>
        <v>0.27114427860696516</v>
      </c>
      <c r="I1614">
        <v>402</v>
      </c>
      <c r="J1614" t="s">
        <v>85</v>
      </c>
      <c r="K1614">
        <v>11</v>
      </c>
      <c r="L1614" s="1">
        <v>75893.97</v>
      </c>
      <c r="M1614" s="1" t="str" cm="1">
        <f t="array" ref="M161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14" t="s">
        <v>205</v>
      </c>
      <c r="O1614" t="s">
        <v>226</v>
      </c>
      <c r="P1614" s="2" t="s">
        <v>395</v>
      </c>
      <c r="Q1614">
        <v>0</v>
      </c>
      <c r="R1614" t="s">
        <v>390</v>
      </c>
      <c r="S1614" s="1">
        <f>electric_vehicles_dataset[[#This Row],[Units_Sold_2024]]*electric_vehicles_dataset[[#This Row],[Price_USD]]</f>
        <v>82041381.570000008</v>
      </c>
      <c r="T1614">
        <v>4</v>
      </c>
      <c r="U1614">
        <v>1081</v>
      </c>
      <c r="V1614">
        <v>3</v>
      </c>
    </row>
    <row r="1615" spans="1:22" x14ac:dyDescent="0.35">
      <c r="A1615">
        <v>1614</v>
      </c>
      <c r="B1615" t="s">
        <v>64</v>
      </c>
      <c r="C1615" t="s">
        <v>65</v>
      </c>
      <c r="D1615">
        <v>2024</v>
      </c>
      <c r="E1615" t="s">
        <v>101</v>
      </c>
      <c r="F1615">
        <v>85</v>
      </c>
      <c r="G1615" t="s">
        <v>350</v>
      </c>
      <c r="H1615">
        <f>electric_vehicles_dataset[[#This Row],[Battery_Capacity_kWh]]/electric_vehicles_dataset[[#This Row],[Range_km]]</f>
        <v>0.3346456692913386</v>
      </c>
      <c r="I1615">
        <v>254</v>
      </c>
      <c r="J1615" t="s">
        <v>149</v>
      </c>
      <c r="K1615">
        <v>1</v>
      </c>
      <c r="L1615" s="1">
        <v>48146.85</v>
      </c>
      <c r="M1615" s="1" t="str" cm="1">
        <f t="array" ref="M161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15" t="s">
        <v>70</v>
      </c>
      <c r="O1615" t="s">
        <v>93</v>
      </c>
      <c r="P1615" s="2" t="s">
        <v>389</v>
      </c>
      <c r="Q1615">
        <v>0</v>
      </c>
      <c r="R1615" t="s">
        <v>390</v>
      </c>
      <c r="S1615" s="1">
        <f>electric_vehicles_dataset[[#This Row],[Units_Sold_2024]]*electric_vehicles_dataset[[#This Row],[Price_USD]]</f>
        <v>333898404.75</v>
      </c>
      <c r="T1615">
        <v>3</v>
      </c>
      <c r="U1615">
        <v>6935</v>
      </c>
      <c r="V1615">
        <v>4</v>
      </c>
    </row>
    <row r="1616" spans="1:22" x14ac:dyDescent="0.35">
      <c r="A1616">
        <v>1615</v>
      </c>
      <c r="B1616" t="s">
        <v>155</v>
      </c>
      <c r="C1616" t="s">
        <v>156</v>
      </c>
      <c r="D1616">
        <v>2022</v>
      </c>
      <c r="E1616" t="s">
        <v>90</v>
      </c>
      <c r="F1616">
        <v>83.3</v>
      </c>
      <c r="G1616" t="s">
        <v>350</v>
      </c>
      <c r="H1616">
        <f>electric_vehicles_dataset[[#This Row],[Battery_Capacity_kWh]]/electric_vehicles_dataset[[#This Row],[Range_km]]</f>
        <v>0.20366748166259169</v>
      </c>
      <c r="I1616">
        <v>409</v>
      </c>
      <c r="J1616" t="s">
        <v>27</v>
      </c>
      <c r="K1616">
        <v>1</v>
      </c>
      <c r="L1616" s="1">
        <v>107535.32</v>
      </c>
      <c r="M1616" s="1" t="str" cm="1">
        <f t="array" ref="M161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16" t="s">
        <v>229</v>
      </c>
      <c r="O1616" t="s">
        <v>167</v>
      </c>
      <c r="P1616" s="2" t="s">
        <v>394</v>
      </c>
      <c r="Q1616">
        <v>3</v>
      </c>
      <c r="R1616" t="s">
        <v>397</v>
      </c>
      <c r="S1616" s="1">
        <f>electric_vehicles_dataset[[#This Row],[Units_Sold_2024]]*electric_vehicles_dataset[[#This Row],[Price_USD]]</f>
        <v>1326878313.48</v>
      </c>
      <c r="T1616">
        <v>4</v>
      </c>
      <c r="U1616">
        <v>12339</v>
      </c>
      <c r="V1616">
        <v>5</v>
      </c>
    </row>
    <row r="1617" spans="1:22" x14ac:dyDescent="0.35">
      <c r="A1617">
        <v>1616</v>
      </c>
      <c r="B1617" t="s">
        <v>215</v>
      </c>
      <c r="C1617" t="s">
        <v>377</v>
      </c>
      <c r="D1617">
        <v>2022</v>
      </c>
      <c r="E1617" t="s">
        <v>58</v>
      </c>
      <c r="F1617">
        <v>86.8</v>
      </c>
      <c r="G1617" t="s">
        <v>350</v>
      </c>
      <c r="H1617">
        <f>electric_vehicles_dataset[[#This Row],[Battery_Capacity_kWh]]/electric_vehicles_dataset[[#This Row],[Range_km]]</f>
        <v>0.30138888888888887</v>
      </c>
      <c r="I1617">
        <v>288</v>
      </c>
      <c r="J1617" t="s">
        <v>149</v>
      </c>
      <c r="K1617">
        <v>12</v>
      </c>
      <c r="L1617" s="1">
        <v>67092.52</v>
      </c>
      <c r="M1617" s="1" t="str" cm="1">
        <f t="array" ref="M161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17" t="s">
        <v>254</v>
      </c>
      <c r="O1617" t="s">
        <v>236</v>
      </c>
      <c r="P1617" s="2" t="s">
        <v>394</v>
      </c>
      <c r="Q1617">
        <v>4</v>
      </c>
      <c r="R1617" t="s">
        <v>392</v>
      </c>
      <c r="S1617" s="1">
        <f>electric_vehicles_dataset[[#This Row],[Units_Sold_2024]]*electric_vehicles_dataset[[#This Row],[Price_USD]]</f>
        <v>627985987.20000005</v>
      </c>
      <c r="T1617">
        <v>3</v>
      </c>
      <c r="U1617">
        <v>9360</v>
      </c>
      <c r="V1617">
        <v>4</v>
      </c>
    </row>
    <row r="1618" spans="1:22" x14ac:dyDescent="0.35">
      <c r="A1618">
        <v>1617</v>
      </c>
      <c r="B1618" t="s">
        <v>259</v>
      </c>
      <c r="C1618" t="s">
        <v>298</v>
      </c>
      <c r="D1618">
        <v>2017</v>
      </c>
      <c r="E1618" t="s">
        <v>17</v>
      </c>
      <c r="F1618">
        <v>50.5</v>
      </c>
      <c r="G1618" t="s">
        <v>348</v>
      </c>
      <c r="H1618">
        <f>electric_vehicles_dataset[[#This Row],[Battery_Capacity_kWh]]/electric_vehicles_dataset[[#This Row],[Range_km]]</f>
        <v>8.5304054054054057E-2</v>
      </c>
      <c r="I1618">
        <v>592</v>
      </c>
      <c r="J1618" t="s">
        <v>34</v>
      </c>
      <c r="K1618">
        <v>8</v>
      </c>
      <c r="L1618" s="1">
        <v>86246.77</v>
      </c>
      <c r="M1618" s="1" t="str" cm="1">
        <f t="array" ref="M161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18" t="s">
        <v>81</v>
      </c>
      <c r="O1618" t="s">
        <v>107</v>
      </c>
      <c r="P1618" s="2" t="s">
        <v>394</v>
      </c>
      <c r="Q1618">
        <v>2</v>
      </c>
      <c r="R1618" t="s">
        <v>391</v>
      </c>
      <c r="S1618" s="1">
        <f>electric_vehicles_dataset[[#This Row],[Units_Sold_2024]]*electric_vehicles_dataset[[#This Row],[Price_USD]]</f>
        <v>813738274.95000005</v>
      </c>
      <c r="T1618">
        <v>5</v>
      </c>
      <c r="U1618">
        <v>9435</v>
      </c>
      <c r="V1618">
        <v>3</v>
      </c>
    </row>
    <row r="1619" spans="1:22" x14ac:dyDescent="0.35">
      <c r="A1619">
        <v>1618</v>
      </c>
      <c r="B1619" t="s">
        <v>96</v>
      </c>
      <c r="C1619" t="s">
        <v>292</v>
      </c>
      <c r="D1619">
        <v>2016</v>
      </c>
      <c r="E1619" t="s">
        <v>90</v>
      </c>
      <c r="F1619">
        <v>58.4</v>
      </c>
      <c r="G1619" t="s">
        <v>348</v>
      </c>
      <c r="H1619">
        <f>electric_vehicles_dataset[[#This Row],[Battery_Capacity_kWh]]/electric_vehicles_dataset[[#This Row],[Range_km]]</f>
        <v>0.11991786447638604</v>
      </c>
      <c r="I1619">
        <v>487</v>
      </c>
      <c r="J1619" t="s">
        <v>149</v>
      </c>
      <c r="K1619">
        <v>3</v>
      </c>
      <c r="L1619" s="1">
        <v>103713.46</v>
      </c>
      <c r="M1619" s="1" t="str" cm="1">
        <f t="array" ref="M161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19" t="s">
        <v>175</v>
      </c>
      <c r="O1619" t="s">
        <v>20</v>
      </c>
      <c r="P1619" s="2" t="s">
        <v>389</v>
      </c>
      <c r="Q1619">
        <v>3</v>
      </c>
      <c r="R1619" t="s">
        <v>397</v>
      </c>
      <c r="S1619" s="1">
        <f>electric_vehicles_dataset[[#This Row],[Units_Sold_2024]]*electric_vehicles_dataset[[#This Row],[Price_USD]]</f>
        <v>1155367944.4000001</v>
      </c>
      <c r="T1619">
        <v>4</v>
      </c>
      <c r="U1619">
        <v>11140</v>
      </c>
      <c r="V1619">
        <v>3</v>
      </c>
    </row>
    <row r="1620" spans="1:22" x14ac:dyDescent="0.35">
      <c r="A1620">
        <v>1619</v>
      </c>
      <c r="B1620" t="s">
        <v>243</v>
      </c>
      <c r="C1620" t="s">
        <v>244</v>
      </c>
      <c r="D1620">
        <v>2025</v>
      </c>
      <c r="E1620" t="s">
        <v>130</v>
      </c>
      <c r="F1620">
        <v>104.3</v>
      </c>
      <c r="G1620" t="s">
        <v>361</v>
      </c>
      <c r="H1620">
        <f>electric_vehicles_dataset[[#This Row],[Battery_Capacity_kWh]]/electric_vehicles_dataset[[#This Row],[Range_km]]</f>
        <v>0.21372950819672132</v>
      </c>
      <c r="I1620">
        <v>488</v>
      </c>
      <c r="J1620" t="s">
        <v>358</v>
      </c>
      <c r="K1620">
        <v>1</v>
      </c>
      <c r="L1620" s="1">
        <v>33180.33</v>
      </c>
      <c r="M1620" s="1" t="str" cm="1">
        <f t="array" ref="M162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20" t="s">
        <v>59</v>
      </c>
      <c r="O1620" t="s">
        <v>23</v>
      </c>
      <c r="P1620" s="2" t="s">
        <v>389</v>
      </c>
      <c r="Q1620">
        <v>5</v>
      </c>
      <c r="R1620" t="s">
        <v>392</v>
      </c>
      <c r="S1620" s="1">
        <f>electric_vehicles_dataset[[#This Row],[Units_Sold_2024]]*electric_vehicles_dataset[[#This Row],[Price_USD]]</f>
        <v>442260618.57000005</v>
      </c>
      <c r="T1620">
        <v>3</v>
      </c>
      <c r="U1620">
        <v>13329</v>
      </c>
      <c r="V1620">
        <v>5</v>
      </c>
    </row>
    <row r="1621" spans="1:22" x14ac:dyDescent="0.35">
      <c r="A1621">
        <v>1620</v>
      </c>
      <c r="B1621" t="s">
        <v>29</v>
      </c>
      <c r="C1621" t="s">
        <v>378</v>
      </c>
      <c r="D1621">
        <v>2015</v>
      </c>
      <c r="E1621" t="s">
        <v>101</v>
      </c>
      <c r="F1621">
        <v>37.200000000000003</v>
      </c>
      <c r="G1621" t="s">
        <v>357</v>
      </c>
      <c r="H1621">
        <f>electric_vehicles_dataset[[#This Row],[Battery_Capacity_kWh]]/electric_vehicles_dataset[[#This Row],[Range_km]]</f>
        <v>0.27555555555555555</v>
      </c>
      <c r="I1621">
        <v>135</v>
      </c>
      <c r="J1621" t="s">
        <v>48</v>
      </c>
      <c r="K1621">
        <v>5</v>
      </c>
      <c r="L1621" s="1">
        <v>105127.63</v>
      </c>
      <c r="M1621" s="1" t="str" cm="1">
        <f t="array" ref="M162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21" t="s">
        <v>106</v>
      </c>
      <c r="O1621" t="s">
        <v>236</v>
      </c>
      <c r="P1621" s="2" t="s">
        <v>394</v>
      </c>
      <c r="Q1621">
        <v>5</v>
      </c>
      <c r="R1621" t="s">
        <v>392</v>
      </c>
      <c r="S1621" s="1">
        <f>electric_vehicles_dataset[[#This Row],[Units_Sold_2024]]*electric_vehicles_dataset[[#This Row],[Price_USD]]</f>
        <v>704355121</v>
      </c>
      <c r="T1621">
        <v>4</v>
      </c>
      <c r="U1621">
        <v>6700</v>
      </c>
      <c r="V1621">
        <v>4</v>
      </c>
    </row>
    <row r="1622" spans="1:22" x14ac:dyDescent="0.35">
      <c r="A1622">
        <v>1621</v>
      </c>
      <c r="B1622" t="s">
        <v>87</v>
      </c>
      <c r="C1622" t="s">
        <v>191</v>
      </c>
      <c r="D1622">
        <v>2017</v>
      </c>
      <c r="E1622" t="s">
        <v>31</v>
      </c>
      <c r="F1622">
        <v>108.9</v>
      </c>
      <c r="G1622" t="s">
        <v>361</v>
      </c>
      <c r="H1622">
        <f>electric_vehicles_dataset[[#This Row],[Battery_Capacity_kWh]]/electric_vehicles_dataset[[#This Row],[Range_km]]</f>
        <v>0.66809815950920248</v>
      </c>
      <c r="I1622">
        <v>163</v>
      </c>
      <c r="J1622" t="s">
        <v>149</v>
      </c>
      <c r="K1622">
        <v>7</v>
      </c>
      <c r="L1622" s="1">
        <v>38593.480000000003</v>
      </c>
      <c r="M1622" s="1" t="str" cm="1">
        <f t="array" ref="M162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22" t="s">
        <v>131</v>
      </c>
      <c r="O1622" t="s">
        <v>110</v>
      </c>
      <c r="P1622" s="2" t="s">
        <v>394</v>
      </c>
      <c r="Q1622">
        <v>4</v>
      </c>
      <c r="R1622" t="s">
        <v>392</v>
      </c>
      <c r="S1622" s="1">
        <f>electric_vehicles_dataset[[#This Row],[Units_Sold_2024]]*electric_vehicles_dataset[[#This Row],[Price_USD]]</f>
        <v>523636336.64000005</v>
      </c>
      <c r="T1622">
        <v>4</v>
      </c>
      <c r="U1622">
        <v>13568</v>
      </c>
      <c r="V1622">
        <v>3</v>
      </c>
    </row>
    <row r="1623" spans="1:22" x14ac:dyDescent="0.35">
      <c r="A1623">
        <v>1622</v>
      </c>
      <c r="B1623" t="s">
        <v>262</v>
      </c>
      <c r="C1623" t="s">
        <v>263</v>
      </c>
      <c r="D1623">
        <v>2016</v>
      </c>
      <c r="E1623" t="s">
        <v>133</v>
      </c>
      <c r="F1623">
        <v>130</v>
      </c>
      <c r="G1623" t="s">
        <v>352</v>
      </c>
      <c r="H1623">
        <f>electric_vehicles_dataset[[#This Row],[Battery_Capacity_kWh]]/electric_vehicles_dataset[[#This Row],[Range_km]]</f>
        <v>0.31707317073170732</v>
      </c>
      <c r="I1623">
        <v>410</v>
      </c>
      <c r="J1623" t="s">
        <v>54</v>
      </c>
      <c r="K1623">
        <v>3</v>
      </c>
      <c r="L1623" s="1">
        <v>34805.089999999997</v>
      </c>
      <c r="M1623" s="1" t="str" cm="1">
        <f t="array" ref="M162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23" t="s">
        <v>277</v>
      </c>
      <c r="O1623" t="s">
        <v>78</v>
      </c>
      <c r="P1623" s="2" t="s">
        <v>389</v>
      </c>
      <c r="Q1623">
        <v>2</v>
      </c>
      <c r="R1623" t="s">
        <v>391</v>
      </c>
      <c r="S1623" s="1">
        <f>electric_vehicles_dataset[[#This Row],[Units_Sold_2024]]*electric_vehicles_dataset[[#This Row],[Price_USD]]</f>
        <v>643894164.99999988</v>
      </c>
      <c r="T1623">
        <v>5</v>
      </c>
      <c r="U1623">
        <v>18500</v>
      </c>
      <c r="V1623">
        <v>5</v>
      </c>
    </row>
    <row r="1624" spans="1:22" x14ac:dyDescent="0.35">
      <c r="A1624">
        <v>1623</v>
      </c>
      <c r="B1624" t="s">
        <v>153</v>
      </c>
      <c r="C1624" t="s">
        <v>178</v>
      </c>
      <c r="D1624">
        <v>2016</v>
      </c>
      <c r="E1624" t="s">
        <v>31</v>
      </c>
      <c r="F1624">
        <v>38.6</v>
      </c>
      <c r="G1624" t="s">
        <v>357</v>
      </c>
      <c r="H1624">
        <f>electric_vehicles_dataset[[#This Row],[Battery_Capacity_kWh]]/electric_vehicles_dataset[[#This Row],[Range_km]]</f>
        <v>0.11950464396284829</v>
      </c>
      <c r="I1624">
        <v>323</v>
      </c>
      <c r="J1624" t="s">
        <v>149</v>
      </c>
      <c r="K1624">
        <v>7</v>
      </c>
      <c r="L1624" s="1">
        <v>105164.29</v>
      </c>
      <c r="M1624" s="1" t="str" cm="1">
        <f t="array" ref="M162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24" t="s">
        <v>77</v>
      </c>
      <c r="O1624" t="s">
        <v>110</v>
      </c>
      <c r="P1624" s="2" t="s">
        <v>394</v>
      </c>
      <c r="Q1624">
        <v>1</v>
      </c>
      <c r="R1624" t="s">
        <v>391</v>
      </c>
      <c r="S1624" s="1">
        <f>electric_vehicles_dataset[[#This Row],[Units_Sold_2024]]*electric_vehicles_dataset[[#This Row],[Price_USD]]</f>
        <v>888533086.20999992</v>
      </c>
      <c r="T1624">
        <v>5</v>
      </c>
      <c r="U1624">
        <v>8449</v>
      </c>
      <c r="V1624">
        <v>3</v>
      </c>
    </row>
    <row r="1625" spans="1:22" x14ac:dyDescent="0.35">
      <c r="A1625">
        <v>1624</v>
      </c>
      <c r="B1625" t="s">
        <v>262</v>
      </c>
      <c r="C1625" t="s">
        <v>263</v>
      </c>
      <c r="D1625">
        <v>2025</v>
      </c>
      <c r="E1625" t="s">
        <v>130</v>
      </c>
      <c r="F1625">
        <v>73.7</v>
      </c>
      <c r="G1625" t="s">
        <v>351</v>
      </c>
      <c r="H1625">
        <f>electric_vehicles_dataset[[#This Row],[Battery_Capacity_kWh]]/electric_vehicles_dataset[[#This Row],[Range_km]]</f>
        <v>0.18849104859335039</v>
      </c>
      <c r="I1625">
        <v>391</v>
      </c>
      <c r="J1625" t="s">
        <v>364</v>
      </c>
      <c r="K1625">
        <v>11</v>
      </c>
      <c r="L1625" s="1">
        <v>70899.27</v>
      </c>
      <c r="M1625" s="1" t="str" cm="1">
        <f t="array" ref="M162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25" t="s">
        <v>205</v>
      </c>
      <c r="O1625" t="s">
        <v>121</v>
      </c>
      <c r="P1625" s="2" t="s">
        <v>398</v>
      </c>
      <c r="Q1625">
        <v>1</v>
      </c>
      <c r="R1625" t="s">
        <v>391</v>
      </c>
      <c r="S1625" s="1">
        <f>electric_vehicles_dataset[[#This Row],[Units_Sold_2024]]*electric_vehicles_dataset[[#This Row],[Price_USD]]</f>
        <v>70402975.109999999</v>
      </c>
      <c r="T1625">
        <v>5</v>
      </c>
      <c r="U1625">
        <v>993</v>
      </c>
      <c r="V1625">
        <v>4</v>
      </c>
    </row>
    <row r="1626" spans="1:22" x14ac:dyDescent="0.35">
      <c r="A1626">
        <v>1625</v>
      </c>
      <c r="B1626" t="s">
        <v>74</v>
      </c>
      <c r="C1626" t="s">
        <v>75</v>
      </c>
      <c r="D1626">
        <v>2017</v>
      </c>
      <c r="E1626" t="s">
        <v>17</v>
      </c>
      <c r="F1626">
        <v>75.599999999999994</v>
      </c>
      <c r="G1626" t="s">
        <v>351</v>
      </c>
      <c r="H1626">
        <f>electric_vehicles_dataset[[#This Row],[Battery_Capacity_kWh]]/electric_vehicles_dataset[[#This Row],[Range_km]]</f>
        <v>0.30361445783132529</v>
      </c>
      <c r="I1626">
        <v>249</v>
      </c>
      <c r="J1626" t="s">
        <v>85</v>
      </c>
      <c r="K1626">
        <v>6</v>
      </c>
      <c r="L1626" s="1">
        <v>133895.84</v>
      </c>
      <c r="M1626" s="1" t="str" cm="1">
        <f t="array" ref="M162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26" t="s">
        <v>102</v>
      </c>
      <c r="O1626" t="s">
        <v>33</v>
      </c>
      <c r="P1626" s="2" t="s">
        <v>393</v>
      </c>
      <c r="Q1626">
        <v>1</v>
      </c>
      <c r="R1626" t="s">
        <v>391</v>
      </c>
      <c r="S1626" s="1">
        <f>electric_vehicles_dataset[[#This Row],[Units_Sold_2024]]*electric_vehicles_dataset[[#This Row],[Price_USD]]</f>
        <v>1386089735.6800001</v>
      </c>
      <c r="T1626">
        <v>4</v>
      </c>
      <c r="U1626">
        <v>10352</v>
      </c>
      <c r="V1626">
        <v>4</v>
      </c>
    </row>
    <row r="1627" spans="1:22" x14ac:dyDescent="0.35">
      <c r="A1627">
        <v>1626</v>
      </c>
      <c r="B1627" t="s">
        <v>128</v>
      </c>
      <c r="C1627" t="s">
        <v>268</v>
      </c>
      <c r="D1627">
        <v>2022</v>
      </c>
      <c r="E1627" t="s">
        <v>26</v>
      </c>
      <c r="F1627">
        <v>67.5</v>
      </c>
      <c r="G1627" t="s">
        <v>351</v>
      </c>
      <c r="H1627">
        <f>electric_vehicles_dataset[[#This Row],[Battery_Capacity_kWh]]/electric_vehicles_dataset[[#This Row],[Range_km]]</f>
        <v>0.22500000000000001</v>
      </c>
      <c r="I1627">
        <v>300</v>
      </c>
      <c r="J1627" t="s">
        <v>38</v>
      </c>
      <c r="K1627">
        <v>11</v>
      </c>
      <c r="L1627" s="1">
        <v>76308.34</v>
      </c>
      <c r="M1627" s="1" t="str" cm="1">
        <f t="array" ref="M162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27" t="s">
        <v>152</v>
      </c>
      <c r="O1627" t="s">
        <v>169</v>
      </c>
      <c r="P1627" s="2" t="s">
        <v>394</v>
      </c>
      <c r="Q1627">
        <v>3</v>
      </c>
      <c r="R1627" t="s">
        <v>397</v>
      </c>
      <c r="S1627" s="1">
        <f>electric_vehicles_dataset[[#This Row],[Units_Sold_2024]]*electric_vehicles_dataset[[#This Row],[Price_USD]]</f>
        <v>411759802.63999999</v>
      </c>
      <c r="T1627">
        <v>3</v>
      </c>
      <c r="U1627">
        <v>5396</v>
      </c>
      <c r="V1627">
        <v>4</v>
      </c>
    </row>
    <row r="1628" spans="1:22" x14ac:dyDescent="0.35">
      <c r="A1628">
        <v>1627</v>
      </c>
      <c r="B1628" t="s">
        <v>241</v>
      </c>
      <c r="C1628" t="s">
        <v>247</v>
      </c>
      <c r="D1628">
        <v>2019</v>
      </c>
      <c r="E1628" t="s">
        <v>17</v>
      </c>
      <c r="F1628">
        <v>67.8</v>
      </c>
      <c r="G1628" t="s">
        <v>351</v>
      </c>
      <c r="H1628">
        <f>electric_vehicles_dataset[[#This Row],[Battery_Capacity_kWh]]/electric_vehicles_dataset[[#This Row],[Range_km]]</f>
        <v>0.42111801242236024</v>
      </c>
      <c r="I1628">
        <v>161</v>
      </c>
      <c r="J1628" t="s">
        <v>76</v>
      </c>
      <c r="K1628">
        <v>4</v>
      </c>
      <c r="L1628" s="1">
        <v>105056.91</v>
      </c>
      <c r="M1628" s="1" t="str" cm="1">
        <f t="array" ref="M162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28" t="s">
        <v>146</v>
      </c>
      <c r="O1628" t="s">
        <v>115</v>
      </c>
      <c r="P1628" s="2" t="s">
        <v>396</v>
      </c>
      <c r="Q1628">
        <v>4</v>
      </c>
      <c r="R1628" t="s">
        <v>392</v>
      </c>
      <c r="S1628" s="1">
        <f>electric_vehicles_dataset[[#This Row],[Units_Sold_2024]]*electric_vehicles_dataset[[#This Row],[Price_USD]]</f>
        <v>1318674334.3199999</v>
      </c>
      <c r="T1628">
        <v>4</v>
      </c>
      <c r="U1628">
        <v>12552</v>
      </c>
      <c r="V1628">
        <v>5</v>
      </c>
    </row>
    <row r="1629" spans="1:22" x14ac:dyDescent="0.35">
      <c r="A1629">
        <v>1628</v>
      </c>
      <c r="B1629" t="s">
        <v>313</v>
      </c>
      <c r="C1629" t="s">
        <v>314</v>
      </c>
      <c r="D1629">
        <v>2017</v>
      </c>
      <c r="E1629" t="s">
        <v>26</v>
      </c>
      <c r="F1629">
        <v>107.4</v>
      </c>
      <c r="G1629" t="s">
        <v>361</v>
      </c>
      <c r="H1629">
        <f>electric_vehicles_dataset[[#This Row],[Battery_Capacity_kWh]]/electric_vehicles_dataset[[#This Row],[Range_km]]</f>
        <v>0.19779005524861878</v>
      </c>
      <c r="I1629">
        <v>543</v>
      </c>
      <c r="J1629" t="s">
        <v>358</v>
      </c>
      <c r="K1629">
        <v>9</v>
      </c>
      <c r="L1629" s="1">
        <v>120083.26</v>
      </c>
      <c r="M1629" s="1" t="str" cm="1">
        <f t="array" ref="M162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29" t="s">
        <v>70</v>
      </c>
      <c r="O1629" t="s">
        <v>230</v>
      </c>
      <c r="P1629" s="2" t="s">
        <v>389</v>
      </c>
      <c r="Q1629">
        <v>1</v>
      </c>
      <c r="R1629" t="s">
        <v>391</v>
      </c>
      <c r="S1629" s="1">
        <f>electric_vehicles_dataset[[#This Row],[Units_Sold_2024]]*electric_vehicles_dataset[[#This Row],[Price_USD]]</f>
        <v>1734602690.6999998</v>
      </c>
      <c r="T1629">
        <v>5</v>
      </c>
      <c r="U1629">
        <v>14445</v>
      </c>
      <c r="V1629">
        <v>5</v>
      </c>
    </row>
    <row r="1630" spans="1:22" x14ac:dyDescent="0.35">
      <c r="A1630">
        <v>1629</v>
      </c>
      <c r="B1630" t="s">
        <v>193</v>
      </c>
      <c r="C1630" t="s">
        <v>194</v>
      </c>
      <c r="D1630">
        <v>2019</v>
      </c>
      <c r="E1630" t="s">
        <v>73</v>
      </c>
      <c r="F1630">
        <v>134.1</v>
      </c>
      <c r="G1630" t="s">
        <v>352</v>
      </c>
      <c r="H1630">
        <f>electric_vehicles_dataset[[#This Row],[Battery_Capacity_kWh]]/electric_vehicles_dataset[[#This Row],[Range_km]]</f>
        <v>0.24696132596685083</v>
      </c>
      <c r="I1630">
        <v>543</v>
      </c>
      <c r="J1630" t="s">
        <v>18</v>
      </c>
      <c r="K1630">
        <v>1</v>
      </c>
      <c r="L1630" s="1">
        <v>99063.360000000001</v>
      </c>
      <c r="M1630" s="1" t="str" cm="1">
        <f t="array" ref="M163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30" t="s">
        <v>127</v>
      </c>
      <c r="O1630" t="s">
        <v>199</v>
      </c>
      <c r="P1630" s="2" t="s">
        <v>394</v>
      </c>
      <c r="Q1630">
        <v>5</v>
      </c>
      <c r="R1630" t="s">
        <v>392</v>
      </c>
      <c r="S1630" s="1">
        <f>electric_vehicles_dataset[[#This Row],[Units_Sold_2024]]*electric_vehicles_dataset[[#This Row],[Price_USD]]</f>
        <v>478277902.07999998</v>
      </c>
      <c r="T1630">
        <v>4</v>
      </c>
      <c r="U1630">
        <v>4828</v>
      </c>
      <c r="V1630">
        <v>3</v>
      </c>
    </row>
    <row r="1631" spans="1:22" x14ac:dyDescent="0.35">
      <c r="A1631">
        <v>1630</v>
      </c>
      <c r="B1631" t="s">
        <v>176</v>
      </c>
      <c r="C1631" t="s">
        <v>365</v>
      </c>
      <c r="D1631">
        <v>2022</v>
      </c>
      <c r="E1631" t="s">
        <v>47</v>
      </c>
      <c r="F1631">
        <v>147.9</v>
      </c>
      <c r="G1631" t="s">
        <v>386</v>
      </c>
      <c r="H1631">
        <f>electric_vehicles_dataset[[#This Row],[Battery_Capacity_kWh]]/electric_vehicles_dataset[[#This Row],[Range_km]]</f>
        <v>0.32649006622516558</v>
      </c>
      <c r="I1631">
        <v>453</v>
      </c>
      <c r="J1631" t="s">
        <v>76</v>
      </c>
      <c r="K1631">
        <v>4</v>
      </c>
      <c r="L1631" s="1">
        <v>71386.67</v>
      </c>
      <c r="M1631" s="1" t="str" cm="1">
        <f t="array" ref="M163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31" t="s">
        <v>214</v>
      </c>
      <c r="O1631" t="s">
        <v>182</v>
      </c>
      <c r="P1631" s="2" t="s">
        <v>394</v>
      </c>
      <c r="Q1631">
        <v>1</v>
      </c>
      <c r="R1631" t="s">
        <v>391</v>
      </c>
      <c r="S1631" s="1">
        <f>electric_vehicles_dataset[[#This Row],[Units_Sold_2024]]*electric_vehicles_dataset[[#This Row],[Price_USD]]</f>
        <v>121428725.67</v>
      </c>
      <c r="T1631">
        <v>4</v>
      </c>
      <c r="U1631">
        <v>1701</v>
      </c>
      <c r="V1631">
        <v>4</v>
      </c>
    </row>
    <row r="1632" spans="1:22" x14ac:dyDescent="0.35">
      <c r="A1632">
        <v>1631</v>
      </c>
      <c r="B1632" t="s">
        <v>144</v>
      </c>
      <c r="C1632" t="s">
        <v>273</v>
      </c>
      <c r="D1632">
        <v>2018</v>
      </c>
      <c r="E1632" t="s">
        <v>73</v>
      </c>
      <c r="F1632">
        <v>99.4</v>
      </c>
      <c r="G1632" t="s">
        <v>350</v>
      </c>
      <c r="H1632">
        <f>electric_vehicles_dataset[[#This Row],[Battery_Capacity_kWh]]/electric_vehicles_dataset[[#This Row],[Range_km]]</f>
        <v>0.59166666666666667</v>
      </c>
      <c r="I1632">
        <v>168</v>
      </c>
      <c r="J1632" t="s">
        <v>364</v>
      </c>
      <c r="K1632">
        <v>4</v>
      </c>
      <c r="L1632" s="1">
        <v>96660.07</v>
      </c>
      <c r="M1632" s="1" t="str" cm="1">
        <f t="array" ref="M16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32" t="s">
        <v>142</v>
      </c>
      <c r="O1632" t="s">
        <v>44</v>
      </c>
      <c r="P1632" s="2" t="s">
        <v>389</v>
      </c>
      <c r="Q1632">
        <v>1</v>
      </c>
      <c r="R1632" t="s">
        <v>391</v>
      </c>
      <c r="S1632" s="1">
        <f>electric_vehicles_dataset[[#This Row],[Units_Sold_2024]]*electric_vehicles_dataset[[#This Row],[Price_USD]]</f>
        <v>177661208.66000003</v>
      </c>
      <c r="T1632">
        <v>3</v>
      </c>
      <c r="U1632">
        <v>1838</v>
      </c>
      <c r="V1632">
        <v>5</v>
      </c>
    </row>
    <row r="1633" spans="1:22" x14ac:dyDescent="0.35">
      <c r="A1633">
        <v>1632</v>
      </c>
      <c r="B1633" t="s">
        <v>136</v>
      </c>
      <c r="C1633" t="s">
        <v>137</v>
      </c>
      <c r="D1633">
        <v>2020</v>
      </c>
      <c r="E1633" t="s">
        <v>58</v>
      </c>
      <c r="F1633">
        <v>113.3</v>
      </c>
      <c r="G1633" t="s">
        <v>361</v>
      </c>
      <c r="H1633">
        <f>electric_vehicles_dataset[[#This Row],[Battery_Capacity_kWh]]/electric_vehicles_dataset[[#This Row],[Range_km]]</f>
        <v>0.37516556291390729</v>
      </c>
      <c r="I1633">
        <v>302</v>
      </c>
      <c r="J1633" t="s">
        <v>356</v>
      </c>
      <c r="K1633">
        <v>5</v>
      </c>
      <c r="L1633" s="1">
        <v>117581.26</v>
      </c>
      <c r="M1633" s="1" t="str" cm="1">
        <f t="array" ref="M16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33" t="s">
        <v>22</v>
      </c>
      <c r="O1633" t="s">
        <v>164</v>
      </c>
      <c r="P1633" s="2" t="s">
        <v>394</v>
      </c>
      <c r="Q1633">
        <v>5</v>
      </c>
      <c r="R1633" t="s">
        <v>392</v>
      </c>
      <c r="S1633" s="1">
        <f>electric_vehicles_dataset[[#This Row],[Units_Sold_2024]]*electric_vehicles_dataset[[#This Row],[Price_USD]]</f>
        <v>1642610202.1999998</v>
      </c>
      <c r="T1633">
        <v>5</v>
      </c>
      <c r="U1633">
        <v>13970</v>
      </c>
      <c r="V1633">
        <v>3</v>
      </c>
    </row>
    <row r="1634" spans="1:22" x14ac:dyDescent="0.35">
      <c r="A1634">
        <v>1633</v>
      </c>
      <c r="B1634" t="s">
        <v>79</v>
      </c>
      <c r="C1634" t="s">
        <v>267</v>
      </c>
      <c r="D1634">
        <v>2016</v>
      </c>
      <c r="E1634" t="s">
        <v>101</v>
      </c>
      <c r="F1634">
        <v>134.80000000000001</v>
      </c>
      <c r="G1634" t="s">
        <v>352</v>
      </c>
      <c r="H1634">
        <f>electric_vehicles_dataset[[#This Row],[Battery_Capacity_kWh]]/electric_vehicles_dataset[[#This Row],[Range_km]]</f>
        <v>0.25823754789272035</v>
      </c>
      <c r="I1634">
        <v>522</v>
      </c>
      <c r="J1634" t="s">
        <v>18</v>
      </c>
      <c r="K1634">
        <v>1</v>
      </c>
      <c r="L1634" s="1">
        <v>143897.79999999999</v>
      </c>
      <c r="M1634" s="1" t="str" cm="1">
        <f t="array" ref="M163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34" t="s">
        <v>279</v>
      </c>
      <c r="O1634" t="s">
        <v>121</v>
      </c>
      <c r="P1634" s="2" t="s">
        <v>398</v>
      </c>
      <c r="Q1634">
        <v>2</v>
      </c>
      <c r="R1634" t="s">
        <v>391</v>
      </c>
      <c r="S1634" s="1">
        <f>electric_vehicles_dataset[[#This Row],[Units_Sold_2024]]*electric_vehicles_dataset[[#This Row],[Price_USD]]</f>
        <v>959654428.19999993</v>
      </c>
      <c r="T1634">
        <v>5</v>
      </c>
      <c r="U1634">
        <v>6669</v>
      </c>
      <c r="V1634">
        <v>3</v>
      </c>
    </row>
    <row r="1635" spans="1:22" x14ac:dyDescent="0.35">
      <c r="A1635">
        <v>1634</v>
      </c>
      <c r="B1635" t="s">
        <v>51</v>
      </c>
      <c r="C1635" t="s">
        <v>52</v>
      </c>
      <c r="D1635">
        <v>2021</v>
      </c>
      <c r="E1635" t="s">
        <v>26</v>
      </c>
      <c r="F1635">
        <v>78.7</v>
      </c>
      <c r="G1635" t="s">
        <v>351</v>
      </c>
      <c r="H1635">
        <f>electric_vehicles_dataset[[#This Row],[Battery_Capacity_kWh]]/electric_vehicles_dataset[[#This Row],[Range_km]]</f>
        <v>0.19924050632911394</v>
      </c>
      <c r="I1635">
        <v>395</v>
      </c>
      <c r="J1635" t="s">
        <v>34</v>
      </c>
      <c r="K1635">
        <v>1</v>
      </c>
      <c r="L1635" s="1">
        <v>124798.03</v>
      </c>
      <c r="M1635" s="1" t="str" cm="1">
        <f t="array" ref="M163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35" t="s">
        <v>177</v>
      </c>
      <c r="O1635" t="s">
        <v>107</v>
      </c>
      <c r="P1635" s="2" t="s">
        <v>394</v>
      </c>
      <c r="Q1635">
        <v>3</v>
      </c>
      <c r="R1635" t="s">
        <v>397</v>
      </c>
      <c r="S1635" s="1">
        <f>electric_vehicles_dataset[[#This Row],[Units_Sold_2024]]*electric_vehicles_dataset[[#This Row],[Price_USD]]</f>
        <v>845756249.30999994</v>
      </c>
      <c r="T1635">
        <v>5</v>
      </c>
      <c r="U1635">
        <v>6777</v>
      </c>
      <c r="V1635">
        <v>4</v>
      </c>
    </row>
    <row r="1636" spans="1:22" x14ac:dyDescent="0.35">
      <c r="A1636">
        <v>1635</v>
      </c>
      <c r="B1636" t="s">
        <v>79</v>
      </c>
      <c r="C1636" t="s">
        <v>299</v>
      </c>
      <c r="D1636">
        <v>2025</v>
      </c>
      <c r="E1636" t="s">
        <v>73</v>
      </c>
      <c r="F1636">
        <v>52.9</v>
      </c>
      <c r="G1636" t="s">
        <v>348</v>
      </c>
      <c r="H1636">
        <f>electric_vehicles_dataset[[#This Row],[Battery_Capacity_kWh]]/electric_vehicles_dataset[[#This Row],[Range_km]]</f>
        <v>9.2970123022847101E-2</v>
      </c>
      <c r="I1636">
        <v>569</v>
      </c>
      <c r="J1636" t="s">
        <v>54</v>
      </c>
      <c r="K1636">
        <v>11</v>
      </c>
      <c r="L1636" s="1">
        <v>135204.97</v>
      </c>
      <c r="M1636" s="1" t="str" cm="1">
        <f t="array" ref="M163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36" t="s">
        <v>160</v>
      </c>
      <c r="O1636" t="s">
        <v>150</v>
      </c>
      <c r="P1636" s="2" t="s">
        <v>389</v>
      </c>
      <c r="Q1636">
        <v>3</v>
      </c>
      <c r="R1636" t="s">
        <v>397</v>
      </c>
      <c r="S1636" s="1">
        <f>electric_vehicles_dataset[[#This Row],[Units_Sold_2024]]*electric_vehicles_dataset[[#This Row],[Price_USD]]</f>
        <v>2517516541.4000001</v>
      </c>
      <c r="T1636">
        <v>4</v>
      </c>
      <c r="U1636">
        <v>18620</v>
      </c>
      <c r="V1636">
        <v>5</v>
      </c>
    </row>
    <row r="1637" spans="1:22" x14ac:dyDescent="0.35">
      <c r="A1637">
        <v>1636</v>
      </c>
      <c r="B1637" t="s">
        <v>71</v>
      </c>
      <c r="C1637" t="s">
        <v>258</v>
      </c>
      <c r="D1637">
        <v>2018</v>
      </c>
      <c r="E1637" t="s">
        <v>101</v>
      </c>
      <c r="F1637">
        <v>54</v>
      </c>
      <c r="G1637" t="s">
        <v>348</v>
      </c>
      <c r="H1637">
        <f>electric_vehicles_dataset[[#This Row],[Battery_Capacity_kWh]]/electric_vehicles_dataset[[#This Row],[Range_km]]</f>
        <v>0.18685121107266436</v>
      </c>
      <c r="I1637">
        <v>289</v>
      </c>
      <c r="J1637" t="s">
        <v>364</v>
      </c>
      <c r="K1637">
        <v>11</v>
      </c>
      <c r="L1637" s="1">
        <v>141663.41</v>
      </c>
      <c r="M1637" s="1" t="str" cm="1">
        <f t="array" ref="M163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37" t="s">
        <v>165</v>
      </c>
      <c r="O1637" t="s">
        <v>67</v>
      </c>
      <c r="P1637" s="2" t="s">
        <v>394</v>
      </c>
      <c r="Q1637">
        <v>0</v>
      </c>
      <c r="R1637" t="s">
        <v>390</v>
      </c>
      <c r="S1637" s="1">
        <f>electric_vehicles_dataset[[#This Row],[Units_Sold_2024]]*electric_vehicles_dataset[[#This Row],[Price_USD]]</f>
        <v>1817258223.48</v>
      </c>
      <c r="T1637">
        <v>4</v>
      </c>
      <c r="U1637">
        <v>12828</v>
      </c>
      <c r="V1637">
        <v>3</v>
      </c>
    </row>
    <row r="1638" spans="1:22" x14ac:dyDescent="0.35">
      <c r="A1638">
        <v>1637</v>
      </c>
      <c r="B1638" t="s">
        <v>173</v>
      </c>
      <c r="C1638" t="s">
        <v>174</v>
      </c>
      <c r="D1638">
        <v>2023</v>
      </c>
      <c r="E1638" t="s">
        <v>17</v>
      </c>
      <c r="F1638">
        <v>109.8</v>
      </c>
      <c r="G1638" t="s">
        <v>361</v>
      </c>
      <c r="H1638">
        <f>electric_vehicles_dataset[[#This Row],[Battery_Capacity_kWh]]/electric_vehicles_dataset[[#This Row],[Range_km]]</f>
        <v>0.23766233766233766</v>
      </c>
      <c r="I1638">
        <v>462</v>
      </c>
      <c r="J1638" t="s">
        <v>27</v>
      </c>
      <c r="K1638">
        <v>7</v>
      </c>
      <c r="L1638" s="1">
        <v>35854.51</v>
      </c>
      <c r="M1638" s="1" t="str" cm="1">
        <f t="array" ref="M163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38" t="s">
        <v>212</v>
      </c>
      <c r="O1638" t="s">
        <v>206</v>
      </c>
      <c r="P1638" s="2" t="s">
        <v>394</v>
      </c>
      <c r="Q1638">
        <v>5</v>
      </c>
      <c r="R1638" t="s">
        <v>392</v>
      </c>
      <c r="S1638" s="1">
        <f>electric_vehicles_dataset[[#This Row],[Units_Sold_2024]]*electric_vehicles_dataset[[#This Row],[Price_USD]]</f>
        <v>80027266.320000008</v>
      </c>
      <c r="T1638">
        <v>5</v>
      </c>
      <c r="U1638">
        <v>2232</v>
      </c>
      <c r="V1638">
        <v>3</v>
      </c>
    </row>
    <row r="1639" spans="1:22" x14ac:dyDescent="0.35">
      <c r="A1639">
        <v>1638</v>
      </c>
      <c r="B1639" t="s">
        <v>176</v>
      </c>
      <c r="C1639" t="s">
        <v>326</v>
      </c>
      <c r="D1639">
        <v>2019</v>
      </c>
      <c r="E1639" t="s">
        <v>31</v>
      </c>
      <c r="F1639">
        <v>28.3</v>
      </c>
      <c r="G1639" t="s">
        <v>357</v>
      </c>
      <c r="H1639">
        <f>electric_vehicles_dataset[[#This Row],[Battery_Capacity_kWh]]/electric_vehicles_dataset[[#This Row],[Range_km]]</f>
        <v>9.2182410423452765E-2</v>
      </c>
      <c r="I1639">
        <v>307</v>
      </c>
      <c r="J1639" t="s">
        <v>34</v>
      </c>
      <c r="K1639">
        <v>11</v>
      </c>
      <c r="L1639" s="1">
        <v>70791.66</v>
      </c>
      <c r="M1639" s="1" t="str" cm="1">
        <f t="array" ref="M163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39" t="s">
        <v>106</v>
      </c>
      <c r="O1639" t="s">
        <v>124</v>
      </c>
      <c r="P1639" s="2" t="s">
        <v>389</v>
      </c>
      <c r="Q1639">
        <v>1</v>
      </c>
      <c r="R1639" t="s">
        <v>391</v>
      </c>
      <c r="S1639" s="1">
        <f>electric_vehicles_dataset[[#This Row],[Units_Sold_2024]]*electric_vehicles_dataset[[#This Row],[Price_USD]]</f>
        <v>1194750845.8200002</v>
      </c>
      <c r="T1639">
        <v>4</v>
      </c>
      <c r="U1639">
        <v>16877</v>
      </c>
      <c r="V1639">
        <v>5</v>
      </c>
    </row>
    <row r="1640" spans="1:22" x14ac:dyDescent="0.35">
      <c r="A1640">
        <v>1639</v>
      </c>
      <c r="B1640" t="s">
        <v>192</v>
      </c>
      <c r="C1640" t="s">
        <v>198</v>
      </c>
      <c r="D1640">
        <v>2019</v>
      </c>
      <c r="E1640" t="s">
        <v>130</v>
      </c>
      <c r="F1640">
        <v>61.6</v>
      </c>
      <c r="G1640" t="s">
        <v>351</v>
      </c>
      <c r="H1640">
        <f>electric_vehicles_dataset[[#This Row],[Battery_Capacity_kWh]]/electric_vehicles_dataset[[#This Row],[Range_km]]</f>
        <v>0.17206703910614526</v>
      </c>
      <c r="I1640">
        <v>358</v>
      </c>
      <c r="J1640" t="s">
        <v>27</v>
      </c>
      <c r="K1640">
        <v>3</v>
      </c>
      <c r="L1640" s="1">
        <v>104935.85</v>
      </c>
      <c r="M1640" s="1" t="str" cm="1">
        <f t="array" ref="M164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40" t="s">
        <v>22</v>
      </c>
      <c r="O1640" t="s">
        <v>93</v>
      </c>
      <c r="P1640" s="2" t="s">
        <v>389</v>
      </c>
      <c r="Q1640">
        <v>4</v>
      </c>
      <c r="R1640" t="s">
        <v>392</v>
      </c>
      <c r="S1640" s="1">
        <f>electric_vehicles_dataset[[#This Row],[Units_Sold_2024]]*electric_vehicles_dataset[[#This Row],[Price_USD]]</f>
        <v>378188803.40000004</v>
      </c>
      <c r="T1640">
        <v>4</v>
      </c>
      <c r="U1640">
        <v>3604</v>
      </c>
      <c r="V1640">
        <v>4</v>
      </c>
    </row>
    <row r="1641" spans="1:22" x14ac:dyDescent="0.35">
      <c r="A1641">
        <v>1640</v>
      </c>
      <c r="B1641" t="s">
        <v>241</v>
      </c>
      <c r="C1641" t="s">
        <v>242</v>
      </c>
      <c r="D1641">
        <v>2023</v>
      </c>
      <c r="E1641" t="s">
        <v>133</v>
      </c>
      <c r="F1641">
        <v>24.7</v>
      </c>
      <c r="G1641" t="s">
        <v>357</v>
      </c>
      <c r="H1641">
        <f>electric_vehicles_dataset[[#This Row],[Battery_Capacity_kWh]]/electric_vehicles_dataset[[#This Row],[Range_km]]</f>
        <v>4.172297297297297E-2</v>
      </c>
      <c r="I1641">
        <v>592</v>
      </c>
      <c r="J1641" t="s">
        <v>27</v>
      </c>
      <c r="K1641">
        <v>2</v>
      </c>
      <c r="L1641" s="1">
        <v>85510.76</v>
      </c>
      <c r="M1641" s="1" t="str" cm="1">
        <f t="array" ref="M16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41" t="s">
        <v>117</v>
      </c>
      <c r="O1641" t="s">
        <v>93</v>
      </c>
      <c r="P1641" s="2" t="s">
        <v>389</v>
      </c>
      <c r="Q1641">
        <v>4</v>
      </c>
      <c r="R1641" t="s">
        <v>392</v>
      </c>
      <c r="S1641" s="1">
        <f>electric_vehicles_dataset[[#This Row],[Units_Sold_2024]]*electric_vehicles_dataset[[#This Row],[Price_USD]]</f>
        <v>572152495.15999997</v>
      </c>
      <c r="T1641">
        <v>5</v>
      </c>
      <c r="U1641">
        <v>6691</v>
      </c>
      <c r="V1641">
        <v>4</v>
      </c>
    </row>
    <row r="1642" spans="1:22" x14ac:dyDescent="0.35">
      <c r="A1642">
        <v>1641</v>
      </c>
      <c r="B1642" t="s">
        <v>136</v>
      </c>
      <c r="C1642" t="s">
        <v>137</v>
      </c>
      <c r="D1642">
        <v>2021</v>
      </c>
      <c r="E1642" t="s">
        <v>58</v>
      </c>
      <c r="F1642">
        <v>33.9</v>
      </c>
      <c r="G1642" t="s">
        <v>357</v>
      </c>
      <c r="H1642">
        <f>electric_vehicles_dataset[[#This Row],[Battery_Capacity_kWh]]/electric_vehicles_dataset[[#This Row],[Range_km]]</f>
        <v>9.3131868131868134E-2</v>
      </c>
      <c r="I1642">
        <v>364</v>
      </c>
      <c r="J1642" t="s">
        <v>34</v>
      </c>
      <c r="K1642">
        <v>5</v>
      </c>
      <c r="L1642" s="1">
        <v>125859.98</v>
      </c>
      <c r="M1642" s="1" t="str" cm="1">
        <f t="array" ref="M16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42" t="s">
        <v>196</v>
      </c>
      <c r="O1642" t="s">
        <v>147</v>
      </c>
      <c r="P1642" s="2" t="s">
        <v>396</v>
      </c>
      <c r="Q1642">
        <v>4</v>
      </c>
      <c r="R1642" t="s">
        <v>392</v>
      </c>
      <c r="S1642" s="1">
        <f>electric_vehicles_dataset[[#This Row],[Units_Sold_2024]]*electric_vehicles_dataset[[#This Row],[Price_USD]]</f>
        <v>1808607912.5999999</v>
      </c>
      <c r="T1642">
        <v>4</v>
      </c>
      <c r="U1642">
        <v>14370</v>
      </c>
      <c r="V1642">
        <v>4</v>
      </c>
    </row>
    <row r="1643" spans="1:22" x14ac:dyDescent="0.35">
      <c r="A1643">
        <v>1642</v>
      </c>
      <c r="B1643" t="s">
        <v>41</v>
      </c>
      <c r="C1643" t="s">
        <v>374</v>
      </c>
      <c r="D1643">
        <v>2025</v>
      </c>
      <c r="E1643" t="s">
        <v>31</v>
      </c>
      <c r="F1643">
        <v>40.799999999999997</v>
      </c>
      <c r="G1643" t="s">
        <v>348</v>
      </c>
      <c r="H1643">
        <f>electric_vehicles_dataset[[#This Row],[Battery_Capacity_kWh]]/electric_vehicles_dataset[[#This Row],[Range_km]]</f>
        <v>0.30676691729323308</v>
      </c>
      <c r="I1643">
        <v>133</v>
      </c>
      <c r="J1643" t="s">
        <v>356</v>
      </c>
      <c r="K1643">
        <v>11</v>
      </c>
      <c r="L1643" s="1">
        <v>116330.06</v>
      </c>
      <c r="M1643" s="1" t="str" cm="1">
        <f t="array" ref="M164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43" t="s">
        <v>301</v>
      </c>
      <c r="O1643" t="s">
        <v>50</v>
      </c>
      <c r="P1643" s="2" t="s">
        <v>396</v>
      </c>
      <c r="Q1643">
        <v>4</v>
      </c>
      <c r="R1643" t="s">
        <v>392</v>
      </c>
      <c r="S1643" s="1">
        <f>electric_vehicles_dataset[[#This Row],[Units_Sold_2024]]*electric_vehicles_dataset[[#This Row],[Price_USD]]</f>
        <v>2054970509.8999999</v>
      </c>
      <c r="T1643">
        <v>4</v>
      </c>
      <c r="U1643">
        <v>17665</v>
      </c>
      <c r="V1643">
        <v>3</v>
      </c>
    </row>
    <row r="1644" spans="1:22" x14ac:dyDescent="0.35">
      <c r="A1644">
        <v>1643</v>
      </c>
      <c r="B1644" t="s">
        <v>41</v>
      </c>
      <c r="C1644" t="s">
        <v>148</v>
      </c>
      <c r="D1644">
        <v>2021</v>
      </c>
      <c r="E1644" t="s">
        <v>104</v>
      </c>
      <c r="F1644">
        <v>77.2</v>
      </c>
      <c r="G1644" t="s">
        <v>351</v>
      </c>
      <c r="H1644">
        <f>electric_vehicles_dataset[[#This Row],[Battery_Capacity_kWh]]/electric_vehicles_dataset[[#This Row],[Range_km]]</f>
        <v>0.43863636363636366</v>
      </c>
      <c r="I1644">
        <v>176</v>
      </c>
      <c r="J1644" t="s">
        <v>149</v>
      </c>
      <c r="K1644">
        <v>3</v>
      </c>
      <c r="L1644" s="1">
        <v>144222.64000000001</v>
      </c>
      <c r="M1644" s="1" t="str" cm="1">
        <f t="array" ref="M16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44" t="s">
        <v>100</v>
      </c>
      <c r="O1644" t="s">
        <v>167</v>
      </c>
      <c r="P1644" s="2" t="s">
        <v>394</v>
      </c>
      <c r="Q1644">
        <v>4</v>
      </c>
      <c r="R1644" t="s">
        <v>392</v>
      </c>
      <c r="S1644" s="1">
        <f>electric_vehicles_dataset[[#This Row],[Units_Sold_2024]]*electric_vehicles_dataset[[#This Row],[Price_USD]]</f>
        <v>671067943.92000008</v>
      </c>
      <c r="T1644">
        <v>4</v>
      </c>
      <c r="U1644">
        <v>4653</v>
      </c>
      <c r="V1644">
        <v>3</v>
      </c>
    </row>
    <row r="1645" spans="1:22" x14ac:dyDescent="0.35">
      <c r="A1645">
        <v>1644</v>
      </c>
      <c r="B1645" t="s">
        <v>45</v>
      </c>
      <c r="C1645" t="s">
        <v>46</v>
      </c>
      <c r="D1645">
        <v>2022</v>
      </c>
      <c r="E1645" t="s">
        <v>104</v>
      </c>
      <c r="F1645">
        <v>92.7</v>
      </c>
      <c r="G1645" t="s">
        <v>350</v>
      </c>
      <c r="H1645">
        <f>electric_vehicles_dataset[[#This Row],[Battery_Capacity_kWh]]/electric_vehicles_dataset[[#This Row],[Range_km]]</f>
        <v>0.69179104477611941</v>
      </c>
      <c r="I1645">
        <v>134</v>
      </c>
      <c r="J1645" t="s">
        <v>38</v>
      </c>
      <c r="K1645">
        <v>7</v>
      </c>
      <c r="L1645" s="1">
        <v>62122.16</v>
      </c>
      <c r="M1645" s="1" t="str" cm="1">
        <f t="array" ref="M164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45" t="s">
        <v>196</v>
      </c>
      <c r="O1645" t="s">
        <v>199</v>
      </c>
      <c r="P1645" s="2" t="s">
        <v>394</v>
      </c>
      <c r="Q1645">
        <v>4</v>
      </c>
      <c r="R1645" t="s">
        <v>392</v>
      </c>
      <c r="S1645" s="1">
        <f>electric_vehicles_dataset[[#This Row],[Units_Sold_2024]]*electric_vehicles_dataset[[#This Row],[Price_USD]]</f>
        <v>411994165.12</v>
      </c>
      <c r="T1645">
        <v>4</v>
      </c>
      <c r="U1645">
        <v>6632</v>
      </c>
      <c r="V1645">
        <v>3</v>
      </c>
    </row>
    <row r="1646" spans="1:22" x14ac:dyDescent="0.35">
      <c r="A1646">
        <v>1645</v>
      </c>
      <c r="B1646" t="s">
        <v>153</v>
      </c>
      <c r="C1646" t="s">
        <v>154</v>
      </c>
      <c r="D1646">
        <v>2018</v>
      </c>
      <c r="E1646" t="s">
        <v>101</v>
      </c>
      <c r="F1646">
        <v>137.1</v>
      </c>
      <c r="G1646" t="s">
        <v>352</v>
      </c>
      <c r="H1646">
        <f>electric_vehicles_dataset[[#This Row],[Battery_Capacity_kWh]]/electric_vehicles_dataset[[#This Row],[Range_km]]</f>
        <v>0.40803571428571428</v>
      </c>
      <c r="I1646">
        <v>336</v>
      </c>
      <c r="J1646" t="s">
        <v>85</v>
      </c>
      <c r="K1646">
        <v>6</v>
      </c>
      <c r="L1646" s="1">
        <v>76109.84</v>
      </c>
      <c r="M1646" s="1" t="str" cm="1">
        <f t="array" ref="M164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46" t="s">
        <v>98</v>
      </c>
      <c r="O1646" t="s">
        <v>354</v>
      </c>
      <c r="P1646" s="2" t="s">
        <v>394</v>
      </c>
      <c r="Q1646">
        <v>1</v>
      </c>
      <c r="R1646" t="s">
        <v>391</v>
      </c>
      <c r="S1646" s="1">
        <f>electric_vehicles_dataset[[#This Row],[Units_Sold_2024]]*electric_vehicles_dataset[[#This Row],[Price_USD]]</f>
        <v>925191215.03999996</v>
      </c>
      <c r="T1646">
        <v>4</v>
      </c>
      <c r="U1646">
        <v>12156</v>
      </c>
      <c r="V1646">
        <v>5</v>
      </c>
    </row>
    <row r="1647" spans="1:22" x14ac:dyDescent="0.35">
      <c r="A1647">
        <v>1646</v>
      </c>
      <c r="B1647" t="s">
        <v>215</v>
      </c>
      <c r="C1647" t="s">
        <v>216</v>
      </c>
      <c r="D1647">
        <v>2017</v>
      </c>
      <c r="E1647" t="s">
        <v>104</v>
      </c>
      <c r="F1647">
        <v>36.4</v>
      </c>
      <c r="G1647" t="s">
        <v>357</v>
      </c>
      <c r="H1647">
        <f>electric_vehicles_dataset[[#This Row],[Battery_Capacity_kWh]]/electric_vehicles_dataset[[#This Row],[Range_km]]</f>
        <v>9.9726027397260275E-2</v>
      </c>
      <c r="I1647">
        <v>365</v>
      </c>
      <c r="J1647" t="s">
        <v>149</v>
      </c>
      <c r="K1647">
        <v>11</v>
      </c>
      <c r="L1647" s="1">
        <v>81176.289999999994</v>
      </c>
      <c r="M1647" s="1" t="str" cm="1">
        <f t="array" ref="M16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47" t="s">
        <v>100</v>
      </c>
      <c r="O1647" t="s">
        <v>115</v>
      </c>
      <c r="P1647" s="2" t="s">
        <v>396</v>
      </c>
      <c r="Q1647">
        <v>3</v>
      </c>
      <c r="R1647" t="s">
        <v>397</v>
      </c>
      <c r="S1647" s="1">
        <f>electric_vehicles_dataset[[#This Row],[Units_Sold_2024]]*electric_vehicles_dataset[[#This Row],[Price_USD]]</f>
        <v>1423507421.4399998</v>
      </c>
      <c r="T1647">
        <v>3</v>
      </c>
      <c r="U1647">
        <v>17536</v>
      </c>
      <c r="V1647">
        <v>5</v>
      </c>
    </row>
    <row r="1648" spans="1:22" x14ac:dyDescent="0.35">
      <c r="A1648">
        <v>1647</v>
      </c>
      <c r="B1648" t="s">
        <v>173</v>
      </c>
      <c r="C1648" t="s">
        <v>249</v>
      </c>
      <c r="D1648">
        <v>2015</v>
      </c>
      <c r="E1648" t="s">
        <v>73</v>
      </c>
      <c r="F1648">
        <v>79.400000000000006</v>
      </c>
      <c r="G1648" t="s">
        <v>351</v>
      </c>
      <c r="H1648">
        <f>electric_vehicles_dataset[[#This Row],[Battery_Capacity_kWh]]/electric_vehicles_dataset[[#This Row],[Range_km]]</f>
        <v>0.15152671755725192</v>
      </c>
      <c r="I1648">
        <v>524</v>
      </c>
      <c r="J1648" t="s">
        <v>353</v>
      </c>
      <c r="K1648">
        <v>7</v>
      </c>
      <c r="L1648" s="1">
        <v>115802.95</v>
      </c>
      <c r="M1648" s="1" t="str" cm="1">
        <f t="array" ref="M164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48" t="s">
        <v>177</v>
      </c>
      <c r="O1648" t="s">
        <v>226</v>
      </c>
      <c r="P1648" s="2" t="s">
        <v>395</v>
      </c>
      <c r="Q1648">
        <v>3</v>
      </c>
      <c r="R1648" t="s">
        <v>397</v>
      </c>
      <c r="S1648" s="1">
        <f>electric_vehicles_dataset[[#This Row],[Units_Sold_2024]]*electric_vehicles_dataset[[#This Row],[Price_USD]]</f>
        <v>458579682</v>
      </c>
      <c r="T1648">
        <v>3</v>
      </c>
      <c r="U1648">
        <v>3960</v>
      </c>
      <c r="V1648">
        <v>5</v>
      </c>
    </row>
    <row r="1649" spans="1:22" x14ac:dyDescent="0.35">
      <c r="A1649">
        <v>1648</v>
      </c>
      <c r="B1649" t="s">
        <v>176</v>
      </c>
      <c r="C1649" t="s">
        <v>326</v>
      </c>
      <c r="D1649">
        <v>2020</v>
      </c>
      <c r="E1649" t="s">
        <v>101</v>
      </c>
      <c r="F1649">
        <v>110.1</v>
      </c>
      <c r="G1649" t="s">
        <v>361</v>
      </c>
      <c r="H1649">
        <f>electric_vehicles_dataset[[#This Row],[Battery_Capacity_kWh]]/electric_vehicles_dataset[[#This Row],[Range_km]]</f>
        <v>0.3182080924855491</v>
      </c>
      <c r="I1649">
        <v>346</v>
      </c>
      <c r="J1649" t="s">
        <v>34</v>
      </c>
      <c r="K1649">
        <v>3</v>
      </c>
      <c r="L1649" s="1">
        <v>123627.93</v>
      </c>
      <c r="M1649" s="1" t="str" cm="1">
        <f t="array" ref="M164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49" t="s">
        <v>279</v>
      </c>
      <c r="O1649" t="s">
        <v>115</v>
      </c>
      <c r="P1649" s="2" t="s">
        <v>396</v>
      </c>
      <c r="Q1649">
        <v>0</v>
      </c>
      <c r="R1649" t="s">
        <v>390</v>
      </c>
      <c r="S1649" s="1">
        <f>electric_vehicles_dataset[[#This Row],[Units_Sold_2024]]*electric_vehicles_dataset[[#This Row],[Price_USD]]</f>
        <v>573386339.33999991</v>
      </c>
      <c r="T1649">
        <v>4</v>
      </c>
      <c r="U1649">
        <v>4638</v>
      </c>
      <c r="V1649">
        <v>5</v>
      </c>
    </row>
    <row r="1650" spans="1:22" x14ac:dyDescent="0.35">
      <c r="A1650">
        <v>1649</v>
      </c>
      <c r="B1650" t="s">
        <v>122</v>
      </c>
      <c r="C1650" t="s">
        <v>186</v>
      </c>
      <c r="D1650">
        <v>2018</v>
      </c>
      <c r="E1650" t="s">
        <v>133</v>
      </c>
      <c r="F1650">
        <v>107.8</v>
      </c>
      <c r="G1650" t="s">
        <v>361</v>
      </c>
      <c r="H1650">
        <f>electric_vehicles_dataset[[#This Row],[Battery_Capacity_kWh]]/electric_vehicles_dataset[[#This Row],[Range_km]]</f>
        <v>0.308</v>
      </c>
      <c r="I1650">
        <v>350</v>
      </c>
      <c r="J1650" t="s">
        <v>359</v>
      </c>
      <c r="K1650">
        <v>11</v>
      </c>
      <c r="L1650" s="1">
        <v>145717.44</v>
      </c>
      <c r="M1650" s="1" t="str" cm="1">
        <f t="array" ref="M165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50" t="s">
        <v>91</v>
      </c>
      <c r="O1650" t="s">
        <v>226</v>
      </c>
      <c r="P1650" s="2" t="s">
        <v>395</v>
      </c>
      <c r="Q1650">
        <v>5</v>
      </c>
      <c r="R1650" t="s">
        <v>392</v>
      </c>
      <c r="S1650" s="1">
        <f>electric_vehicles_dataset[[#This Row],[Units_Sold_2024]]*electric_vehicles_dataset[[#This Row],[Price_USD]]</f>
        <v>2039752725.1200001</v>
      </c>
      <c r="T1650">
        <v>3</v>
      </c>
      <c r="U1650">
        <v>13998</v>
      </c>
      <c r="V1650">
        <v>3</v>
      </c>
    </row>
    <row r="1651" spans="1:22" x14ac:dyDescent="0.35">
      <c r="A1651">
        <v>1650</v>
      </c>
      <c r="B1651" t="s">
        <v>94</v>
      </c>
      <c r="C1651" t="s">
        <v>360</v>
      </c>
      <c r="D1651">
        <v>2024</v>
      </c>
      <c r="E1651" t="s">
        <v>73</v>
      </c>
      <c r="F1651">
        <v>81.7</v>
      </c>
      <c r="G1651" t="s">
        <v>350</v>
      </c>
      <c r="H1651">
        <f>electric_vehicles_dataset[[#This Row],[Battery_Capacity_kWh]]/electric_vehicles_dataset[[#This Row],[Range_km]]</f>
        <v>0.27979452054794524</v>
      </c>
      <c r="I1651">
        <v>292</v>
      </c>
      <c r="J1651" t="s">
        <v>149</v>
      </c>
      <c r="K1651">
        <v>9</v>
      </c>
      <c r="L1651" s="1">
        <v>82140.3</v>
      </c>
      <c r="M1651" s="1" t="str" cm="1">
        <f t="array" ref="M165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51" t="s">
        <v>168</v>
      </c>
      <c r="O1651" t="s">
        <v>164</v>
      </c>
      <c r="P1651" s="2" t="s">
        <v>394</v>
      </c>
      <c r="Q1651">
        <v>3</v>
      </c>
      <c r="R1651" t="s">
        <v>397</v>
      </c>
      <c r="S1651" s="1">
        <f>electric_vehicles_dataset[[#This Row],[Units_Sold_2024]]*electric_vehicles_dataset[[#This Row],[Price_USD]]</f>
        <v>1640177510.4000001</v>
      </c>
      <c r="T1651">
        <v>4</v>
      </c>
      <c r="U1651">
        <v>19968</v>
      </c>
      <c r="V1651">
        <v>5</v>
      </c>
    </row>
    <row r="1652" spans="1:22" x14ac:dyDescent="0.35">
      <c r="A1652">
        <v>1651</v>
      </c>
      <c r="B1652" t="s">
        <v>94</v>
      </c>
      <c r="C1652" t="s">
        <v>294</v>
      </c>
      <c r="D1652">
        <v>2023</v>
      </c>
      <c r="E1652" t="s">
        <v>26</v>
      </c>
      <c r="F1652">
        <v>50.5</v>
      </c>
      <c r="G1652" t="s">
        <v>348</v>
      </c>
      <c r="H1652">
        <f>electric_vehicles_dataset[[#This Row],[Battery_Capacity_kWh]]/electric_vehicles_dataset[[#This Row],[Range_km]]</f>
        <v>0.20445344129554655</v>
      </c>
      <c r="I1652">
        <v>247</v>
      </c>
      <c r="J1652" t="s">
        <v>105</v>
      </c>
      <c r="K1652">
        <v>1</v>
      </c>
      <c r="L1652" s="1">
        <v>103799.19</v>
      </c>
      <c r="M1652" s="1" t="str" cm="1">
        <f t="array" ref="M165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52" t="s">
        <v>165</v>
      </c>
      <c r="O1652" t="s">
        <v>44</v>
      </c>
      <c r="P1652" s="2" t="s">
        <v>389</v>
      </c>
      <c r="Q1652">
        <v>2</v>
      </c>
      <c r="R1652" t="s">
        <v>391</v>
      </c>
      <c r="S1652" s="1">
        <f>electric_vehicles_dataset[[#This Row],[Units_Sold_2024]]*electric_vehicles_dataset[[#This Row],[Price_USD]]</f>
        <v>1239777525.3600001</v>
      </c>
      <c r="T1652">
        <v>4</v>
      </c>
      <c r="U1652">
        <v>11944</v>
      </c>
      <c r="V1652">
        <v>3</v>
      </c>
    </row>
    <row r="1653" spans="1:22" x14ac:dyDescent="0.35">
      <c r="A1653">
        <v>1652</v>
      </c>
      <c r="B1653" t="s">
        <v>193</v>
      </c>
      <c r="C1653" t="s">
        <v>312</v>
      </c>
      <c r="D1653">
        <v>2024</v>
      </c>
      <c r="E1653" t="s">
        <v>31</v>
      </c>
      <c r="F1653">
        <v>144.4</v>
      </c>
      <c r="G1653" t="s">
        <v>386</v>
      </c>
      <c r="H1653">
        <f>electric_vehicles_dataset[[#This Row],[Battery_Capacity_kWh]]/electric_vehicles_dataset[[#This Row],[Range_km]]</f>
        <v>0.74818652849740941</v>
      </c>
      <c r="I1653">
        <v>193</v>
      </c>
      <c r="J1653" t="s">
        <v>18</v>
      </c>
      <c r="K1653">
        <v>10</v>
      </c>
      <c r="L1653" s="1">
        <v>99534.65</v>
      </c>
      <c r="M1653" s="1" t="str" cm="1">
        <f t="array" ref="M165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53" t="s">
        <v>62</v>
      </c>
      <c r="O1653" t="s">
        <v>161</v>
      </c>
      <c r="P1653" s="2" t="s">
        <v>389</v>
      </c>
      <c r="Q1653">
        <v>4</v>
      </c>
      <c r="R1653" t="s">
        <v>392</v>
      </c>
      <c r="S1653" s="1">
        <f>electric_vehicles_dataset[[#This Row],[Units_Sold_2024]]*electric_vehicles_dataset[[#This Row],[Price_USD]]</f>
        <v>927862007.29999995</v>
      </c>
      <c r="T1653">
        <v>4</v>
      </c>
      <c r="U1653">
        <v>9322</v>
      </c>
      <c r="V1653">
        <v>4</v>
      </c>
    </row>
    <row r="1654" spans="1:22" x14ac:dyDescent="0.35">
      <c r="A1654">
        <v>1653</v>
      </c>
      <c r="B1654" t="s">
        <v>68</v>
      </c>
      <c r="C1654" t="s">
        <v>103</v>
      </c>
      <c r="D1654">
        <v>2021</v>
      </c>
      <c r="E1654" t="s">
        <v>84</v>
      </c>
      <c r="F1654">
        <v>119.1</v>
      </c>
      <c r="G1654" t="s">
        <v>361</v>
      </c>
      <c r="H1654">
        <f>electric_vehicles_dataset[[#This Row],[Battery_Capacity_kWh]]/electric_vehicles_dataset[[#This Row],[Range_km]]</f>
        <v>0.43948339483394833</v>
      </c>
      <c r="I1654">
        <v>271</v>
      </c>
      <c r="J1654" t="s">
        <v>356</v>
      </c>
      <c r="K1654">
        <v>10</v>
      </c>
      <c r="L1654" s="1">
        <v>100409.26</v>
      </c>
      <c r="M1654" s="1" t="str" cm="1">
        <f t="array" ref="M165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54" t="s">
        <v>143</v>
      </c>
      <c r="O1654" t="s">
        <v>50</v>
      </c>
      <c r="P1654" s="2" t="s">
        <v>396</v>
      </c>
      <c r="Q1654">
        <v>4</v>
      </c>
      <c r="R1654" t="s">
        <v>392</v>
      </c>
      <c r="S1654" s="1">
        <f>electric_vehicles_dataset[[#This Row],[Units_Sold_2024]]*electric_vehicles_dataset[[#This Row],[Price_USD]]</f>
        <v>1306023244.8199999</v>
      </c>
      <c r="T1654">
        <v>4</v>
      </c>
      <c r="U1654">
        <v>13007</v>
      </c>
      <c r="V1654">
        <v>5</v>
      </c>
    </row>
    <row r="1655" spans="1:22" x14ac:dyDescent="0.35">
      <c r="A1655">
        <v>1654</v>
      </c>
      <c r="B1655" t="s">
        <v>153</v>
      </c>
      <c r="C1655" t="s">
        <v>310</v>
      </c>
      <c r="D1655">
        <v>2015</v>
      </c>
      <c r="E1655" t="s">
        <v>84</v>
      </c>
      <c r="F1655">
        <v>85.5</v>
      </c>
      <c r="G1655" t="s">
        <v>350</v>
      </c>
      <c r="H1655">
        <f>electric_vehicles_dataset[[#This Row],[Battery_Capacity_kWh]]/electric_vehicles_dataset[[#This Row],[Range_km]]</f>
        <v>0.5089285714285714</v>
      </c>
      <c r="I1655">
        <v>168</v>
      </c>
      <c r="J1655" t="s">
        <v>34</v>
      </c>
      <c r="K1655">
        <v>5</v>
      </c>
      <c r="L1655" s="1">
        <v>98618.47</v>
      </c>
      <c r="M1655" s="1" t="str" cm="1">
        <f t="array" ref="M165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55" t="s">
        <v>205</v>
      </c>
      <c r="O1655" t="s">
        <v>161</v>
      </c>
      <c r="P1655" s="2" t="s">
        <v>389</v>
      </c>
      <c r="Q1655">
        <v>2</v>
      </c>
      <c r="R1655" t="s">
        <v>391</v>
      </c>
      <c r="S1655" s="1">
        <f>electric_vehicles_dataset[[#This Row],[Units_Sold_2024]]*electric_vehicles_dataset[[#This Row],[Price_USD]]</f>
        <v>713011538.10000002</v>
      </c>
      <c r="T1655">
        <v>3</v>
      </c>
      <c r="U1655">
        <v>7230</v>
      </c>
      <c r="V1655">
        <v>4</v>
      </c>
    </row>
    <row r="1656" spans="1:22" x14ac:dyDescent="0.35">
      <c r="A1656">
        <v>1655</v>
      </c>
      <c r="B1656" t="s">
        <v>176</v>
      </c>
      <c r="C1656" t="s">
        <v>326</v>
      </c>
      <c r="D1656">
        <v>2020</v>
      </c>
      <c r="E1656" t="s">
        <v>130</v>
      </c>
      <c r="F1656">
        <v>136.30000000000001</v>
      </c>
      <c r="G1656" t="s">
        <v>352</v>
      </c>
      <c r="H1656">
        <f>electric_vehicles_dataset[[#This Row],[Battery_Capacity_kWh]]/electric_vehicles_dataset[[#This Row],[Range_km]]</f>
        <v>0.3348894348894349</v>
      </c>
      <c r="I1656">
        <v>407</v>
      </c>
      <c r="J1656" t="s">
        <v>85</v>
      </c>
      <c r="K1656">
        <v>2</v>
      </c>
      <c r="L1656" s="1">
        <v>98454.6</v>
      </c>
      <c r="M1656" s="1" t="str" cm="1">
        <f t="array" ref="M16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56" t="s">
        <v>152</v>
      </c>
      <c r="O1656" t="s">
        <v>182</v>
      </c>
      <c r="P1656" s="2" t="s">
        <v>394</v>
      </c>
      <c r="Q1656">
        <v>2</v>
      </c>
      <c r="R1656" t="s">
        <v>391</v>
      </c>
      <c r="S1656" s="1">
        <f>electric_vehicles_dataset[[#This Row],[Units_Sold_2024]]*electric_vehicles_dataset[[#This Row],[Price_USD]]</f>
        <v>1630309721.4000001</v>
      </c>
      <c r="T1656">
        <v>5</v>
      </c>
      <c r="U1656">
        <v>16559</v>
      </c>
      <c r="V1656">
        <v>4</v>
      </c>
    </row>
    <row r="1657" spans="1:22" x14ac:dyDescent="0.35">
      <c r="A1657">
        <v>1656</v>
      </c>
      <c r="B1657" t="s">
        <v>16</v>
      </c>
      <c r="C1657" t="s">
        <v>347</v>
      </c>
      <c r="D1657">
        <v>2019</v>
      </c>
      <c r="E1657" t="s">
        <v>73</v>
      </c>
      <c r="F1657">
        <v>128.1</v>
      </c>
      <c r="G1657" t="s">
        <v>352</v>
      </c>
      <c r="H1657">
        <f>electric_vehicles_dataset[[#This Row],[Battery_Capacity_kWh]]/electric_vehicles_dataset[[#This Row],[Range_km]]</f>
        <v>0.2487378640776699</v>
      </c>
      <c r="I1657">
        <v>515</v>
      </c>
      <c r="J1657" t="s">
        <v>18</v>
      </c>
      <c r="K1657">
        <v>1</v>
      </c>
      <c r="L1657" s="1">
        <v>54920.21</v>
      </c>
      <c r="M1657" s="1" t="str" cm="1">
        <f t="array" ref="M165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57" t="s">
        <v>214</v>
      </c>
      <c r="O1657" t="s">
        <v>150</v>
      </c>
      <c r="P1657" s="2" t="s">
        <v>389</v>
      </c>
      <c r="Q1657">
        <v>3</v>
      </c>
      <c r="R1657" t="s">
        <v>397</v>
      </c>
      <c r="S1657" s="1">
        <f>electric_vehicles_dataset[[#This Row],[Units_Sold_2024]]*electric_vehicles_dataset[[#This Row],[Price_USD]]</f>
        <v>255488816.91999999</v>
      </c>
      <c r="T1657">
        <v>5</v>
      </c>
      <c r="U1657">
        <v>4652</v>
      </c>
      <c r="V1657">
        <v>4</v>
      </c>
    </row>
    <row r="1658" spans="1:22" x14ac:dyDescent="0.35">
      <c r="A1658">
        <v>1657</v>
      </c>
      <c r="B1658" t="s">
        <v>36</v>
      </c>
      <c r="C1658" t="s">
        <v>324</v>
      </c>
      <c r="D1658">
        <v>2020</v>
      </c>
      <c r="E1658" t="s">
        <v>133</v>
      </c>
      <c r="F1658">
        <v>131.6</v>
      </c>
      <c r="G1658" t="s">
        <v>352</v>
      </c>
      <c r="H1658">
        <f>electric_vehicles_dataset[[#This Row],[Battery_Capacity_kWh]]/electric_vehicles_dataset[[#This Row],[Range_km]]</f>
        <v>0.32655086848635234</v>
      </c>
      <c r="I1658">
        <v>403</v>
      </c>
      <c r="J1658" t="s">
        <v>85</v>
      </c>
      <c r="K1658">
        <v>12</v>
      </c>
      <c r="L1658" s="1">
        <v>89767.2</v>
      </c>
      <c r="M1658" s="1" t="str" cm="1">
        <f t="array" ref="M165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58" t="s">
        <v>131</v>
      </c>
      <c r="O1658" t="s">
        <v>265</v>
      </c>
      <c r="P1658" s="2" t="s">
        <v>389</v>
      </c>
      <c r="Q1658">
        <v>3</v>
      </c>
      <c r="R1658" t="s">
        <v>397</v>
      </c>
      <c r="S1658" s="1">
        <f>electric_vehicles_dataset[[#This Row],[Units_Sold_2024]]*electric_vehicles_dataset[[#This Row],[Price_USD]]</f>
        <v>415442601.59999996</v>
      </c>
      <c r="T1658">
        <v>5</v>
      </c>
      <c r="U1658">
        <v>4628</v>
      </c>
      <c r="V1658">
        <v>3</v>
      </c>
    </row>
    <row r="1659" spans="1:22" x14ac:dyDescent="0.35">
      <c r="A1659">
        <v>1658</v>
      </c>
      <c r="B1659" t="s">
        <v>82</v>
      </c>
      <c r="C1659" t="s">
        <v>281</v>
      </c>
      <c r="D1659">
        <v>2025</v>
      </c>
      <c r="E1659" t="s">
        <v>84</v>
      </c>
      <c r="F1659">
        <v>31.2</v>
      </c>
      <c r="G1659" t="s">
        <v>357</v>
      </c>
      <c r="H1659">
        <f>electric_vehicles_dataset[[#This Row],[Battery_Capacity_kWh]]/electric_vehicles_dataset[[#This Row],[Range_km]]</f>
        <v>7.0748299319727884E-2</v>
      </c>
      <c r="I1659">
        <v>441</v>
      </c>
      <c r="J1659" t="s">
        <v>34</v>
      </c>
      <c r="K1659">
        <v>10</v>
      </c>
      <c r="L1659" s="1">
        <v>68355.55</v>
      </c>
      <c r="M1659" s="1" t="str" cm="1">
        <f t="array" ref="M165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59" t="s">
        <v>98</v>
      </c>
      <c r="O1659" t="s">
        <v>135</v>
      </c>
      <c r="P1659" s="2" t="s">
        <v>389</v>
      </c>
      <c r="Q1659">
        <v>2</v>
      </c>
      <c r="R1659" t="s">
        <v>391</v>
      </c>
      <c r="S1659" s="1">
        <f>electric_vehicles_dataset[[#This Row],[Units_Sold_2024]]*electric_vehicles_dataset[[#This Row],[Price_USD]]</f>
        <v>256538379.15000001</v>
      </c>
      <c r="T1659">
        <v>4</v>
      </c>
      <c r="U1659">
        <v>3753</v>
      </c>
      <c r="V1659">
        <v>4</v>
      </c>
    </row>
    <row r="1660" spans="1:22" x14ac:dyDescent="0.35">
      <c r="A1660">
        <v>1659</v>
      </c>
      <c r="B1660" t="s">
        <v>224</v>
      </c>
      <c r="C1660" t="s">
        <v>297</v>
      </c>
      <c r="D1660">
        <v>2015</v>
      </c>
      <c r="E1660" t="s">
        <v>53</v>
      </c>
      <c r="F1660">
        <v>103.8</v>
      </c>
      <c r="G1660" t="s">
        <v>361</v>
      </c>
      <c r="H1660">
        <f>electric_vehicles_dataset[[#This Row],[Battery_Capacity_kWh]]/electric_vehicles_dataset[[#This Row],[Range_km]]</f>
        <v>0.22038216560509555</v>
      </c>
      <c r="I1660">
        <v>471</v>
      </c>
      <c r="J1660" t="s">
        <v>359</v>
      </c>
      <c r="K1660">
        <v>12</v>
      </c>
      <c r="L1660" s="1">
        <v>68432.19</v>
      </c>
      <c r="M1660" s="1" t="str" cm="1">
        <f t="array" ref="M166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60" t="s">
        <v>70</v>
      </c>
      <c r="O1660" t="s">
        <v>124</v>
      </c>
      <c r="P1660" s="2" t="s">
        <v>389</v>
      </c>
      <c r="Q1660">
        <v>5</v>
      </c>
      <c r="R1660" t="s">
        <v>392</v>
      </c>
      <c r="S1660" s="1">
        <f>electric_vehicles_dataset[[#This Row],[Units_Sold_2024]]*electric_vehicles_dataset[[#This Row],[Price_USD]]</f>
        <v>200437884.51000002</v>
      </c>
      <c r="T1660">
        <v>3</v>
      </c>
      <c r="U1660">
        <v>2929</v>
      </c>
      <c r="V1660">
        <v>3</v>
      </c>
    </row>
    <row r="1661" spans="1:22" x14ac:dyDescent="0.35">
      <c r="A1661">
        <v>1660</v>
      </c>
      <c r="B1661" t="s">
        <v>71</v>
      </c>
      <c r="C1661" t="s">
        <v>72</v>
      </c>
      <c r="D1661">
        <v>2015</v>
      </c>
      <c r="E1661" t="s">
        <v>90</v>
      </c>
      <c r="F1661">
        <v>26.8</v>
      </c>
      <c r="G1661" t="s">
        <v>357</v>
      </c>
      <c r="H1661">
        <f>electric_vehicles_dataset[[#This Row],[Battery_Capacity_kWh]]/electric_vehicles_dataset[[#This Row],[Range_km]]</f>
        <v>5.153846153846154E-2</v>
      </c>
      <c r="I1661">
        <v>520</v>
      </c>
      <c r="J1661" t="s">
        <v>353</v>
      </c>
      <c r="K1661">
        <v>1</v>
      </c>
      <c r="L1661" s="1">
        <v>83204.070000000007</v>
      </c>
      <c r="M1661" s="1" t="str" cm="1">
        <f t="array" ref="M166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61" t="s">
        <v>43</v>
      </c>
      <c r="O1661" t="s">
        <v>115</v>
      </c>
      <c r="P1661" s="2" t="s">
        <v>396</v>
      </c>
      <c r="Q1661">
        <v>2</v>
      </c>
      <c r="R1661" t="s">
        <v>391</v>
      </c>
      <c r="S1661" s="1">
        <f>electric_vehicles_dataset[[#This Row],[Units_Sold_2024]]*electric_vehicles_dataset[[#This Row],[Price_USD]]</f>
        <v>472931933.88000005</v>
      </c>
      <c r="T1661">
        <v>3</v>
      </c>
      <c r="U1661">
        <v>5684</v>
      </c>
      <c r="V1661">
        <v>5</v>
      </c>
    </row>
    <row r="1662" spans="1:22" x14ac:dyDescent="0.35">
      <c r="A1662">
        <v>1661</v>
      </c>
      <c r="B1662" t="s">
        <v>224</v>
      </c>
      <c r="C1662" t="s">
        <v>297</v>
      </c>
      <c r="D1662">
        <v>2020</v>
      </c>
      <c r="E1662" t="s">
        <v>17</v>
      </c>
      <c r="F1662">
        <v>143.69999999999999</v>
      </c>
      <c r="G1662" t="s">
        <v>386</v>
      </c>
      <c r="H1662">
        <f>electric_vehicles_dataset[[#This Row],[Battery_Capacity_kWh]]/electric_vehicles_dataset[[#This Row],[Range_km]]</f>
        <v>1.0804511278195488</v>
      </c>
      <c r="I1662">
        <v>133</v>
      </c>
      <c r="J1662" t="s">
        <v>38</v>
      </c>
      <c r="K1662">
        <v>7</v>
      </c>
      <c r="L1662" s="1">
        <v>143199.01999999999</v>
      </c>
      <c r="M1662" s="1" t="str" cm="1">
        <f t="array" ref="M166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62" t="s">
        <v>62</v>
      </c>
      <c r="O1662" t="s">
        <v>86</v>
      </c>
      <c r="P1662" s="2" t="s">
        <v>389</v>
      </c>
      <c r="Q1662">
        <v>0</v>
      </c>
      <c r="R1662" t="s">
        <v>390</v>
      </c>
      <c r="S1662" s="1">
        <f>electric_vehicles_dataset[[#This Row],[Units_Sold_2024]]*electric_vehicles_dataset[[#This Row],[Price_USD]]</f>
        <v>1035185715.5799999</v>
      </c>
      <c r="T1662">
        <v>4</v>
      </c>
      <c r="U1662">
        <v>7229</v>
      </c>
      <c r="V1662">
        <v>5</v>
      </c>
    </row>
    <row r="1663" spans="1:22" x14ac:dyDescent="0.35">
      <c r="A1663">
        <v>1662</v>
      </c>
      <c r="B1663" t="s">
        <v>96</v>
      </c>
      <c r="C1663" t="s">
        <v>116</v>
      </c>
      <c r="D1663">
        <v>2021</v>
      </c>
      <c r="E1663" t="s">
        <v>58</v>
      </c>
      <c r="F1663">
        <v>51.5</v>
      </c>
      <c r="G1663" t="s">
        <v>348</v>
      </c>
      <c r="H1663">
        <f>electric_vehicles_dataset[[#This Row],[Battery_Capacity_kWh]]/electric_vehicles_dataset[[#This Row],[Range_km]]</f>
        <v>0.16453674121405751</v>
      </c>
      <c r="I1663">
        <v>313</v>
      </c>
      <c r="J1663" t="s">
        <v>34</v>
      </c>
      <c r="K1663">
        <v>3</v>
      </c>
      <c r="L1663" s="1">
        <v>139942.79999999999</v>
      </c>
      <c r="M1663" s="1" t="str" cm="1">
        <f t="array" ref="M16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63" t="s">
        <v>301</v>
      </c>
      <c r="O1663" t="s">
        <v>206</v>
      </c>
      <c r="P1663" s="2" t="s">
        <v>394</v>
      </c>
      <c r="Q1663">
        <v>0</v>
      </c>
      <c r="R1663" t="s">
        <v>390</v>
      </c>
      <c r="S1663" s="1">
        <f>electric_vehicles_dataset[[#This Row],[Units_Sold_2024]]*electric_vehicles_dataset[[#This Row],[Price_USD]]</f>
        <v>1967595767.9999998</v>
      </c>
      <c r="T1663">
        <v>5</v>
      </c>
      <c r="U1663">
        <v>14060</v>
      </c>
      <c r="V1663">
        <v>5</v>
      </c>
    </row>
    <row r="1664" spans="1:22" x14ac:dyDescent="0.35">
      <c r="A1664">
        <v>1663</v>
      </c>
      <c r="B1664" t="s">
        <v>29</v>
      </c>
      <c r="C1664" t="s">
        <v>331</v>
      </c>
      <c r="D1664">
        <v>2024</v>
      </c>
      <c r="E1664" t="s">
        <v>133</v>
      </c>
      <c r="F1664">
        <v>121.4</v>
      </c>
      <c r="G1664" t="s">
        <v>352</v>
      </c>
      <c r="H1664">
        <f>electric_vehicles_dataset[[#This Row],[Battery_Capacity_kWh]]/electric_vehicles_dataset[[#This Row],[Range_km]]</f>
        <v>0.21795332136445245</v>
      </c>
      <c r="I1664">
        <v>557</v>
      </c>
      <c r="J1664" t="s">
        <v>105</v>
      </c>
      <c r="K1664">
        <v>9</v>
      </c>
      <c r="L1664" s="1">
        <v>131616.5</v>
      </c>
      <c r="M1664" s="1" t="str" cm="1">
        <f t="array" ref="M16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64" t="s">
        <v>91</v>
      </c>
      <c r="O1664" t="s">
        <v>159</v>
      </c>
      <c r="P1664" s="2" t="s">
        <v>389</v>
      </c>
      <c r="Q1664">
        <v>0</v>
      </c>
      <c r="R1664" t="s">
        <v>390</v>
      </c>
      <c r="S1664" s="1">
        <f>electric_vehicles_dataset[[#This Row],[Units_Sold_2024]]*electric_vehicles_dataset[[#This Row],[Price_USD]]</f>
        <v>1504508211.5</v>
      </c>
      <c r="T1664">
        <v>3</v>
      </c>
      <c r="U1664">
        <v>11431</v>
      </c>
      <c r="V1664">
        <v>5</v>
      </c>
    </row>
    <row r="1665" spans="1:22" x14ac:dyDescent="0.35">
      <c r="A1665">
        <v>1664</v>
      </c>
      <c r="B1665" t="s">
        <v>21</v>
      </c>
      <c r="C1665" t="s">
        <v>349</v>
      </c>
      <c r="D1665">
        <v>2025</v>
      </c>
      <c r="E1665" t="s">
        <v>183</v>
      </c>
      <c r="F1665">
        <v>116.4</v>
      </c>
      <c r="G1665" t="s">
        <v>361</v>
      </c>
      <c r="H1665">
        <f>electric_vehicles_dataset[[#This Row],[Battery_Capacity_kWh]]/electric_vehicles_dataset[[#This Row],[Range_km]]</f>
        <v>1.1192307692307693</v>
      </c>
      <c r="I1665">
        <v>104</v>
      </c>
      <c r="J1665" t="s">
        <v>358</v>
      </c>
      <c r="K1665">
        <v>6</v>
      </c>
      <c r="L1665" s="1">
        <v>54336.36</v>
      </c>
      <c r="M1665" s="1" t="str" cm="1">
        <f t="array" ref="M166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65" t="s">
        <v>172</v>
      </c>
      <c r="O1665" t="s">
        <v>118</v>
      </c>
      <c r="P1665" s="2" t="s">
        <v>389</v>
      </c>
      <c r="Q1665">
        <v>1</v>
      </c>
      <c r="R1665" t="s">
        <v>391</v>
      </c>
      <c r="S1665" s="1">
        <f>electric_vehicles_dataset[[#This Row],[Units_Sold_2024]]*electric_vehicles_dataset[[#This Row],[Price_USD]]</f>
        <v>549123254.15999997</v>
      </c>
      <c r="T1665">
        <v>3</v>
      </c>
      <c r="U1665">
        <v>10106</v>
      </c>
      <c r="V1665">
        <v>3</v>
      </c>
    </row>
    <row r="1666" spans="1:22" x14ac:dyDescent="0.35">
      <c r="A1666">
        <v>1665</v>
      </c>
      <c r="B1666" t="s">
        <v>68</v>
      </c>
      <c r="C1666" t="s">
        <v>69</v>
      </c>
      <c r="D1666">
        <v>2024</v>
      </c>
      <c r="E1666" t="s">
        <v>31</v>
      </c>
      <c r="F1666">
        <v>81.7</v>
      </c>
      <c r="G1666" t="s">
        <v>350</v>
      </c>
      <c r="H1666">
        <f>electric_vehicles_dataset[[#This Row],[Battery_Capacity_kWh]]/electric_vehicles_dataset[[#This Row],[Range_km]]</f>
        <v>0.26525974025974025</v>
      </c>
      <c r="I1666">
        <v>308</v>
      </c>
      <c r="J1666" t="s">
        <v>149</v>
      </c>
      <c r="K1666">
        <v>8</v>
      </c>
      <c r="L1666" s="1">
        <v>120896.17</v>
      </c>
      <c r="M1666" s="1" t="str" cm="1">
        <f t="array" ref="M16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66" t="s">
        <v>175</v>
      </c>
      <c r="O1666" t="s">
        <v>164</v>
      </c>
      <c r="P1666" s="2" t="s">
        <v>394</v>
      </c>
      <c r="Q1666">
        <v>3</v>
      </c>
      <c r="R1666" t="s">
        <v>397</v>
      </c>
      <c r="S1666" s="1">
        <f>electric_vehicles_dataset[[#This Row],[Units_Sold_2024]]*electric_vehicles_dataset[[#This Row],[Price_USD]]</f>
        <v>1961903046.76</v>
      </c>
      <c r="T1666">
        <v>5</v>
      </c>
      <c r="U1666">
        <v>16228</v>
      </c>
      <c r="V1666">
        <v>4</v>
      </c>
    </row>
    <row r="1667" spans="1:22" x14ac:dyDescent="0.35">
      <c r="A1667">
        <v>1666</v>
      </c>
      <c r="B1667" t="s">
        <v>36</v>
      </c>
      <c r="C1667" t="s">
        <v>317</v>
      </c>
      <c r="D1667">
        <v>2025</v>
      </c>
      <c r="E1667" t="s">
        <v>47</v>
      </c>
      <c r="F1667">
        <v>90.6</v>
      </c>
      <c r="G1667" t="s">
        <v>350</v>
      </c>
      <c r="H1667">
        <f>electric_vehicles_dataset[[#This Row],[Battery_Capacity_kWh]]/electric_vehicles_dataset[[#This Row],[Range_km]]</f>
        <v>0.1535593220338983</v>
      </c>
      <c r="I1667">
        <v>590</v>
      </c>
      <c r="J1667" t="s">
        <v>359</v>
      </c>
      <c r="K1667">
        <v>5</v>
      </c>
      <c r="L1667" s="1">
        <v>58342.5</v>
      </c>
      <c r="M1667" s="1" t="str" cm="1">
        <f t="array" ref="M166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67" t="s">
        <v>19</v>
      </c>
      <c r="O1667" t="s">
        <v>121</v>
      </c>
      <c r="P1667" s="2" t="s">
        <v>398</v>
      </c>
      <c r="Q1667">
        <v>5</v>
      </c>
      <c r="R1667" t="s">
        <v>392</v>
      </c>
      <c r="S1667" s="1">
        <f>electric_vehicles_dataset[[#This Row],[Units_Sold_2024]]*electric_vehicles_dataset[[#This Row],[Price_USD]]</f>
        <v>757985760</v>
      </c>
      <c r="T1667">
        <v>4</v>
      </c>
      <c r="U1667">
        <v>12992</v>
      </c>
      <c r="V1667">
        <v>5</v>
      </c>
    </row>
    <row r="1668" spans="1:22" x14ac:dyDescent="0.35">
      <c r="A1668">
        <v>1667</v>
      </c>
      <c r="B1668" t="s">
        <v>220</v>
      </c>
      <c r="C1668" t="s">
        <v>382</v>
      </c>
      <c r="D1668">
        <v>2021</v>
      </c>
      <c r="E1668" t="s">
        <v>101</v>
      </c>
      <c r="F1668">
        <v>97</v>
      </c>
      <c r="G1668" t="s">
        <v>350</v>
      </c>
      <c r="H1668">
        <f>electric_vehicles_dataset[[#This Row],[Battery_Capacity_kWh]]/electric_vehicles_dataset[[#This Row],[Range_km]]</f>
        <v>0.5</v>
      </c>
      <c r="I1668">
        <v>194</v>
      </c>
      <c r="J1668" t="s">
        <v>358</v>
      </c>
      <c r="K1668">
        <v>6</v>
      </c>
      <c r="L1668" s="1">
        <v>83262.39</v>
      </c>
      <c r="M1668" s="1" t="str" cm="1">
        <f t="array" ref="M166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68" t="s">
        <v>142</v>
      </c>
      <c r="O1668" t="s">
        <v>206</v>
      </c>
      <c r="P1668" s="2" t="s">
        <v>394</v>
      </c>
      <c r="Q1668">
        <v>5</v>
      </c>
      <c r="R1668" t="s">
        <v>392</v>
      </c>
      <c r="S1668" s="1">
        <f>electric_vehicles_dataset[[#This Row],[Units_Sold_2024]]*electric_vehicles_dataset[[#This Row],[Price_USD]]</f>
        <v>1083326956.29</v>
      </c>
      <c r="T1668">
        <v>5</v>
      </c>
      <c r="U1668">
        <v>13011</v>
      </c>
      <c r="V1668">
        <v>3</v>
      </c>
    </row>
    <row r="1669" spans="1:22" x14ac:dyDescent="0.35">
      <c r="A1669">
        <v>1668</v>
      </c>
      <c r="B1669" t="s">
        <v>36</v>
      </c>
      <c r="C1669" t="s">
        <v>37</v>
      </c>
      <c r="D1669">
        <v>2017</v>
      </c>
      <c r="E1669" t="s">
        <v>101</v>
      </c>
      <c r="F1669">
        <v>91.5</v>
      </c>
      <c r="G1669" t="s">
        <v>350</v>
      </c>
      <c r="H1669">
        <f>electric_vehicles_dataset[[#This Row],[Battery_Capacity_kWh]]/electric_vehicles_dataset[[#This Row],[Range_km]]</f>
        <v>0.21378504672897197</v>
      </c>
      <c r="I1669">
        <v>428</v>
      </c>
      <c r="J1669" t="s">
        <v>76</v>
      </c>
      <c r="K1669">
        <v>6</v>
      </c>
      <c r="L1669" s="1">
        <v>99693.62</v>
      </c>
      <c r="M1669" s="1" t="str" cm="1">
        <f t="array" ref="M16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69" t="s">
        <v>100</v>
      </c>
      <c r="O1669" t="s">
        <v>89</v>
      </c>
      <c r="P1669" s="2" t="s">
        <v>389</v>
      </c>
      <c r="Q1669">
        <v>0</v>
      </c>
      <c r="R1669" t="s">
        <v>390</v>
      </c>
      <c r="S1669" s="1">
        <f>electric_vehicles_dataset[[#This Row],[Units_Sold_2024]]*electric_vehicles_dataset[[#This Row],[Price_USD]]</f>
        <v>1568878497.9399998</v>
      </c>
      <c r="T1669">
        <v>4</v>
      </c>
      <c r="U1669">
        <v>15737</v>
      </c>
      <c r="V1669">
        <v>4</v>
      </c>
    </row>
    <row r="1670" spans="1:22" x14ac:dyDescent="0.35">
      <c r="A1670">
        <v>1669</v>
      </c>
      <c r="B1670" t="s">
        <v>153</v>
      </c>
      <c r="C1670" t="s">
        <v>310</v>
      </c>
      <c r="D1670">
        <v>2020</v>
      </c>
      <c r="E1670" t="s">
        <v>90</v>
      </c>
      <c r="F1670">
        <v>128.69999999999999</v>
      </c>
      <c r="G1670" t="s">
        <v>352</v>
      </c>
      <c r="H1670">
        <f>electric_vehicles_dataset[[#This Row],[Battery_Capacity_kWh]]/electric_vehicles_dataset[[#This Row],[Range_km]]</f>
        <v>0.4377551020408163</v>
      </c>
      <c r="I1670">
        <v>294</v>
      </c>
      <c r="J1670" t="s">
        <v>54</v>
      </c>
      <c r="K1670">
        <v>1</v>
      </c>
      <c r="L1670" s="1">
        <v>130632.55</v>
      </c>
      <c r="M1670" s="1" t="str" cm="1">
        <f t="array" ref="M167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70" t="s">
        <v>114</v>
      </c>
      <c r="O1670" t="s">
        <v>33</v>
      </c>
      <c r="P1670" s="2" t="s">
        <v>393</v>
      </c>
      <c r="Q1670">
        <v>4</v>
      </c>
      <c r="R1670" t="s">
        <v>392</v>
      </c>
      <c r="S1670" s="1">
        <f>electric_vehicles_dataset[[#This Row],[Units_Sold_2024]]*electric_vehicles_dataset[[#This Row],[Price_USD]]</f>
        <v>309991041.15000004</v>
      </c>
      <c r="T1670">
        <v>4</v>
      </c>
      <c r="U1670">
        <v>2373</v>
      </c>
      <c r="V1670">
        <v>5</v>
      </c>
    </row>
    <row r="1671" spans="1:22" x14ac:dyDescent="0.35">
      <c r="A1671">
        <v>1670</v>
      </c>
      <c r="B1671" t="s">
        <v>176</v>
      </c>
      <c r="C1671" t="s">
        <v>326</v>
      </c>
      <c r="D1671">
        <v>2022</v>
      </c>
      <c r="E1671" t="s">
        <v>58</v>
      </c>
      <c r="F1671">
        <v>136</v>
      </c>
      <c r="G1671" t="s">
        <v>352</v>
      </c>
      <c r="H1671">
        <f>electric_vehicles_dataset[[#This Row],[Battery_Capacity_kWh]]/electric_vehicles_dataset[[#This Row],[Range_km]]</f>
        <v>0.27254509018036072</v>
      </c>
      <c r="I1671">
        <v>499</v>
      </c>
      <c r="J1671" t="s">
        <v>34</v>
      </c>
      <c r="K1671">
        <v>4</v>
      </c>
      <c r="L1671" s="1">
        <v>96172.33</v>
      </c>
      <c r="M1671" s="1" t="str" cm="1">
        <f t="array" ref="M167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71" t="s">
        <v>55</v>
      </c>
      <c r="O1671" t="s">
        <v>182</v>
      </c>
      <c r="P1671" s="2" t="s">
        <v>394</v>
      </c>
      <c r="Q1671">
        <v>4</v>
      </c>
      <c r="R1671" t="s">
        <v>392</v>
      </c>
      <c r="S1671" s="1">
        <f>electric_vehicles_dataset[[#This Row],[Units_Sold_2024]]*electric_vehicles_dataset[[#This Row],[Price_USD]]</f>
        <v>1249374739.03</v>
      </c>
      <c r="T1671">
        <v>4</v>
      </c>
      <c r="U1671">
        <v>12991</v>
      </c>
      <c r="V1671">
        <v>4</v>
      </c>
    </row>
    <row r="1672" spans="1:22" x14ac:dyDescent="0.35">
      <c r="A1672">
        <v>1671</v>
      </c>
      <c r="B1672" t="s">
        <v>74</v>
      </c>
      <c r="C1672" t="s">
        <v>75</v>
      </c>
      <c r="D1672">
        <v>2023</v>
      </c>
      <c r="E1672" t="s">
        <v>47</v>
      </c>
      <c r="F1672">
        <v>77.400000000000006</v>
      </c>
      <c r="G1672" t="s">
        <v>351</v>
      </c>
      <c r="H1672">
        <f>electric_vehicles_dataset[[#This Row],[Battery_Capacity_kWh]]/electric_vehicles_dataset[[#This Row],[Range_km]]</f>
        <v>0.17958236658932716</v>
      </c>
      <c r="I1672">
        <v>431</v>
      </c>
      <c r="J1672" t="s">
        <v>48</v>
      </c>
      <c r="K1672">
        <v>10</v>
      </c>
      <c r="L1672" s="1">
        <v>67004.38</v>
      </c>
      <c r="M1672" s="1" t="str" cm="1">
        <f t="array" ref="M16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72" t="s">
        <v>196</v>
      </c>
      <c r="O1672" t="s">
        <v>95</v>
      </c>
      <c r="P1672" s="2" t="s">
        <v>394</v>
      </c>
      <c r="Q1672">
        <v>4</v>
      </c>
      <c r="R1672" t="s">
        <v>392</v>
      </c>
      <c r="S1672" s="1">
        <f>electric_vehicles_dataset[[#This Row],[Units_Sold_2024]]*electric_vehicles_dataset[[#This Row],[Price_USD]]</f>
        <v>1324944610.1200001</v>
      </c>
      <c r="T1672">
        <v>3</v>
      </c>
      <c r="U1672">
        <v>19774</v>
      </c>
      <c r="V1672">
        <v>3</v>
      </c>
    </row>
    <row r="1673" spans="1:22" x14ac:dyDescent="0.35">
      <c r="A1673">
        <v>1672</v>
      </c>
      <c r="B1673" t="s">
        <v>180</v>
      </c>
      <c r="C1673" t="s">
        <v>181</v>
      </c>
      <c r="D1673">
        <v>2024</v>
      </c>
      <c r="E1673" t="s">
        <v>17</v>
      </c>
      <c r="F1673">
        <v>103</v>
      </c>
      <c r="G1673" t="s">
        <v>361</v>
      </c>
      <c r="H1673">
        <f>electric_vehicles_dataset[[#This Row],[Battery_Capacity_kWh]]/electric_vehicles_dataset[[#This Row],[Range_km]]</f>
        <v>0.28065395095367845</v>
      </c>
      <c r="I1673">
        <v>367</v>
      </c>
      <c r="J1673" t="s">
        <v>345</v>
      </c>
      <c r="K1673">
        <v>7</v>
      </c>
      <c r="L1673" s="1">
        <v>136679.23000000001</v>
      </c>
      <c r="M1673" s="1" t="str" cm="1">
        <f t="array" ref="M167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73" t="s">
        <v>91</v>
      </c>
      <c r="O1673" t="s">
        <v>40</v>
      </c>
      <c r="P1673" s="2" t="s">
        <v>395</v>
      </c>
      <c r="Q1673">
        <v>5</v>
      </c>
      <c r="R1673" t="s">
        <v>392</v>
      </c>
      <c r="S1673" s="1">
        <f>electric_vehicles_dataset[[#This Row],[Units_Sold_2024]]*electric_vehicles_dataset[[#This Row],[Price_USD]]</f>
        <v>632688155.67000008</v>
      </c>
      <c r="T1673">
        <v>4</v>
      </c>
      <c r="U1673">
        <v>4629</v>
      </c>
      <c r="V1673">
        <v>5</v>
      </c>
    </row>
    <row r="1674" spans="1:22" x14ac:dyDescent="0.35">
      <c r="A1674">
        <v>1673</v>
      </c>
      <c r="B1674" t="s">
        <v>112</v>
      </c>
      <c r="C1674" t="s">
        <v>138</v>
      </c>
      <c r="D1674">
        <v>2016</v>
      </c>
      <c r="E1674" t="s">
        <v>58</v>
      </c>
      <c r="F1674">
        <v>115</v>
      </c>
      <c r="G1674" t="s">
        <v>361</v>
      </c>
      <c r="H1674">
        <f>electric_vehicles_dataset[[#This Row],[Battery_Capacity_kWh]]/electric_vehicles_dataset[[#This Row],[Range_km]]</f>
        <v>0.65340909090909094</v>
      </c>
      <c r="I1674">
        <v>176</v>
      </c>
      <c r="J1674" t="s">
        <v>38</v>
      </c>
      <c r="K1674">
        <v>8</v>
      </c>
      <c r="L1674" s="1">
        <v>37656.94</v>
      </c>
      <c r="M1674" s="1" t="str" cm="1">
        <f t="array" ref="M16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74" t="s">
        <v>246</v>
      </c>
      <c r="O1674" t="s">
        <v>164</v>
      </c>
      <c r="P1674" s="2" t="s">
        <v>394</v>
      </c>
      <c r="Q1674">
        <v>0</v>
      </c>
      <c r="R1674" t="s">
        <v>390</v>
      </c>
      <c r="S1674" s="1">
        <f>electric_vehicles_dataset[[#This Row],[Units_Sold_2024]]*electric_vehicles_dataset[[#This Row],[Price_USD]]</f>
        <v>495414702.64000005</v>
      </c>
      <c r="T1674">
        <v>3</v>
      </c>
      <c r="U1674">
        <v>13156</v>
      </c>
      <c r="V1674">
        <v>5</v>
      </c>
    </row>
    <row r="1675" spans="1:22" x14ac:dyDescent="0.35">
      <c r="A1675">
        <v>1674</v>
      </c>
      <c r="B1675" t="s">
        <v>224</v>
      </c>
      <c r="C1675" t="s">
        <v>225</v>
      </c>
      <c r="D1675">
        <v>2017</v>
      </c>
      <c r="E1675" t="s">
        <v>101</v>
      </c>
      <c r="F1675">
        <v>41.1</v>
      </c>
      <c r="G1675" t="s">
        <v>348</v>
      </c>
      <c r="H1675">
        <f>electric_vehicles_dataset[[#This Row],[Battery_Capacity_kWh]]/electric_vehicles_dataset[[#This Row],[Range_km]]</f>
        <v>7.6822429906542061E-2</v>
      </c>
      <c r="I1675">
        <v>535</v>
      </c>
      <c r="J1675" t="s">
        <v>359</v>
      </c>
      <c r="K1675">
        <v>5</v>
      </c>
      <c r="L1675" s="1">
        <v>55298.47</v>
      </c>
      <c r="M1675" s="1" t="str" cm="1">
        <f t="array" ref="M167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75" t="s">
        <v>43</v>
      </c>
      <c r="O1675" t="s">
        <v>354</v>
      </c>
      <c r="P1675" s="2" t="s">
        <v>394</v>
      </c>
      <c r="Q1675">
        <v>0</v>
      </c>
      <c r="R1675" t="s">
        <v>390</v>
      </c>
      <c r="S1675" s="1">
        <f>electric_vehicles_dataset[[#This Row],[Units_Sold_2024]]*electric_vehicles_dataset[[#This Row],[Price_USD]]</f>
        <v>903245208.98000002</v>
      </c>
      <c r="T1675">
        <v>4</v>
      </c>
      <c r="U1675">
        <v>16334</v>
      </c>
      <c r="V1675">
        <v>5</v>
      </c>
    </row>
    <row r="1676" spans="1:22" x14ac:dyDescent="0.35">
      <c r="A1676">
        <v>1675</v>
      </c>
      <c r="B1676" t="s">
        <v>112</v>
      </c>
      <c r="C1676" t="s">
        <v>138</v>
      </c>
      <c r="D1676">
        <v>2017</v>
      </c>
      <c r="E1676" t="s">
        <v>183</v>
      </c>
      <c r="F1676">
        <v>54</v>
      </c>
      <c r="G1676" t="s">
        <v>348</v>
      </c>
      <c r="H1676">
        <f>electric_vehicles_dataset[[#This Row],[Battery_Capacity_kWh]]/electric_vehicles_dataset[[#This Row],[Range_km]]</f>
        <v>0.28723404255319152</v>
      </c>
      <c r="I1676">
        <v>188</v>
      </c>
      <c r="J1676" t="s">
        <v>34</v>
      </c>
      <c r="K1676">
        <v>8</v>
      </c>
      <c r="L1676" s="1">
        <v>80816.94</v>
      </c>
      <c r="M1676" s="1" t="str" cm="1">
        <f t="array" ref="M167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76" t="s">
        <v>189</v>
      </c>
      <c r="O1676" t="s">
        <v>182</v>
      </c>
      <c r="P1676" s="2" t="s">
        <v>394</v>
      </c>
      <c r="Q1676">
        <v>1</v>
      </c>
      <c r="R1676" t="s">
        <v>391</v>
      </c>
      <c r="S1676" s="1">
        <f>electric_vehicles_dataset[[#This Row],[Units_Sold_2024]]*electric_vehicles_dataset[[#This Row],[Price_USD]]</f>
        <v>763396815.24000001</v>
      </c>
      <c r="T1676">
        <v>5</v>
      </c>
      <c r="U1676">
        <v>9446</v>
      </c>
      <c r="V1676">
        <v>3</v>
      </c>
    </row>
    <row r="1677" spans="1:22" x14ac:dyDescent="0.35">
      <c r="A1677">
        <v>1676</v>
      </c>
      <c r="B1677" t="s">
        <v>136</v>
      </c>
      <c r="C1677" t="s">
        <v>137</v>
      </c>
      <c r="D1677">
        <v>2022</v>
      </c>
      <c r="E1677" t="s">
        <v>53</v>
      </c>
      <c r="F1677">
        <v>121.6</v>
      </c>
      <c r="G1677" t="s">
        <v>352</v>
      </c>
      <c r="H1677">
        <f>electric_vehicles_dataset[[#This Row],[Battery_Capacity_kWh]]/electric_vehicles_dataset[[#This Row],[Range_km]]</f>
        <v>0.82721088435374146</v>
      </c>
      <c r="I1677">
        <v>147</v>
      </c>
      <c r="J1677" t="s">
        <v>105</v>
      </c>
      <c r="K1677">
        <v>4</v>
      </c>
      <c r="L1677" s="1">
        <v>143524.45000000001</v>
      </c>
      <c r="M1677" s="1" t="str" cm="1">
        <f t="array" ref="M167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77" t="s">
        <v>160</v>
      </c>
      <c r="O1677" t="s">
        <v>33</v>
      </c>
      <c r="P1677" s="2" t="s">
        <v>393</v>
      </c>
      <c r="Q1677">
        <v>5</v>
      </c>
      <c r="R1677" t="s">
        <v>392</v>
      </c>
      <c r="S1677" s="1">
        <f>electric_vehicles_dataset[[#This Row],[Units_Sold_2024]]*electric_vehicles_dataset[[#This Row],[Price_USD]]</f>
        <v>1789032269.2500002</v>
      </c>
      <c r="T1677">
        <v>3</v>
      </c>
      <c r="U1677">
        <v>12465</v>
      </c>
      <c r="V1677">
        <v>5</v>
      </c>
    </row>
    <row r="1678" spans="1:22" x14ac:dyDescent="0.35">
      <c r="A1678">
        <v>1677</v>
      </c>
      <c r="B1678" t="s">
        <v>262</v>
      </c>
      <c r="C1678" t="s">
        <v>263</v>
      </c>
      <c r="D1678">
        <v>2020</v>
      </c>
      <c r="E1678" t="s">
        <v>73</v>
      </c>
      <c r="F1678">
        <v>59.5</v>
      </c>
      <c r="G1678" t="s">
        <v>348</v>
      </c>
      <c r="H1678">
        <f>electric_vehicles_dataset[[#This Row],[Battery_Capacity_kWh]]/electric_vehicles_dataset[[#This Row],[Range_km]]</f>
        <v>0.10240963855421686</v>
      </c>
      <c r="I1678">
        <v>581</v>
      </c>
      <c r="J1678" t="s">
        <v>149</v>
      </c>
      <c r="K1678">
        <v>3</v>
      </c>
      <c r="L1678" s="1">
        <v>69636.759999999995</v>
      </c>
      <c r="M1678" s="1" t="str" cm="1">
        <f t="array" ref="M167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78" t="s">
        <v>228</v>
      </c>
      <c r="O1678" t="s">
        <v>134</v>
      </c>
      <c r="P1678" s="2" t="s">
        <v>389</v>
      </c>
      <c r="Q1678">
        <v>3</v>
      </c>
      <c r="R1678" t="s">
        <v>397</v>
      </c>
      <c r="S1678" s="1">
        <f>electric_vehicles_dataset[[#This Row],[Units_Sold_2024]]*electric_vehicles_dataset[[#This Row],[Price_USD]]</f>
        <v>955694894.23999989</v>
      </c>
      <c r="T1678">
        <v>5</v>
      </c>
      <c r="U1678">
        <v>13724</v>
      </c>
      <c r="V1678">
        <v>4</v>
      </c>
    </row>
    <row r="1679" spans="1:22" x14ac:dyDescent="0.35">
      <c r="A1679">
        <v>1678</v>
      </c>
      <c r="B1679" t="s">
        <v>140</v>
      </c>
      <c r="C1679" t="s">
        <v>227</v>
      </c>
      <c r="D1679">
        <v>2025</v>
      </c>
      <c r="E1679" t="s">
        <v>17</v>
      </c>
      <c r="F1679">
        <v>133.4</v>
      </c>
      <c r="G1679" t="s">
        <v>352</v>
      </c>
      <c r="H1679">
        <f>electric_vehicles_dataset[[#This Row],[Battery_Capacity_kWh]]/electric_vehicles_dataset[[#This Row],[Range_km]]</f>
        <v>0.37158774373259057</v>
      </c>
      <c r="I1679">
        <v>359</v>
      </c>
      <c r="J1679" t="s">
        <v>359</v>
      </c>
      <c r="K1679">
        <v>10</v>
      </c>
      <c r="L1679" s="1">
        <v>97387.72</v>
      </c>
      <c r="M1679" s="1" t="str" cm="1">
        <f t="array" ref="M167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79" t="s">
        <v>77</v>
      </c>
      <c r="O1679" t="s">
        <v>159</v>
      </c>
      <c r="P1679" s="2" t="s">
        <v>389</v>
      </c>
      <c r="Q1679">
        <v>2</v>
      </c>
      <c r="R1679" t="s">
        <v>391</v>
      </c>
      <c r="S1679" s="1">
        <f>electric_vehicles_dataset[[#This Row],[Units_Sold_2024]]*electric_vehicles_dataset[[#This Row],[Price_USD]]</f>
        <v>510603815.95999998</v>
      </c>
      <c r="T1679">
        <v>5</v>
      </c>
      <c r="U1679">
        <v>5243</v>
      </c>
      <c r="V1679">
        <v>4</v>
      </c>
    </row>
    <row r="1680" spans="1:22" x14ac:dyDescent="0.35">
      <c r="A1680">
        <v>1679</v>
      </c>
      <c r="B1680" t="s">
        <v>262</v>
      </c>
      <c r="C1680" t="s">
        <v>263</v>
      </c>
      <c r="D1680">
        <v>2021</v>
      </c>
      <c r="E1680" t="s">
        <v>42</v>
      </c>
      <c r="F1680">
        <v>127.9</v>
      </c>
      <c r="G1680" t="s">
        <v>352</v>
      </c>
      <c r="H1680">
        <f>electric_vehicles_dataset[[#This Row],[Battery_Capacity_kWh]]/electric_vehicles_dataset[[#This Row],[Range_km]]</f>
        <v>0.35041095890410962</v>
      </c>
      <c r="I1680">
        <v>365</v>
      </c>
      <c r="J1680" t="s">
        <v>38</v>
      </c>
      <c r="K1680">
        <v>3</v>
      </c>
      <c r="L1680" s="1">
        <v>33515.82</v>
      </c>
      <c r="M1680" s="1" t="str" cm="1">
        <f t="array" ref="M16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80" t="s">
        <v>117</v>
      </c>
      <c r="O1680" t="s">
        <v>40</v>
      </c>
      <c r="P1680" s="2" t="s">
        <v>395</v>
      </c>
      <c r="Q1680">
        <v>4</v>
      </c>
      <c r="R1680" t="s">
        <v>392</v>
      </c>
      <c r="S1680" s="1">
        <f>electric_vehicles_dataset[[#This Row],[Units_Sold_2024]]*electric_vehicles_dataset[[#This Row],[Price_USD]]</f>
        <v>319271701.31999999</v>
      </c>
      <c r="T1680">
        <v>5</v>
      </c>
      <c r="U1680">
        <v>9526</v>
      </c>
      <c r="V1680">
        <v>3</v>
      </c>
    </row>
    <row r="1681" spans="1:22" x14ac:dyDescent="0.35">
      <c r="A1681">
        <v>1680</v>
      </c>
      <c r="B1681" t="s">
        <v>220</v>
      </c>
      <c r="C1681" t="s">
        <v>274</v>
      </c>
      <c r="D1681">
        <v>2024</v>
      </c>
      <c r="E1681" t="s">
        <v>47</v>
      </c>
      <c r="F1681">
        <v>48.4</v>
      </c>
      <c r="G1681" t="s">
        <v>348</v>
      </c>
      <c r="H1681">
        <f>electric_vehicles_dataset[[#This Row],[Battery_Capacity_kWh]]/electric_vehicles_dataset[[#This Row],[Range_km]]</f>
        <v>9.2366412213740451E-2</v>
      </c>
      <c r="I1681">
        <v>524</v>
      </c>
      <c r="J1681" t="s">
        <v>105</v>
      </c>
      <c r="K1681">
        <v>4</v>
      </c>
      <c r="L1681" s="1">
        <v>134552.1</v>
      </c>
      <c r="M1681" s="1" t="str" cm="1">
        <f t="array" ref="M168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81" t="s">
        <v>254</v>
      </c>
      <c r="O1681" t="s">
        <v>199</v>
      </c>
      <c r="P1681" s="2" t="s">
        <v>394</v>
      </c>
      <c r="Q1681">
        <v>5</v>
      </c>
      <c r="R1681" t="s">
        <v>392</v>
      </c>
      <c r="S1681" s="1">
        <f>electric_vehicles_dataset[[#This Row],[Units_Sold_2024]]*electric_vehicles_dataset[[#This Row],[Price_USD]]</f>
        <v>104816085.90000001</v>
      </c>
      <c r="T1681">
        <v>4</v>
      </c>
      <c r="U1681">
        <v>779</v>
      </c>
      <c r="V1681">
        <v>5</v>
      </c>
    </row>
    <row r="1682" spans="1:22" x14ac:dyDescent="0.35">
      <c r="A1682">
        <v>1681</v>
      </c>
      <c r="B1682" t="s">
        <v>170</v>
      </c>
      <c r="C1682" t="s">
        <v>218</v>
      </c>
      <c r="D1682">
        <v>2020</v>
      </c>
      <c r="E1682" t="s">
        <v>183</v>
      </c>
      <c r="F1682">
        <v>27.7</v>
      </c>
      <c r="G1682" t="s">
        <v>357</v>
      </c>
      <c r="H1682">
        <f>electric_vehicles_dataset[[#This Row],[Battery_Capacity_kWh]]/electric_vehicles_dataset[[#This Row],[Range_km]]</f>
        <v>5.9061833688699356E-2</v>
      </c>
      <c r="I1682">
        <v>469</v>
      </c>
      <c r="J1682" t="s">
        <v>27</v>
      </c>
      <c r="K1682">
        <v>7</v>
      </c>
      <c r="L1682" s="1">
        <v>93841.4</v>
      </c>
      <c r="M1682" s="1" t="str" cm="1">
        <f t="array" ref="M168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82" t="s">
        <v>253</v>
      </c>
      <c r="O1682" t="s">
        <v>40</v>
      </c>
      <c r="P1682" s="2" t="s">
        <v>395</v>
      </c>
      <c r="Q1682">
        <v>0</v>
      </c>
      <c r="R1682" t="s">
        <v>390</v>
      </c>
      <c r="S1682" s="1">
        <f>electric_vehicles_dataset[[#This Row],[Units_Sold_2024]]*electric_vehicles_dataset[[#This Row],[Price_USD]]</f>
        <v>1855713685</v>
      </c>
      <c r="T1682">
        <v>3</v>
      </c>
      <c r="U1682">
        <v>19775</v>
      </c>
      <c r="V1682">
        <v>3</v>
      </c>
    </row>
    <row r="1683" spans="1:22" x14ac:dyDescent="0.35">
      <c r="A1683">
        <v>1682</v>
      </c>
      <c r="B1683" t="s">
        <v>261</v>
      </c>
      <c r="C1683" t="s">
        <v>372</v>
      </c>
      <c r="D1683">
        <v>2022</v>
      </c>
      <c r="E1683" t="s">
        <v>130</v>
      </c>
      <c r="F1683">
        <v>49.5</v>
      </c>
      <c r="G1683" t="s">
        <v>348</v>
      </c>
      <c r="H1683">
        <f>electric_vehicles_dataset[[#This Row],[Battery_Capacity_kWh]]/electric_vehicles_dataset[[#This Row],[Range_km]]</f>
        <v>0.10355648535564854</v>
      </c>
      <c r="I1683">
        <v>478</v>
      </c>
      <c r="J1683" t="s">
        <v>356</v>
      </c>
      <c r="K1683">
        <v>11</v>
      </c>
      <c r="L1683" s="1">
        <v>131344.35999999999</v>
      </c>
      <c r="M1683" s="1" t="str" cm="1">
        <f t="array" ref="M168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83" t="s">
        <v>98</v>
      </c>
      <c r="O1683" t="s">
        <v>89</v>
      </c>
      <c r="P1683" s="2" t="s">
        <v>389</v>
      </c>
      <c r="Q1683">
        <v>2</v>
      </c>
      <c r="R1683" t="s">
        <v>391</v>
      </c>
      <c r="S1683" s="1">
        <f>electric_vehicles_dataset[[#This Row],[Units_Sold_2024]]*electric_vehicles_dataset[[#This Row],[Price_USD]]</f>
        <v>1040115986.8399999</v>
      </c>
      <c r="T1683">
        <v>3</v>
      </c>
      <c r="U1683">
        <v>7919</v>
      </c>
      <c r="V1683">
        <v>5</v>
      </c>
    </row>
    <row r="1684" spans="1:22" x14ac:dyDescent="0.35">
      <c r="A1684">
        <v>1683</v>
      </c>
      <c r="B1684" t="s">
        <v>144</v>
      </c>
      <c r="C1684" t="s">
        <v>273</v>
      </c>
      <c r="D1684">
        <v>2021</v>
      </c>
      <c r="E1684" t="s">
        <v>101</v>
      </c>
      <c r="F1684">
        <v>63.6</v>
      </c>
      <c r="G1684" t="s">
        <v>351</v>
      </c>
      <c r="H1684">
        <f>electric_vehicles_dataset[[#This Row],[Battery_Capacity_kWh]]/electric_vehicles_dataset[[#This Row],[Range_km]]</f>
        <v>0.22795698924731184</v>
      </c>
      <c r="I1684">
        <v>279</v>
      </c>
      <c r="J1684" t="s">
        <v>48</v>
      </c>
      <c r="K1684">
        <v>5</v>
      </c>
      <c r="L1684" s="1">
        <v>111190.09</v>
      </c>
      <c r="M1684" s="1" t="str" cm="1">
        <f t="array" ref="M168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84" t="s">
        <v>35</v>
      </c>
      <c r="O1684" t="s">
        <v>115</v>
      </c>
      <c r="P1684" s="2" t="s">
        <v>396</v>
      </c>
      <c r="Q1684">
        <v>2</v>
      </c>
      <c r="R1684" t="s">
        <v>391</v>
      </c>
      <c r="S1684" s="1">
        <f>electric_vehicles_dataset[[#This Row],[Units_Sold_2024]]*electric_vehicles_dataset[[#This Row],[Price_USD]]</f>
        <v>343243807.82999998</v>
      </c>
      <c r="T1684">
        <v>5</v>
      </c>
      <c r="U1684">
        <v>3087</v>
      </c>
      <c r="V1684">
        <v>4</v>
      </c>
    </row>
    <row r="1685" spans="1:22" x14ac:dyDescent="0.35">
      <c r="A1685">
        <v>1684</v>
      </c>
      <c r="B1685" t="s">
        <v>192</v>
      </c>
      <c r="C1685" t="s">
        <v>198</v>
      </c>
      <c r="D1685">
        <v>2018</v>
      </c>
      <c r="E1685" t="s">
        <v>53</v>
      </c>
      <c r="F1685">
        <v>28.4</v>
      </c>
      <c r="G1685" t="s">
        <v>357</v>
      </c>
      <c r="H1685">
        <f>electric_vehicles_dataset[[#This Row],[Battery_Capacity_kWh]]/electric_vehicles_dataset[[#This Row],[Range_km]]</f>
        <v>5.0265486725663715E-2</v>
      </c>
      <c r="I1685">
        <v>565</v>
      </c>
      <c r="J1685" t="s">
        <v>345</v>
      </c>
      <c r="K1685">
        <v>7</v>
      </c>
      <c r="L1685" s="1">
        <v>122613.44</v>
      </c>
      <c r="M1685" s="1" t="str" cm="1">
        <f t="array" ref="M168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85" t="s">
        <v>106</v>
      </c>
      <c r="O1685" t="s">
        <v>159</v>
      </c>
      <c r="P1685" s="2" t="s">
        <v>389</v>
      </c>
      <c r="Q1685">
        <v>3</v>
      </c>
      <c r="R1685" t="s">
        <v>397</v>
      </c>
      <c r="S1685" s="1">
        <f>electric_vehicles_dataset[[#This Row],[Units_Sold_2024]]*electric_vehicles_dataset[[#This Row],[Price_USD]]</f>
        <v>755666630.72000003</v>
      </c>
      <c r="T1685">
        <v>4</v>
      </c>
      <c r="U1685">
        <v>6163</v>
      </c>
      <c r="V1685">
        <v>3</v>
      </c>
    </row>
    <row r="1686" spans="1:22" x14ac:dyDescent="0.35">
      <c r="A1686">
        <v>1685</v>
      </c>
      <c r="B1686" t="s">
        <v>74</v>
      </c>
      <c r="C1686" t="s">
        <v>75</v>
      </c>
      <c r="D1686">
        <v>2016</v>
      </c>
      <c r="E1686" t="s">
        <v>101</v>
      </c>
      <c r="F1686">
        <v>51.1</v>
      </c>
      <c r="G1686" t="s">
        <v>348</v>
      </c>
      <c r="H1686">
        <f>electric_vehicles_dataset[[#This Row],[Battery_Capacity_kWh]]/electric_vehicles_dataset[[#This Row],[Range_km]]</f>
        <v>0.1825</v>
      </c>
      <c r="I1686">
        <v>280</v>
      </c>
      <c r="J1686" t="s">
        <v>76</v>
      </c>
      <c r="K1686">
        <v>4</v>
      </c>
      <c r="L1686" s="1">
        <v>134272.47</v>
      </c>
      <c r="M1686" s="1" t="str" cm="1">
        <f t="array" ref="M168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86" t="s">
        <v>253</v>
      </c>
      <c r="O1686" t="s">
        <v>202</v>
      </c>
      <c r="P1686" s="2" t="s">
        <v>393</v>
      </c>
      <c r="Q1686">
        <v>3</v>
      </c>
      <c r="R1686" t="s">
        <v>397</v>
      </c>
      <c r="S1686" s="1">
        <f>electric_vehicles_dataset[[#This Row],[Units_Sold_2024]]*electric_vehicles_dataset[[#This Row],[Price_USD]]</f>
        <v>1673169248.6700001</v>
      </c>
      <c r="T1686">
        <v>4</v>
      </c>
      <c r="U1686">
        <v>12461</v>
      </c>
      <c r="V1686">
        <v>3</v>
      </c>
    </row>
    <row r="1687" spans="1:22" x14ac:dyDescent="0.35">
      <c r="A1687">
        <v>1686</v>
      </c>
      <c r="B1687" t="s">
        <v>74</v>
      </c>
      <c r="C1687" t="s">
        <v>75</v>
      </c>
      <c r="D1687">
        <v>2016</v>
      </c>
      <c r="E1687" t="s">
        <v>17</v>
      </c>
      <c r="F1687">
        <v>26.6</v>
      </c>
      <c r="G1687" t="s">
        <v>357</v>
      </c>
      <c r="H1687">
        <f>electric_vehicles_dataset[[#This Row],[Battery_Capacity_kWh]]/electric_vehicles_dataset[[#This Row],[Range_km]]</f>
        <v>9.3006993006993013E-2</v>
      </c>
      <c r="I1687">
        <v>286</v>
      </c>
      <c r="J1687" t="s">
        <v>356</v>
      </c>
      <c r="K1687">
        <v>3</v>
      </c>
      <c r="L1687" s="1">
        <v>53092.66</v>
      </c>
      <c r="M1687" s="1" t="str" cm="1">
        <f t="array" ref="M168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87" t="s">
        <v>66</v>
      </c>
      <c r="O1687" t="s">
        <v>202</v>
      </c>
      <c r="P1687" s="2" t="s">
        <v>393</v>
      </c>
      <c r="Q1687">
        <v>2</v>
      </c>
      <c r="R1687" t="s">
        <v>391</v>
      </c>
      <c r="S1687" s="1">
        <f>electric_vehicles_dataset[[#This Row],[Units_Sold_2024]]*electric_vehicles_dataset[[#This Row],[Price_USD]]</f>
        <v>71250349.719999999</v>
      </c>
      <c r="T1687">
        <v>4</v>
      </c>
      <c r="U1687">
        <v>1342</v>
      </c>
      <c r="V1687">
        <v>5</v>
      </c>
    </row>
    <row r="1688" spans="1:22" x14ac:dyDescent="0.35">
      <c r="A1688">
        <v>1687</v>
      </c>
      <c r="B1688" t="s">
        <v>241</v>
      </c>
      <c r="C1688" t="s">
        <v>247</v>
      </c>
      <c r="D1688">
        <v>2016</v>
      </c>
      <c r="E1688" t="s">
        <v>90</v>
      </c>
      <c r="F1688">
        <v>50.2</v>
      </c>
      <c r="G1688" t="s">
        <v>348</v>
      </c>
      <c r="H1688">
        <f>electric_vehicles_dataset[[#This Row],[Battery_Capacity_kWh]]/electric_vehicles_dataset[[#This Row],[Range_km]]</f>
        <v>0.33918918918918922</v>
      </c>
      <c r="I1688">
        <v>148</v>
      </c>
      <c r="J1688" t="s">
        <v>364</v>
      </c>
      <c r="K1688">
        <v>6</v>
      </c>
      <c r="L1688" s="1">
        <v>138225.25</v>
      </c>
      <c r="M1688" s="1" t="str" cm="1">
        <f t="array" ref="M168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88" t="s">
        <v>127</v>
      </c>
      <c r="O1688" t="s">
        <v>202</v>
      </c>
      <c r="P1688" s="2" t="s">
        <v>393</v>
      </c>
      <c r="Q1688">
        <v>2</v>
      </c>
      <c r="R1688" t="s">
        <v>391</v>
      </c>
      <c r="S1688" s="1">
        <f>electric_vehicles_dataset[[#This Row],[Units_Sold_2024]]*electric_vehicles_dataset[[#This Row],[Price_USD]]</f>
        <v>141542656</v>
      </c>
      <c r="T1688">
        <v>4</v>
      </c>
      <c r="U1688">
        <v>1024</v>
      </c>
      <c r="V1688">
        <v>4</v>
      </c>
    </row>
    <row r="1689" spans="1:22" x14ac:dyDescent="0.35">
      <c r="A1689">
        <v>1688</v>
      </c>
      <c r="B1689" t="s">
        <v>60</v>
      </c>
      <c r="C1689" t="s">
        <v>209</v>
      </c>
      <c r="D1689">
        <v>2017</v>
      </c>
      <c r="E1689" t="s">
        <v>47</v>
      </c>
      <c r="F1689">
        <v>129.9</v>
      </c>
      <c r="G1689" t="s">
        <v>352</v>
      </c>
      <c r="H1689">
        <f>electric_vehicles_dataset[[#This Row],[Battery_Capacity_kWh]]/electric_vehicles_dataset[[#This Row],[Range_km]]</f>
        <v>0.41634615384615387</v>
      </c>
      <c r="I1689">
        <v>312</v>
      </c>
      <c r="J1689" t="s">
        <v>345</v>
      </c>
      <c r="K1689">
        <v>3</v>
      </c>
      <c r="L1689" s="1">
        <v>83071.42</v>
      </c>
      <c r="M1689" s="1" t="str" cm="1">
        <f t="array" ref="M16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89" t="s">
        <v>28</v>
      </c>
      <c r="O1689" t="s">
        <v>93</v>
      </c>
      <c r="P1689" s="2" t="s">
        <v>389</v>
      </c>
      <c r="Q1689">
        <v>1</v>
      </c>
      <c r="R1689" t="s">
        <v>391</v>
      </c>
      <c r="S1689" s="1">
        <f>electric_vehicles_dataset[[#This Row],[Units_Sold_2024]]*electric_vehicles_dataset[[#This Row],[Price_USD]]</f>
        <v>1019535537.66</v>
      </c>
      <c r="T1689">
        <v>4</v>
      </c>
      <c r="U1689">
        <v>12273</v>
      </c>
      <c r="V1689">
        <v>4</v>
      </c>
    </row>
    <row r="1690" spans="1:22" x14ac:dyDescent="0.35">
      <c r="A1690">
        <v>1689</v>
      </c>
      <c r="B1690" t="s">
        <v>259</v>
      </c>
      <c r="C1690" t="s">
        <v>298</v>
      </c>
      <c r="D1690">
        <v>2021</v>
      </c>
      <c r="E1690" t="s">
        <v>133</v>
      </c>
      <c r="F1690">
        <v>134.80000000000001</v>
      </c>
      <c r="G1690" t="s">
        <v>352</v>
      </c>
      <c r="H1690">
        <f>electric_vehicles_dataset[[#This Row],[Battery_Capacity_kWh]]/electric_vehicles_dataset[[#This Row],[Range_km]]</f>
        <v>0.71702127659574477</v>
      </c>
      <c r="I1690">
        <v>188</v>
      </c>
      <c r="J1690" t="s">
        <v>358</v>
      </c>
      <c r="K1690">
        <v>1</v>
      </c>
      <c r="L1690" s="1">
        <v>60904.63</v>
      </c>
      <c r="M1690" s="1" t="str" cm="1">
        <f t="array" ref="M169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90" t="s">
        <v>43</v>
      </c>
      <c r="O1690" t="s">
        <v>206</v>
      </c>
      <c r="P1690" s="2" t="s">
        <v>394</v>
      </c>
      <c r="Q1690">
        <v>5</v>
      </c>
      <c r="R1690" t="s">
        <v>392</v>
      </c>
      <c r="S1690" s="1">
        <f>electric_vehicles_dataset[[#This Row],[Units_Sold_2024]]*electric_vehicles_dataset[[#This Row],[Price_USD]]</f>
        <v>118154982.19999999</v>
      </c>
      <c r="T1690">
        <v>5</v>
      </c>
      <c r="U1690">
        <v>1940</v>
      </c>
      <c r="V1690">
        <v>4</v>
      </c>
    </row>
    <row r="1691" spans="1:22" x14ac:dyDescent="0.35">
      <c r="A1691">
        <v>1690</v>
      </c>
      <c r="B1691" t="s">
        <v>261</v>
      </c>
      <c r="C1691" t="s">
        <v>372</v>
      </c>
      <c r="D1691">
        <v>2016</v>
      </c>
      <c r="E1691" t="s">
        <v>90</v>
      </c>
      <c r="F1691">
        <v>128.19999999999999</v>
      </c>
      <c r="G1691" t="s">
        <v>352</v>
      </c>
      <c r="H1691">
        <f>electric_vehicles_dataset[[#This Row],[Battery_Capacity_kWh]]/electric_vehicles_dataset[[#This Row],[Range_km]]</f>
        <v>0.57488789237668159</v>
      </c>
      <c r="I1691">
        <v>223</v>
      </c>
      <c r="J1691" t="s">
        <v>76</v>
      </c>
      <c r="K1691">
        <v>10</v>
      </c>
      <c r="L1691" s="1">
        <v>58184.56</v>
      </c>
      <c r="M1691" s="1" t="str" cm="1">
        <f t="array" ref="M169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91" t="s">
        <v>217</v>
      </c>
      <c r="O1691" t="s">
        <v>139</v>
      </c>
      <c r="P1691" s="2" t="s">
        <v>389</v>
      </c>
      <c r="Q1691">
        <v>0</v>
      </c>
      <c r="R1691" t="s">
        <v>390</v>
      </c>
      <c r="S1691" s="1">
        <f>electric_vehicles_dataset[[#This Row],[Units_Sold_2024]]*electric_vehicles_dataset[[#This Row],[Price_USD]]</f>
        <v>592493374.48000002</v>
      </c>
      <c r="T1691">
        <v>3</v>
      </c>
      <c r="U1691">
        <v>10183</v>
      </c>
      <c r="V1691">
        <v>4</v>
      </c>
    </row>
    <row r="1692" spans="1:22" x14ac:dyDescent="0.35">
      <c r="A1692">
        <v>1691</v>
      </c>
      <c r="B1692" t="s">
        <v>108</v>
      </c>
      <c r="C1692" t="s">
        <v>369</v>
      </c>
      <c r="D1692">
        <v>2024</v>
      </c>
      <c r="E1692" t="s">
        <v>26</v>
      </c>
      <c r="F1692">
        <v>96.7</v>
      </c>
      <c r="G1692" t="s">
        <v>350</v>
      </c>
      <c r="H1692">
        <f>electric_vehicles_dataset[[#This Row],[Battery_Capacity_kWh]]/electric_vehicles_dataset[[#This Row],[Range_km]]</f>
        <v>0.55895953757225436</v>
      </c>
      <c r="I1692">
        <v>173</v>
      </c>
      <c r="J1692" t="s">
        <v>18</v>
      </c>
      <c r="K1692">
        <v>11</v>
      </c>
      <c r="L1692" s="1">
        <v>114467.86</v>
      </c>
      <c r="M1692" s="1" t="str" cm="1">
        <f t="array" ref="M16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92" t="s">
        <v>70</v>
      </c>
      <c r="O1692" t="s">
        <v>236</v>
      </c>
      <c r="P1692" s="2" t="s">
        <v>394</v>
      </c>
      <c r="Q1692">
        <v>0</v>
      </c>
      <c r="R1692" t="s">
        <v>390</v>
      </c>
      <c r="S1692" s="1">
        <f>electric_vehicles_dataset[[#This Row],[Units_Sold_2024]]*electric_vehicles_dataset[[#This Row],[Price_USD]]</f>
        <v>1051730697.6799999</v>
      </c>
      <c r="T1692">
        <v>3</v>
      </c>
      <c r="U1692">
        <v>9188</v>
      </c>
      <c r="V1692">
        <v>3</v>
      </c>
    </row>
    <row r="1693" spans="1:22" x14ac:dyDescent="0.35">
      <c r="A1693">
        <v>1692</v>
      </c>
      <c r="B1693" t="s">
        <v>241</v>
      </c>
      <c r="C1693" t="s">
        <v>247</v>
      </c>
      <c r="D1693">
        <v>2023</v>
      </c>
      <c r="E1693" t="s">
        <v>47</v>
      </c>
      <c r="F1693">
        <v>144.4</v>
      </c>
      <c r="G1693" t="s">
        <v>386</v>
      </c>
      <c r="H1693">
        <f>electric_vehicles_dataset[[#This Row],[Battery_Capacity_kWh]]/electric_vehicles_dataset[[#This Row],[Range_km]]</f>
        <v>0.56186770428015564</v>
      </c>
      <c r="I1693">
        <v>257</v>
      </c>
      <c r="J1693" t="s">
        <v>149</v>
      </c>
      <c r="K1693">
        <v>10</v>
      </c>
      <c r="L1693" s="1">
        <v>40854.18</v>
      </c>
      <c r="M1693" s="1" t="str" cm="1">
        <f t="array" ref="M169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93" t="s">
        <v>179</v>
      </c>
      <c r="O1693" t="s">
        <v>44</v>
      </c>
      <c r="P1693" s="2" t="s">
        <v>389</v>
      </c>
      <c r="Q1693">
        <v>0</v>
      </c>
      <c r="R1693" t="s">
        <v>390</v>
      </c>
      <c r="S1693" s="1">
        <f>electric_vehicles_dataset[[#This Row],[Units_Sold_2024]]*electric_vehicles_dataset[[#This Row],[Price_USD]]</f>
        <v>398614234.25999999</v>
      </c>
      <c r="T1693">
        <v>4</v>
      </c>
      <c r="U1693">
        <v>9757</v>
      </c>
      <c r="V1693">
        <v>4</v>
      </c>
    </row>
    <row r="1694" spans="1:22" x14ac:dyDescent="0.35">
      <c r="A1694">
        <v>1693</v>
      </c>
      <c r="B1694" t="s">
        <v>108</v>
      </c>
      <c r="C1694" t="s">
        <v>119</v>
      </c>
      <c r="D1694">
        <v>2023</v>
      </c>
      <c r="E1694" t="s">
        <v>101</v>
      </c>
      <c r="F1694">
        <v>122.1</v>
      </c>
      <c r="G1694" t="s">
        <v>352</v>
      </c>
      <c r="H1694">
        <f>electric_vehicles_dataset[[#This Row],[Battery_Capacity_kWh]]/electric_vehicles_dataset[[#This Row],[Range_km]]</f>
        <v>0.55248868778280535</v>
      </c>
      <c r="I1694">
        <v>221</v>
      </c>
      <c r="J1694" t="s">
        <v>48</v>
      </c>
      <c r="K1694">
        <v>3</v>
      </c>
      <c r="L1694" s="1">
        <v>45901.75</v>
      </c>
      <c r="M1694" s="1" t="str" cm="1">
        <f t="array" ref="M169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94" t="s">
        <v>165</v>
      </c>
      <c r="O1694" t="s">
        <v>33</v>
      </c>
      <c r="P1694" s="2" t="s">
        <v>393</v>
      </c>
      <c r="Q1694">
        <v>3</v>
      </c>
      <c r="R1694" t="s">
        <v>397</v>
      </c>
      <c r="S1694" s="1">
        <f>electric_vehicles_dataset[[#This Row],[Units_Sold_2024]]*electric_vehicles_dataset[[#This Row],[Price_USD]]</f>
        <v>498171692.75</v>
      </c>
      <c r="T1694">
        <v>3</v>
      </c>
      <c r="U1694">
        <v>10853</v>
      </c>
      <c r="V1694">
        <v>4</v>
      </c>
    </row>
    <row r="1695" spans="1:22" x14ac:dyDescent="0.35">
      <c r="A1695">
        <v>1694</v>
      </c>
      <c r="B1695" t="s">
        <v>41</v>
      </c>
      <c r="C1695" t="s">
        <v>380</v>
      </c>
      <c r="D1695">
        <v>2019</v>
      </c>
      <c r="E1695" t="s">
        <v>73</v>
      </c>
      <c r="F1695">
        <v>53.6</v>
      </c>
      <c r="G1695" t="s">
        <v>348</v>
      </c>
      <c r="H1695">
        <f>electric_vehicles_dataset[[#This Row],[Battery_Capacity_kWh]]/electric_vehicles_dataset[[#This Row],[Range_km]]</f>
        <v>9.6057347670250898E-2</v>
      </c>
      <c r="I1695">
        <v>558</v>
      </c>
      <c r="J1695" t="s">
        <v>364</v>
      </c>
      <c r="K1695">
        <v>7</v>
      </c>
      <c r="L1695" s="1">
        <v>114869.75999999999</v>
      </c>
      <c r="M1695" s="1" t="str" cm="1">
        <f t="array" ref="M169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95" t="s">
        <v>39</v>
      </c>
      <c r="O1695" t="s">
        <v>111</v>
      </c>
      <c r="P1695" s="2" t="s">
        <v>389</v>
      </c>
      <c r="Q1695">
        <v>4</v>
      </c>
      <c r="R1695" t="s">
        <v>392</v>
      </c>
      <c r="S1695" s="1">
        <f>electric_vehicles_dataset[[#This Row],[Units_Sold_2024]]*electric_vehicles_dataset[[#This Row],[Price_USD]]</f>
        <v>143472330.23999998</v>
      </c>
      <c r="T1695">
        <v>3</v>
      </c>
      <c r="U1695">
        <v>1249</v>
      </c>
      <c r="V1695">
        <v>5</v>
      </c>
    </row>
    <row r="1696" spans="1:22" x14ac:dyDescent="0.35">
      <c r="A1696">
        <v>1695</v>
      </c>
      <c r="B1696" t="s">
        <v>224</v>
      </c>
      <c r="C1696" t="s">
        <v>297</v>
      </c>
      <c r="D1696">
        <v>2025</v>
      </c>
      <c r="E1696" t="s">
        <v>90</v>
      </c>
      <c r="F1696">
        <v>82.9</v>
      </c>
      <c r="G1696" t="s">
        <v>350</v>
      </c>
      <c r="H1696">
        <f>electric_vehicles_dataset[[#This Row],[Battery_Capacity_kWh]]/electric_vehicles_dataset[[#This Row],[Range_km]]</f>
        <v>0.51812500000000006</v>
      </c>
      <c r="I1696">
        <v>160</v>
      </c>
      <c r="J1696" t="s">
        <v>48</v>
      </c>
      <c r="K1696">
        <v>4</v>
      </c>
      <c r="L1696" s="1">
        <v>78960.03</v>
      </c>
      <c r="M1696" s="1" t="str" cm="1">
        <f t="array" ref="M169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696" t="s">
        <v>106</v>
      </c>
      <c r="O1696" t="s">
        <v>167</v>
      </c>
      <c r="P1696" s="2" t="s">
        <v>394</v>
      </c>
      <c r="Q1696">
        <v>4</v>
      </c>
      <c r="R1696" t="s">
        <v>392</v>
      </c>
      <c r="S1696" s="1">
        <f>electric_vehicles_dataset[[#This Row],[Units_Sold_2024]]*electric_vehicles_dataset[[#This Row],[Price_USD]]</f>
        <v>1008556463.1899999</v>
      </c>
      <c r="T1696">
        <v>3</v>
      </c>
      <c r="U1696">
        <v>12773</v>
      </c>
      <c r="V1696">
        <v>4</v>
      </c>
    </row>
    <row r="1697" spans="1:22" x14ac:dyDescent="0.35">
      <c r="A1697">
        <v>1696</v>
      </c>
      <c r="B1697" t="s">
        <v>74</v>
      </c>
      <c r="C1697" t="s">
        <v>75</v>
      </c>
      <c r="D1697">
        <v>2022</v>
      </c>
      <c r="E1697" t="s">
        <v>31</v>
      </c>
      <c r="F1697">
        <v>131.4</v>
      </c>
      <c r="G1697" t="s">
        <v>352</v>
      </c>
      <c r="H1697">
        <f>electric_vehicles_dataset[[#This Row],[Battery_Capacity_kWh]]/electric_vehicles_dataset[[#This Row],[Range_km]]</f>
        <v>0.36499999999999999</v>
      </c>
      <c r="I1697">
        <v>360</v>
      </c>
      <c r="J1697" t="s">
        <v>48</v>
      </c>
      <c r="K1697">
        <v>10</v>
      </c>
      <c r="L1697" s="1">
        <v>46950.55</v>
      </c>
      <c r="M1697" s="1" t="str" cm="1">
        <f t="array" ref="M16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97" t="s">
        <v>217</v>
      </c>
      <c r="O1697" t="s">
        <v>20</v>
      </c>
      <c r="P1697" s="2" t="s">
        <v>389</v>
      </c>
      <c r="Q1697">
        <v>5</v>
      </c>
      <c r="R1697" t="s">
        <v>392</v>
      </c>
      <c r="S1697" s="1">
        <f>electric_vehicles_dataset[[#This Row],[Units_Sold_2024]]*electric_vehicles_dataset[[#This Row],[Price_USD]]</f>
        <v>239400854.45000002</v>
      </c>
      <c r="T1697">
        <v>5</v>
      </c>
      <c r="U1697">
        <v>5099</v>
      </c>
      <c r="V1697">
        <v>3</v>
      </c>
    </row>
    <row r="1698" spans="1:22" x14ac:dyDescent="0.35">
      <c r="A1698">
        <v>1697</v>
      </c>
      <c r="B1698" t="s">
        <v>184</v>
      </c>
      <c r="C1698" t="s">
        <v>213</v>
      </c>
      <c r="D1698">
        <v>2021</v>
      </c>
      <c r="E1698" t="s">
        <v>90</v>
      </c>
      <c r="F1698">
        <v>137</v>
      </c>
      <c r="G1698" t="s">
        <v>352</v>
      </c>
      <c r="H1698">
        <f>electric_vehicles_dataset[[#This Row],[Battery_Capacity_kWh]]/electric_vehicles_dataset[[#This Row],[Range_km]]</f>
        <v>0.27290836653386452</v>
      </c>
      <c r="I1698">
        <v>502</v>
      </c>
      <c r="J1698" t="s">
        <v>38</v>
      </c>
      <c r="K1698">
        <v>6</v>
      </c>
      <c r="L1698" s="1">
        <v>111527.69</v>
      </c>
      <c r="M1698" s="1" t="str" cm="1">
        <f t="array" ref="M169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698" t="s">
        <v>196</v>
      </c>
      <c r="O1698" t="s">
        <v>226</v>
      </c>
      <c r="P1698" s="2" t="s">
        <v>395</v>
      </c>
      <c r="Q1698">
        <v>5</v>
      </c>
      <c r="R1698" t="s">
        <v>392</v>
      </c>
      <c r="S1698" s="1">
        <f>electric_vehicles_dataset[[#This Row],[Units_Sold_2024]]*electric_vehicles_dataset[[#This Row],[Price_USD]]</f>
        <v>1648936896.6500001</v>
      </c>
      <c r="T1698">
        <v>5</v>
      </c>
      <c r="U1698">
        <v>14785</v>
      </c>
      <c r="V1698">
        <v>4</v>
      </c>
    </row>
    <row r="1699" spans="1:22" x14ac:dyDescent="0.35">
      <c r="A1699">
        <v>1698</v>
      </c>
      <c r="B1699" t="s">
        <v>79</v>
      </c>
      <c r="C1699" t="s">
        <v>80</v>
      </c>
      <c r="D1699">
        <v>2025</v>
      </c>
      <c r="E1699" t="s">
        <v>133</v>
      </c>
      <c r="F1699">
        <v>65</v>
      </c>
      <c r="G1699" t="s">
        <v>351</v>
      </c>
      <c r="H1699">
        <f>electric_vehicles_dataset[[#This Row],[Battery_Capacity_kWh]]/electric_vehicles_dataset[[#This Row],[Range_km]]</f>
        <v>0.1608910891089109</v>
      </c>
      <c r="I1699">
        <v>404</v>
      </c>
      <c r="J1699" t="s">
        <v>364</v>
      </c>
      <c r="K1699">
        <v>5</v>
      </c>
      <c r="L1699" s="1">
        <v>53579.61</v>
      </c>
      <c r="M1699" s="1" t="str" cm="1">
        <f t="array" ref="M16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699" t="s">
        <v>189</v>
      </c>
      <c r="O1699" t="s">
        <v>134</v>
      </c>
      <c r="P1699" s="2" t="s">
        <v>389</v>
      </c>
      <c r="Q1699">
        <v>0</v>
      </c>
      <c r="R1699" t="s">
        <v>390</v>
      </c>
      <c r="S1699" s="1">
        <f>electric_vehicles_dataset[[#This Row],[Units_Sold_2024]]*electric_vehicles_dataset[[#This Row],[Price_USD]]</f>
        <v>662351138.82000005</v>
      </c>
      <c r="T1699">
        <v>3</v>
      </c>
      <c r="U1699">
        <v>12362</v>
      </c>
      <c r="V1699">
        <v>5</v>
      </c>
    </row>
    <row r="1700" spans="1:22" x14ac:dyDescent="0.35">
      <c r="A1700">
        <v>1699</v>
      </c>
      <c r="B1700" t="s">
        <v>74</v>
      </c>
      <c r="C1700" t="s">
        <v>75</v>
      </c>
      <c r="D1700">
        <v>2023</v>
      </c>
      <c r="E1700" t="s">
        <v>130</v>
      </c>
      <c r="F1700">
        <v>92.1</v>
      </c>
      <c r="G1700" t="s">
        <v>350</v>
      </c>
      <c r="H1700">
        <f>electric_vehicles_dataset[[#This Row],[Battery_Capacity_kWh]]/electric_vehicles_dataset[[#This Row],[Range_km]]</f>
        <v>0.78717948717948716</v>
      </c>
      <c r="I1700">
        <v>117</v>
      </c>
      <c r="J1700" t="s">
        <v>359</v>
      </c>
      <c r="K1700">
        <v>9</v>
      </c>
      <c r="L1700" s="1">
        <v>67161.429999999993</v>
      </c>
      <c r="M1700" s="1" t="str" cm="1">
        <f t="array" ref="M170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00" t="s">
        <v>91</v>
      </c>
      <c r="O1700" t="s">
        <v>67</v>
      </c>
      <c r="P1700" s="2" t="s">
        <v>394</v>
      </c>
      <c r="Q1700">
        <v>2</v>
      </c>
      <c r="R1700" t="s">
        <v>391</v>
      </c>
      <c r="S1700" s="1">
        <f>electric_vehicles_dataset[[#This Row],[Units_Sold_2024]]*electric_vehicles_dataset[[#This Row],[Price_USD]]</f>
        <v>103898732.20999999</v>
      </c>
      <c r="T1700">
        <v>4</v>
      </c>
      <c r="U1700">
        <v>1547</v>
      </c>
      <c r="V1700">
        <v>3</v>
      </c>
    </row>
    <row r="1701" spans="1:22" x14ac:dyDescent="0.35">
      <c r="A1701">
        <v>1700</v>
      </c>
      <c r="B1701" t="s">
        <v>224</v>
      </c>
      <c r="C1701" t="s">
        <v>280</v>
      </c>
      <c r="D1701">
        <v>2019</v>
      </c>
      <c r="E1701" t="s">
        <v>84</v>
      </c>
      <c r="F1701">
        <v>98.6</v>
      </c>
      <c r="G1701" t="s">
        <v>350</v>
      </c>
      <c r="H1701">
        <f>electric_vehicles_dataset[[#This Row],[Battery_Capacity_kWh]]/electric_vehicles_dataset[[#This Row],[Range_km]]</f>
        <v>0.21068376068376068</v>
      </c>
      <c r="I1701">
        <v>468</v>
      </c>
      <c r="J1701" t="s">
        <v>359</v>
      </c>
      <c r="K1701">
        <v>4</v>
      </c>
      <c r="L1701" s="1">
        <v>112181.29</v>
      </c>
      <c r="M1701" s="1" t="str" cm="1">
        <f t="array" ref="M17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01" t="s">
        <v>32</v>
      </c>
      <c r="O1701" t="s">
        <v>202</v>
      </c>
      <c r="P1701" s="2" t="s">
        <v>393</v>
      </c>
      <c r="Q1701">
        <v>0</v>
      </c>
      <c r="R1701" t="s">
        <v>390</v>
      </c>
      <c r="S1701" s="1">
        <f>electric_vehicles_dataset[[#This Row],[Units_Sold_2024]]*electric_vehicles_dataset[[#This Row],[Price_USD]]</f>
        <v>1558422480.6799998</v>
      </c>
      <c r="T1701">
        <v>3</v>
      </c>
      <c r="U1701">
        <v>13892</v>
      </c>
      <c r="V1701">
        <v>5</v>
      </c>
    </row>
    <row r="1702" spans="1:22" x14ac:dyDescent="0.35">
      <c r="A1702">
        <v>1701</v>
      </c>
      <c r="B1702" t="s">
        <v>140</v>
      </c>
      <c r="C1702" t="s">
        <v>339</v>
      </c>
      <c r="D1702">
        <v>2015</v>
      </c>
      <c r="E1702" t="s">
        <v>58</v>
      </c>
      <c r="F1702">
        <v>135.5</v>
      </c>
      <c r="G1702" t="s">
        <v>352</v>
      </c>
      <c r="H1702">
        <f>electric_vehicles_dataset[[#This Row],[Battery_Capacity_kWh]]/electric_vehicles_dataset[[#This Row],[Range_km]]</f>
        <v>0.2580952380952381</v>
      </c>
      <c r="I1702">
        <v>525</v>
      </c>
      <c r="J1702" t="s">
        <v>18</v>
      </c>
      <c r="K1702">
        <v>6</v>
      </c>
      <c r="L1702" s="1">
        <v>38600.51</v>
      </c>
      <c r="M1702" s="1" t="str" cm="1">
        <f t="array" ref="M170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02" t="s">
        <v>62</v>
      </c>
      <c r="O1702" t="s">
        <v>89</v>
      </c>
      <c r="P1702" s="2" t="s">
        <v>389</v>
      </c>
      <c r="Q1702">
        <v>0</v>
      </c>
      <c r="R1702" t="s">
        <v>390</v>
      </c>
      <c r="S1702" s="1">
        <f>electric_vehicles_dataset[[#This Row],[Units_Sold_2024]]*electric_vehicles_dataset[[#This Row],[Price_USD]]</f>
        <v>689945515.74000001</v>
      </c>
      <c r="T1702">
        <v>3</v>
      </c>
      <c r="U1702">
        <v>17874</v>
      </c>
      <c r="V1702">
        <v>4</v>
      </c>
    </row>
    <row r="1703" spans="1:22" x14ac:dyDescent="0.35">
      <c r="A1703">
        <v>1702</v>
      </c>
      <c r="B1703" t="s">
        <v>220</v>
      </c>
      <c r="C1703" t="s">
        <v>337</v>
      </c>
      <c r="D1703">
        <v>2015</v>
      </c>
      <c r="E1703" t="s">
        <v>58</v>
      </c>
      <c r="F1703">
        <v>50.6</v>
      </c>
      <c r="G1703" t="s">
        <v>348</v>
      </c>
      <c r="H1703">
        <f>electric_vehicles_dataset[[#This Row],[Battery_Capacity_kWh]]/electric_vehicles_dataset[[#This Row],[Range_km]]</f>
        <v>0.11605504587155964</v>
      </c>
      <c r="I1703">
        <v>436</v>
      </c>
      <c r="J1703" t="s">
        <v>85</v>
      </c>
      <c r="K1703">
        <v>5</v>
      </c>
      <c r="L1703" s="1">
        <v>58325.51</v>
      </c>
      <c r="M1703" s="1" t="str" cm="1">
        <f t="array" ref="M170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03" t="s">
        <v>210</v>
      </c>
      <c r="O1703" t="s">
        <v>354</v>
      </c>
      <c r="P1703" s="2" t="s">
        <v>394</v>
      </c>
      <c r="Q1703">
        <v>5</v>
      </c>
      <c r="R1703" t="s">
        <v>392</v>
      </c>
      <c r="S1703" s="1">
        <f>electric_vehicles_dataset[[#This Row],[Units_Sold_2024]]*electric_vehicles_dataset[[#This Row],[Price_USD]]</f>
        <v>739100862.72000003</v>
      </c>
      <c r="T1703">
        <v>5</v>
      </c>
      <c r="U1703">
        <v>12672</v>
      </c>
      <c r="V1703">
        <v>5</v>
      </c>
    </row>
    <row r="1704" spans="1:22" x14ac:dyDescent="0.35">
      <c r="A1704">
        <v>1703</v>
      </c>
      <c r="B1704" t="s">
        <v>64</v>
      </c>
      <c r="C1704" t="s">
        <v>65</v>
      </c>
      <c r="D1704">
        <v>2018</v>
      </c>
      <c r="E1704" t="s">
        <v>42</v>
      </c>
      <c r="F1704">
        <v>129.30000000000001</v>
      </c>
      <c r="G1704" t="s">
        <v>352</v>
      </c>
      <c r="H1704">
        <f>electric_vehicles_dataset[[#This Row],[Battery_Capacity_kWh]]/electric_vehicles_dataset[[#This Row],[Range_km]]</f>
        <v>0.58506787330316745</v>
      </c>
      <c r="I1704">
        <v>221</v>
      </c>
      <c r="J1704" t="s">
        <v>364</v>
      </c>
      <c r="K1704">
        <v>8</v>
      </c>
      <c r="L1704" s="1">
        <v>114169.65</v>
      </c>
      <c r="M1704" s="1" t="str" cm="1">
        <f t="array" ref="M170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04" t="s">
        <v>100</v>
      </c>
      <c r="O1704" t="s">
        <v>110</v>
      </c>
      <c r="P1704" s="2" t="s">
        <v>394</v>
      </c>
      <c r="Q1704">
        <v>3</v>
      </c>
      <c r="R1704" t="s">
        <v>397</v>
      </c>
      <c r="S1704" s="1">
        <f>electric_vehicles_dataset[[#This Row],[Units_Sold_2024]]*electric_vehicles_dataset[[#This Row],[Price_USD]]</f>
        <v>1818494185.1999998</v>
      </c>
      <c r="T1704">
        <v>4</v>
      </c>
      <c r="U1704">
        <v>15928</v>
      </c>
      <c r="V1704">
        <v>4</v>
      </c>
    </row>
    <row r="1705" spans="1:22" x14ac:dyDescent="0.35">
      <c r="A1705">
        <v>1704</v>
      </c>
      <c r="B1705" t="s">
        <v>173</v>
      </c>
      <c r="C1705" t="s">
        <v>249</v>
      </c>
      <c r="D1705">
        <v>2015</v>
      </c>
      <c r="E1705" t="s">
        <v>84</v>
      </c>
      <c r="F1705">
        <v>23</v>
      </c>
      <c r="G1705" t="s">
        <v>357</v>
      </c>
      <c r="H1705">
        <f>electric_vehicles_dataset[[#This Row],[Battery_Capacity_kWh]]/electric_vehicles_dataset[[#This Row],[Range_km]]</f>
        <v>0.13855421686746988</v>
      </c>
      <c r="I1705">
        <v>166</v>
      </c>
      <c r="J1705" t="s">
        <v>364</v>
      </c>
      <c r="K1705">
        <v>4</v>
      </c>
      <c r="L1705" s="1">
        <v>116072.57</v>
      </c>
      <c r="M1705" s="1" t="str" cm="1">
        <f t="array" ref="M170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05" t="s">
        <v>168</v>
      </c>
      <c r="O1705" t="s">
        <v>67</v>
      </c>
      <c r="P1705" s="2" t="s">
        <v>394</v>
      </c>
      <c r="Q1705">
        <v>0</v>
      </c>
      <c r="R1705" t="s">
        <v>390</v>
      </c>
      <c r="S1705" s="1">
        <f>electric_vehicles_dataset[[#This Row],[Units_Sold_2024]]*electric_vehicles_dataset[[#This Row],[Price_USD]]</f>
        <v>2132253110.9000001</v>
      </c>
      <c r="T1705">
        <v>4</v>
      </c>
      <c r="U1705">
        <v>18370</v>
      </c>
      <c r="V1705">
        <v>4</v>
      </c>
    </row>
    <row r="1706" spans="1:22" x14ac:dyDescent="0.35">
      <c r="A1706">
        <v>1705</v>
      </c>
      <c r="B1706" t="s">
        <v>170</v>
      </c>
      <c r="C1706" t="s">
        <v>334</v>
      </c>
      <c r="D1706">
        <v>2025</v>
      </c>
      <c r="E1706" t="s">
        <v>73</v>
      </c>
      <c r="F1706">
        <v>89.3</v>
      </c>
      <c r="G1706" t="s">
        <v>350</v>
      </c>
      <c r="H1706">
        <f>electric_vehicles_dataset[[#This Row],[Battery_Capacity_kWh]]/electric_vehicles_dataset[[#This Row],[Range_km]]</f>
        <v>0.21780487804878049</v>
      </c>
      <c r="I1706">
        <v>410</v>
      </c>
      <c r="J1706" t="s">
        <v>38</v>
      </c>
      <c r="K1706">
        <v>2</v>
      </c>
      <c r="L1706" s="1">
        <v>56002.99</v>
      </c>
      <c r="M1706" s="1" t="str" cm="1">
        <f t="array" ref="M170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06" t="s">
        <v>22</v>
      </c>
      <c r="O1706" t="s">
        <v>121</v>
      </c>
      <c r="P1706" s="2" t="s">
        <v>398</v>
      </c>
      <c r="Q1706">
        <v>0</v>
      </c>
      <c r="R1706" t="s">
        <v>390</v>
      </c>
      <c r="S1706" s="1">
        <f>electric_vehicles_dataset[[#This Row],[Units_Sold_2024]]*electric_vehicles_dataset[[#This Row],[Price_USD]]</f>
        <v>485937944.22999996</v>
      </c>
      <c r="T1706">
        <v>3</v>
      </c>
      <c r="U1706">
        <v>8677</v>
      </c>
      <c r="V1706">
        <v>5</v>
      </c>
    </row>
    <row r="1707" spans="1:22" x14ac:dyDescent="0.35">
      <c r="A1707">
        <v>1706</v>
      </c>
      <c r="B1707" t="s">
        <v>234</v>
      </c>
      <c r="C1707" t="s">
        <v>235</v>
      </c>
      <c r="D1707">
        <v>2019</v>
      </c>
      <c r="E1707" t="s">
        <v>53</v>
      </c>
      <c r="F1707">
        <v>67.2</v>
      </c>
      <c r="G1707" t="s">
        <v>351</v>
      </c>
      <c r="H1707">
        <f>electric_vehicles_dataset[[#This Row],[Battery_Capacity_kWh]]/electric_vehicles_dataset[[#This Row],[Range_km]]</f>
        <v>0.16390243902439025</v>
      </c>
      <c r="I1707">
        <v>410</v>
      </c>
      <c r="J1707" t="s">
        <v>356</v>
      </c>
      <c r="K1707">
        <v>2</v>
      </c>
      <c r="L1707" s="1">
        <v>77451.350000000006</v>
      </c>
      <c r="M1707" s="1" t="str" cm="1">
        <f t="array" ref="M17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07" t="s">
        <v>219</v>
      </c>
      <c r="O1707" t="s">
        <v>110</v>
      </c>
      <c r="P1707" s="2" t="s">
        <v>394</v>
      </c>
      <c r="Q1707">
        <v>4</v>
      </c>
      <c r="R1707" t="s">
        <v>392</v>
      </c>
      <c r="S1707" s="1">
        <f>electric_vehicles_dataset[[#This Row],[Units_Sold_2024]]*electric_vehicles_dataset[[#This Row],[Price_USD]]</f>
        <v>599705803.05000007</v>
      </c>
      <c r="T1707">
        <v>3</v>
      </c>
      <c r="U1707">
        <v>7743</v>
      </c>
      <c r="V1707">
        <v>4</v>
      </c>
    </row>
    <row r="1708" spans="1:22" x14ac:dyDescent="0.35">
      <c r="A1708">
        <v>1707</v>
      </c>
      <c r="B1708" t="s">
        <v>96</v>
      </c>
      <c r="C1708" t="s">
        <v>97</v>
      </c>
      <c r="D1708">
        <v>2025</v>
      </c>
      <c r="E1708" t="s">
        <v>183</v>
      </c>
      <c r="F1708">
        <v>35.1</v>
      </c>
      <c r="G1708" t="s">
        <v>357</v>
      </c>
      <c r="H1708">
        <f>electric_vehicles_dataset[[#This Row],[Battery_Capacity_kWh]]/electric_vehicles_dataset[[#This Row],[Range_km]]</f>
        <v>7.2222222222222229E-2</v>
      </c>
      <c r="I1708">
        <v>486</v>
      </c>
      <c r="J1708" t="s">
        <v>358</v>
      </c>
      <c r="K1708">
        <v>9</v>
      </c>
      <c r="L1708" s="1">
        <v>131574.88</v>
      </c>
      <c r="M1708" s="1" t="str" cm="1">
        <f t="array" ref="M17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08" t="s">
        <v>100</v>
      </c>
      <c r="O1708" t="s">
        <v>167</v>
      </c>
      <c r="P1708" s="2" t="s">
        <v>394</v>
      </c>
      <c r="Q1708">
        <v>0</v>
      </c>
      <c r="R1708" t="s">
        <v>390</v>
      </c>
      <c r="S1708" s="1">
        <f>electric_vehicles_dataset[[#This Row],[Units_Sold_2024]]*electric_vehicles_dataset[[#This Row],[Price_USD]]</f>
        <v>1899678117.4400001</v>
      </c>
      <c r="T1708">
        <v>4</v>
      </c>
      <c r="U1708">
        <v>14438</v>
      </c>
      <c r="V1708">
        <v>5</v>
      </c>
    </row>
    <row r="1709" spans="1:22" x14ac:dyDescent="0.35">
      <c r="A1709">
        <v>1708</v>
      </c>
      <c r="B1709" t="s">
        <v>128</v>
      </c>
      <c r="C1709" t="s">
        <v>284</v>
      </c>
      <c r="D1709">
        <v>2020</v>
      </c>
      <c r="E1709" t="s">
        <v>104</v>
      </c>
      <c r="F1709">
        <v>84.3</v>
      </c>
      <c r="G1709" t="s">
        <v>350</v>
      </c>
      <c r="H1709">
        <f>electric_vehicles_dataset[[#This Row],[Battery_Capacity_kWh]]/electric_vehicles_dataset[[#This Row],[Range_km]]</f>
        <v>0.25239520958083833</v>
      </c>
      <c r="I1709">
        <v>334</v>
      </c>
      <c r="J1709" t="s">
        <v>48</v>
      </c>
      <c r="K1709">
        <v>3</v>
      </c>
      <c r="L1709" s="1">
        <v>131528.07999999999</v>
      </c>
      <c r="M1709" s="1" t="str" cm="1">
        <f t="array" ref="M170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09" t="s">
        <v>212</v>
      </c>
      <c r="O1709" t="s">
        <v>226</v>
      </c>
      <c r="P1709" s="2" t="s">
        <v>395</v>
      </c>
      <c r="Q1709">
        <v>0</v>
      </c>
      <c r="R1709" t="s">
        <v>390</v>
      </c>
      <c r="S1709" s="1">
        <f>electric_vehicles_dataset[[#This Row],[Units_Sold_2024]]*electric_vehicles_dataset[[#This Row],[Price_USD]]</f>
        <v>1244124108.7199998</v>
      </c>
      <c r="T1709">
        <v>5</v>
      </c>
      <c r="U1709">
        <v>9459</v>
      </c>
      <c r="V1709">
        <v>5</v>
      </c>
    </row>
    <row r="1710" spans="1:22" x14ac:dyDescent="0.35">
      <c r="A1710">
        <v>1709</v>
      </c>
      <c r="B1710" t="s">
        <v>24</v>
      </c>
      <c r="C1710" t="s">
        <v>25</v>
      </c>
      <c r="D1710">
        <v>2019</v>
      </c>
      <c r="E1710" t="s">
        <v>133</v>
      </c>
      <c r="F1710">
        <v>122.4</v>
      </c>
      <c r="G1710" t="s">
        <v>352</v>
      </c>
      <c r="H1710">
        <f>electric_vehicles_dataset[[#This Row],[Battery_Capacity_kWh]]/electric_vehicles_dataset[[#This Row],[Range_km]]</f>
        <v>0.22133815551537073</v>
      </c>
      <c r="I1710">
        <v>553</v>
      </c>
      <c r="J1710" t="s">
        <v>34</v>
      </c>
      <c r="K1710">
        <v>3</v>
      </c>
      <c r="L1710" s="1">
        <v>80911.55</v>
      </c>
      <c r="M1710" s="1" t="str" cm="1">
        <f t="array" ref="M171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10" t="s">
        <v>254</v>
      </c>
      <c r="O1710" t="s">
        <v>124</v>
      </c>
      <c r="P1710" s="2" t="s">
        <v>389</v>
      </c>
      <c r="Q1710">
        <v>0</v>
      </c>
      <c r="R1710" t="s">
        <v>390</v>
      </c>
      <c r="S1710" s="1">
        <f>electric_vehicles_dataset[[#This Row],[Units_Sold_2024]]*electric_vehicles_dataset[[#This Row],[Price_USD]]</f>
        <v>1103148072.7</v>
      </c>
      <c r="T1710">
        <v>4</v>
      </c>
      <c r="U1710">
        <v>13634</v>
      </c>
      <c r="V1710">
        <v>3</v>
      </c>
    </row>
    <row r="1711" spans="1:22" x14ac:dyDescent="0.35">
      <c r="A1711">
        <v>1710</v>
      </c>
      <c r="B1711" t="s">
        <v>94</v>
      </c>
      <c r="C1711" t="s">
        <v>294</v>
      </c>
      <c r="D1711">
        <v>2017</v>
      </c>
      <c r="E1711" t="s">
        <v>73</v>
      </c>
      <c r="F1711">
        <v>107.2</v>
      </c>
      <c r="G1711" t="s">
        <v>361</v>
      </c>
      <c r="H1711">
        <f>electric_vehicles_dataset[[#This Row],[Battery_Capacity_kWh]]/electric_vehicles_dataset[[#This Row],[Range_km]]</f>
        <v>0.36838487972508593</v>
      </c>
      <c r="I1711">
        <v>291</v>
      </c>
      <c r="J1711" t="s">
        <v>85</v>
      </c>
      <c r="K1711">
        <v>4</v>
      </c>
      <c r="L1711" s="1">
        <v>57211.71</v>
      </c>
      <c r="M1711" s="1" t="str" cm="1">
        <f t="array" ref="M17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11" t="s">
        <v>160</v>
      </c>
      <c r="O1711" t="s">
        <v>164</v>
      </c>
      <c r="P1711" s="2" t="s">
        <v>394</v>
      </c>
      <c r="Q1711">
        <v>5</v>
      </c>
      <c r="R1711" t="s">
        <v>392</v>
      </c>
      <c r="S1711" s="1">
        <f>electric_vehicles_dataset[[#This Row],[Units_Sold_2024]]*electric_vehicles_dataset[[#This Row],[Price_USD]]</f>
        <v>490990895.21999997</v>
      </c>
      <c r="T1711">
        <v>4</v>
      </c>
      <c r="U1711">
        <v>8582</v>
      </c>
      <c r="V1711">
        <v>4</v>
      </c>
    </row>
    <row r="1712" spans="1:22" x14ac:dyDescent="0.35">
      <c r="A1712">
        <v>1711</v>
      </c>
      <c r="B1712" t="s">
        <v>144</v>
      </c>
      <c r="C1712" t="s">
        <v>145</v>
      </c>
      <c r="D1712">
        <v>2021</v>
      </c>
      <c r="E1712" t="s">
        <v>104</v>
      </c>
      <c r="F1712">
        <v>69</v>
      </c>
      <c r="G1712" t="s">
        <v>351</v>
      </c>
      <c r="H1712">
        <f>electric_vehicles_dataset[[#This Row],[Battery_Capacity_kWh]]/electric_vehicles_dataset[[#This Row],[Range_km]]</f>
        <v>0.115</v>
      </c>
      <c r="I1712">
        <v>600</v>
      </c>
      <c r="J1712" t="s">
        <v>34</v>
      </c>
      <c r="K1712">
        <v>7</v>
      </c>
      <c r="L1712" s="1">
        <v>138287.29</v>
      </c>
      <c r="M1712" s="1" t="str" cm="1">
        <f t="array" ref="M171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12" t="s">
        <v>301</v>
      </c>
      <c r="O1712" t="s">
        <v>124</v>
      </c>
      <c r="P1712" s="2" t="s">
        <v>389</v>
      </c>
      <c r="Q1712">
        <v>4</v>
      </c>
      <c r="R1712" t="s">
        <v>392</v>
      </c>
      <c r="S1712" s="1">
        <f>electric_vehicles_dataset[[#This Row],[Units_Sold_2024]]*electric_vehicles_dataset[[#This Row],[Price_USD]]</f>
        <v>1261041797.51</v>
      </c>
      <c r="T1712">
        <v>3</v>
      </c>
      <c r="U1712">
        <v>9119</v>
      </c>
      <c r="V1712">
        <v>5</v>
      </c>
    </row>
    <row r="1713" spans="1:22" x14ac:dyDescent="0.35">
      <c r="A1713">
        <v>1712</v>
      </c>
      <c r="B1713" t="s">
        <v>128</v>
      </c>
      <c r="C1713" t="s">
        <v>332</v>
      </c>
      <c r="D1713">
        <v>2025</v>
      </c>
      <c r="E1713" t="s">
        <v>90</v>
      </c>
      <c r="F1713">
        <v>139.69999999999999</v>
      </c>
      <c r="G1713" t="s">
        <v>352</v>
      </c>
      <c r="H1713">
        <f>electric_vehicles_dataset[[#This Row],[Battery_Capacity_kWh]]/electric_vehicles_dataset[[#This Row],[Range_km]]</f>
        <v>0.64675925925925926</v>
      </c>
      <c r="I1713">
        <v>216</v>
      </c>
      <c r="J1713" t="s">
        <v>34</v>
      </c>
      <c r="K1713">
        <v>9</v>
      </c>
      <c r="L1713" s="1">
        <v>112811.43</v>
      </c>
      <c r="M1713" s="1" t="str" cm="1">
        <f t="array" ref="M171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13" t="s">
        <v>143</v>
      </c>
      <c r="O1713" t="s">
        <v>202</v>
      </c>
      <c r="P1713" s="2" t="s">
        <v>393</v>
      </c>
      <c r="Q1713">
        <v>1</v>
      </c>
      <c r="R1713" t="s">
        <v>391</v>
      </c>
      <c r="S1713" s="1">
        <f>electric_vehicles_dataset[[#This Row],[Units_Sold_2024]]*electric_vehicles_dataset[[#This Row],[Price_USD]]</f>
        <v>2195197616.3699999</v>
      </c>
      <c r="T1713">
        <v>5</v>
      </c>
      <c r="U1713">
        <v>19459</v>
      </c>
      <c r="V1713">
        <v>3</v>
      </c>
    </row>
    <row r="1714" spans="1:22" x14ac:dyDescent="0.35">
      <c r="A1714">
        <v>1713</v>
      </c>
      <c r="B1714" t="s">
        <v>68</v>
      </c>
      <c r="C1714" t="s">
        <v>289</v>
      </c>
      <c r="D1714">
        <v>2017</v>
      </c>
      <c r="E1714" t="s">
        <v>130</v>
      </c>
      <c r="F1714">
        <v>141.6</v>
      </c>
      <c r="G1714" t="s">
        <v>386</v>
      </c>
      <c r="H1714">
        <f>electric_vehicles_dataset[[#This Row],[Battery_Capacity_kWh]]/electric_vehicles_dataset[[#This Row],[Range_km]]</f>
        <v>0.47837837837837838</v>
      </c>
      <c r="I1714">
        <v>296</v>
      </c>
      <c r="J1714" t="s">
        <v>38</v>
      </c>
      <c r="K1714">
        <v>7</v>
      </c>
      <c r="L1714" s="1">
        <v>63619.15</v>
      </c>
      <c r="M1714" s="1" t="str" cm="1">
        <f t="array" ref="M171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14" t="s">
        <v>210</v>
      </c>
      <c r="O1714" t="s">
        <v>161</v>
      </c>
      <c r="P1714" s="2" t="s">
        <v>389</v>
      </c>
      <c r="Q1714">
        <v>1</v>
      </c>
      <c r="R1714" t="s">
        <v>391</v>
      </c>
      <c r="S1714" s="1">
        <f>electric_vehicles_dataset[[#This Row],[Units_Sold_2024]]*electric_vehicles_dataset[[#This Row],[Price_USD]]</f>
        <v>196328696.90000001</v>
      </c>
      <c r="T1714">
        <v>5</v>
      </c>
      <c r="U1714">
        <v>3086</v>
      </c>
      <c r="V1714">
        <v>3</v>
      </c>
    </row>
    <row r="1715" spans="1:22" x14ac:dyDescent="0.35">
      <c r="A1715">
        <v>1714</v>
      </c>
      <c r="B1715" t="s">
        <v>82</v>
      </c>
      <c r="C1715" t="s">
        <v>281</v>
      </c>
      <c r="D1715">
        <v>2017</v>
      </c>
      <c r="E1715" t="s">
        <v>101</v>
      </c>
      <c r="F1715">
        <v>86.8</v>
      </c>
      <c r="G1715" t="s">
        <v>350</v>
      </c>
      <c r="H1715">
        <f>electric_vehicles_dataset[[#This Row],[Battery_Capacity_kWh]]/electric_vehicles_dataset[[#This Row],[Range_km]]</f>
        <v>0.35720164609053495</v>
      </c>
      <c r="I1715">
        <v>243</v>
      </c>
      <c r="J1715" t="s">
        <v>356</v>
      </c>
      <c r="K1715">
        <v>2</v>
      </c>
      <c r="L1715" s="1">
        <v>53109.55</v>
      </c>
      <c r="M1715" s="1" t="str" cm="1">
        <f t="array" ref="M171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15" t="s">
        <v>143</v>
      </c>
      <c r="O1715" t="s">
        <v>107</v>
      </c>
      <c r="P1715" s="2" t="s">
        <v>394</v>
      </c>
      <c r="Q1715">
        <v>1</v>
      </c>
      <c r="R1715" t="s">
        <v>391</v>
      </c>
      <c r="S1715" s="1">
        <f>electric_vehicles_dataset[[#This Row],[Units_Sold_2024]]*electric_vehicles_dataset[[#This Row],[Price_USD]]</f>
        <v>92941712.5</v>
      </c>
      <c r="T1715">
        <v>4</v>
      </c>
      <c r="U1715">
        <v>1750</v>
      </c>
      <c r="V1715">
        <v>4</v>
      </c>
    </row>
    <row r="1716" spans="1:22" x14ac:dyDescent="0.35">
      <c r="A1716">
        <v>1715</v>
      </c>
      <c r="B1716" t="s">
        <v>313</v>
      </c>
      <c r="C1716" t="s">
        <v>314</v>
      </c>
      <c r="D1716">
        <v>2023</v>
      </c>
      <c r="E1716" t="s">
        <v>90</v>
      </c>
      <c r="F1716">
        <v>114.8</v>
      </c>
      <c r="G1716" t="s">
        <v>361</v>
      </c>
      <c r="H1716">
        <f>electric_vehicles_dataset[[#This Row],[Battery_Capacity_kWh]]/electric_vehicles_dataset[[#This Row],[Range_km]]</f>
        <v>0.21742424242424241</v>
      </c>
      <c r="I1716">
        <v>528</v>
      </c>
      <c r="J1716" t="s">
        <v>105</v>
      </c>
      <c r="K1716">
        <v>10</v>
      </c>
      <c r="L1716" s="1">
        <v>87247.72</v>
      </c>
      <c r="M1716" s="1" t="str" cm="1">
        <f t="array" ref="M171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16" t="s">
        <v>179</v>
      </c>
      <c r="O1716" t="s">
        <v>167</v>
      </c>
      <c r="P1716" s="2" t="s">
        <v>394</v>
      </c>
      <c r="Q1716">
        <v>4</v>
      </c>
      <c r="R1716" t="s">
        <v>392</v>
      </c>
      <c r="S1716" s="1">
        <f>electric_vehicles_dataset[[#This Row],[Units_Sold_2024]]*electric_vehicles_dataset[[#This Row],[Price_USD]]</f>
        <v>304320047.36000001</v>
      </c>
      <c r="T1716">
        <v>3</v>
      </c>
      <c r="U1716">
        <v>3488</v>
      </c>
      <c r="V1716">
        <v>4</v>
      </c>
    </row>
    <row r="1717" spans="1:22" x14ac:dyDescent="0.35">
      <c r="A1717">
        <v>1716</v>
      </c>
      <c r="B1717" t="s">
        <v>64</v>
      </c>
      <c r="C1717" t="s">
        <v>65</v>
      </c>
      <c r="D1717">
        <v>2019</v>
      </c>
      <c r="E1717" t="s">
        <v>47</v>
      </c>
      <c r="F1717">
        <v>131</v>
      </c>
      <c r="G1717" t="s">
        <v>352</v>
      </c>
      <c r="H1717">
        <f>electric_vehicles_dataset[[#This Row],[Battery_Capacity_kWh]]/electric_vehicles_dataset[[#This Row],[Range_km]]</f>
        <v>0.25992063492063494</v>
      </c>
      <c r="I1717">
        <v>504</v>
      </c>
      <c r="J1717" t="s">
        <v>38</v>
      </c>
      <c r="K1717">
        <v>12</v>
      </c>
      <c r="L1717" s="1">
        <v>72713.539999999994</v>
      </c>
      <c r="M1717" s="1" t="str" cm="1">
        <f t="array" ref="M17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17" t="s">
        <v>277</v>
      </c>
      <c r="O1717" t="s">
        <v>93</v>
      </c>
      <c r="P1717" s="2" t="s">
        <v>389</v>
      </c>
      <c r="Q1717">
        <v>4</v>
      </c>
      <c r="R1717" t="s">
        <v>392</v>
      </c>
      <c r="S1717" s="1">
        <f>electric_vehicles_dataset[[#This Row],[Units_Sold_2024]]*electric_vehicles_dataset[[#This Row],[Price_USD]]</f>
        <v>1030859856.5799999</v>
      </c>
      <c r="T1717">
        <v>3</v>
      </c>
      <c r="U1717">
        <v>14177</v>
      </c>
      <c r="V1717">
        <v>3</v>
      </c>
    </row>
    <row r="1718" spans="1:22" x14ac:dyDescent="0.35">
      <c r="A1718">
        <v>1717</v>
      </c>
      <c r="B1718" t="s">
        <v>262</v>
      </c>
      <c r="C1718" t="s">
        <v>263</v>
      </c>
      <c r="D1718">
        <v>2025</v>
      </c>
      <c r="E1718" t="s">
        <v>183</v>
      </c>
      <c r="F1718">
        <v>109</v>
      </c>
      <c r="G1718" t="s">
        <v>361</v>
      </c>
      <c r="H1718">
        <f>electric_vehicles_dataset[[#This Row],[Battery_Capacity_kWh]]/electric_vehicles_dataset[[#This Row],[Range_km]]</f>
        <v>0.18474576271186441</v>
      </c>
      <c r="I1718">
        <v>590</v>
      </c>
      <c r="J1718" t="s">
        <v>38</v>
      </c>
      <c r="K1718">
        <v>5</v>
      </c>
      <c r="L1718" s="1">
        <v>59190.48</v>
      </c>
      <c r="M1718" s="1" t="str" cm="1">
        <f t="array" ref="M171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18" t="s">
        <v>70</v>
      </c>
      <c r="O1718" t="s">
        <v>63</v>
      </c>
      <c r="P1718" s="2" t="s">
        <v>389</v>
      </c>
      <c r="Q1718">
        <v>1</v>
      </c>
      <c r="R1718" t="s">
        <v>391</v>
      </c>
      <c r="S1718" s="1">
        <f>electric_vehicles_dataset[[#This Row],[Units_Sold_2024]]*electric_vehicles_dataset[[#This Row],[Price_USD]]</f>
        <v>683472472.56000006</v>
      </c>
      <c r="T1718">
        <v>4</v>
      </c>
      <c r="U1718">
        <v>11547</v>
      </c>
      <c r="V1718">
        <v>4</v>
      </c>
    </row>
    <row r="1719" spans="1:22" x14ac:dyDescent="0.35">
      <c r="A1719">
        <v>1718</v>
      </c>
      <c r="B1719" t="s">
        <v>241</v>
      </c>
      <c r="C1719" t="s">
        <v>286</v>
      </c>
      <c r="D1719">
        <v>2021</v>
      </c>
      <c r="E1719" t="s">
        <v>58</v>
      </c>
      <c r="F1719">
        <v>74.400000000000006</v>
      </c>
      <c r="G1719" t="s">
        <v>351</v>
      </c>
      <c r="H1719">
        <f>electric_vehicles_dataset[[#This Row],[Battery_Capacity_kWh]]/electric_vehicles_dataset[[#This Row],[Range_km]]</f>
        <v>0.29062500000000002</v>
      </c>
      <c r="I1719">
        <v>256</v>
      </c>
      <c r="J1719" t="s">
        <v>358</v>
      </c>
      <c r="K1719">
        <v>3</v>
      </c>
      <c r="L1719" s="1">
        <v>139662.71</v>
      </c>
      <c r="M1719" s="1" t="str" cm="1">
        <f t="array" ref="M171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19" t="s">
        <v>246</v>
      </c>
      <c r="O1719" t="s">
        <v>92</v>
      </c>
      <c r="P1719" s="2" t="s">
        <v>394</v>
      </c>
      <c r="Q1719">
        <v>1</v>
      </c>
      <c r="R1719" t="s">
        <v>391</v>
      </c>
      <c r="S1719" s="1">
        <f>electric_vehicles_dataset[[#This Row],[Units_Sold_2024]]*electric_vehicles_dataset[[#This Row],[Price_USD]]</f>
        <v>2699959509.7199998</v>
      </c>
      <c r="T1719">
        <v>5</v>
      </c>
      <c r="U1719">
        <v>19332</v>
      </c>
      <c r="V1719">
        <v>5</v>
      </c>
    </row>
    <row r="1720" spans="1:22" x14ac:dyDescent="0.35">
      <c r="A1720">
        <v>1719</v>
      </c>
      <c r="B1720" t="s">
        <v>41</v>
      </c>
      <c r="C1720" t="s">
        <v>380</v>
      </c>
      <c r="D1720">
        <v>2021</v>
      </c>
      <c r="E1720" t="s">
        <v>47</v>
      </c>
      <c r="F1720">
        <v>147.1</v>
      </c>
      <c r="G1720" t="s">
        <v>386</v>
      </c>
      <c r="H1720">
        <f>electric_vehicles_dataset[[#This Row],[Battery_Capacity_kWh]]/electric_vehicles_dataset[[#This Row],[Range_km]]</f>
        <v>0.79513513513513512</v>
      </c>
      <c r="I1720">
        <v>185</v>
      </c>
      <c r="J1720" t="s">
        <v>27</v>
      </c>
      <c r="K1720">
        <v>2</v>
      </c>
      <c r="L1720" s="1">
        <v>54861.78</v>
      </c>
      <c r="M1720" s="1" t="str" cm="1">
        <f t="array" ref="M172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20" t="s">
        <v>257</v>
      </c>
      <c r="O1720" t="s">
        <v>115</v>
      </c>
      <c r="P1720" s="2" t="s">
        <v>396</v>
      </c>
      <c r="Q1720">
        <v>3</v>
      </c>
      <c r="R1720" t="s">
        <v>397</v>
      </c>
      <c r="S1720" s="1">
        <f>electric_vehicles_dataset[[#This Row],[Units_Sold_2024]]*electric_vehicles_dataset[[#This Row],[Price_USD]]</f>
        <v>308707236.06</v>
      </c>
      <c r="T1720">
        <v>5</v>
      </c>
      <c r="U1720">
        <v>5627</v>
      </c>
      <c r="V1720">
        <v>3</v>
      </c>
    </row>
    <row r="1721" spans="1:22" x14ac:dyDescent="0.35">
      <c r="A1721">
        <v>1720</v>
      </c>
      <c r="B1721" t="s">
        <v>24</v>
      </c>
      <c r="C1721" t="s">
        <v>341</v>
      </c>
      <c r="D1721">
        <v>2018</v>
      </c>
      <c r="E1721" t="s">
        <v>42</v>
      </c>
      <c r="F1721">
        <v>139.69999999999999</v>
      </c>
      <c r="G1721" t="s">
        <v>352</v>
      </c>
      <c r="H1721">
        <f>electric_vehicles_dataset[[#This Row],[Battery_Capacity_kWh]]/electric_vehicles_dataset[[#This Row],[Range_km]]</f>
        <v>0.27392156862745098</v>
      </c>
      <c r="I1721">
        <v>510</v>
      </c>
      <c r="J1721" t="s">
        <v>353</v>
      </c>
      <c r="K1721">
        <v>1</v>
      </c>
      <c r="L1721" s="1">
        <v>103670.43</v>
      </c>
      <c r="M1721" s="1" t="str" cm="1">
        <f t="array" ref="M172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21" t="s">
        <v>212</v>
      </c>
      <c r="O1721" t="s">
        <v>50</v>
      </c>
      <c r="P1721" s="2" t="s">
        <v>396</v>
      </c>
      <c r="Q1721">
        <v>0</v>
      </c>
      <c r="R1721" t="s">
        <v>390</v>
      </c>
      <c r="S1721" s="1">
        <f>electric_vehicles_dataset[[#This Row],[Units_Sold_2024]]*electric_vehicles_dataset[[#This Row],[Price_USD]]</f>
        <v>2045210243.04</v>
      </c>
      <c r="T1721">
        <v>4</v>
      </c>
      <c r="U1721">
        <v>19728</v>
      </c>
      <c r="V1721">
        <v>3</v>
      </c>
    </row>
    <row r="1722" spans="1:22" x14ac:dyDescent="0.35">
      <c r="A1722">
        <v>1721</v>
      </c>
      <c r="B1722" t="s">
        <v>87</v>
      </c>
      <c r="C1722" t="s">
        <v>381</v>
      </c>
      <c r="D1722">
        <v>2025</v>
      </c>
      <c r="E1722" t="s">
        <v>101</v>
      </c>
      <c r="F1722">
        <v>98.2</v>
      </c>
      <c r="G1722" t="s">
        <v>350</v>
      </c>
      <c r="H1722">
        <f>electric_vehicles_dataset[[#This Row],[Battery_Capacity_kWh]]/electric_vehicles_dataset[[#This Row],[Range_km]]</f>
        <v>0.20331262939958591</v>
      </c>
      <c r="I1722">
        <v>483</v>
      </c>
      <c r="J1722" t="s">
        <v>54</v>
      </c>
      <c r="K1722">
        <v>5</v>
      </c>
      <c r="L1722" s="1">
        <v>123182.99</v>
      </c>
      <c r="M1722" s="1" t="str" cm="1">
        <f t="array" ref="M172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22" t="s">
        <v>246</v>
      </c>
      <c r="O1722" t="s">
        <v>159</v>
      </c>
      <c r="P1722" s="2" t="s">
        <v>389</v>
      </c>
      <c r="Q1722">
        <v>3</v>
      </c>
      <c r="R1722" t="s">
        <v>397</v>
      </c>
      <c r="S1722" s="1">
        <f>electric_vehicles_dataset[[#This Row],[Units_Sold_2024]]*electric_vehicles_dataset[[#This Row],[Price_USD]]</f>
        <v>2412538859.1500001</v>
      </c>
      <c r="T1722">
        <v>3</v>
      </c>
      <c r="U1722">
        <v>19585</v>
      </c>
      <c r="V1722">
        <v>5</v>
      </c>
    </row>
    <row r="1723" spans="1:22" x14ac:dyDescent="0.35">
      <c r="A1723">
        <v>1722</v>
      </c>
      <c r="B1723" t="s">
        <v>21</v>
      </c>
      <c r="C1723" t="s">
        <v>349</v>
      </c>
      <c r="D1723">
        <v>2017</v>
      </c>
      <c r="E1723" t="s">
        <v>130</v>
      </c>
      <c r="F1723">
        <v>130.6</v>
      </c>
      <c r="G1723" t="s">
        <v>352</v>
      </c>
      <c r="H1723">
        <f>electric_vehicles_dataset[[#This Row],[Battery_Capacity_kWh]]/electric_vehicles_dataset[[#This Row],[Range_km]]</f>
        <v>0.27494736842105261</v>
      </c>
      <c r="I1723">
        <v>475</v>
      </c>
      <c r="J1723" t="s">
        <v>359</v>
      </c>
      <c r="K1723">
        <v>7</v>
      </c>
      <c r="L1723" s="1">
        <v>48495.26</v>
      </c>
      <c r="M1723" s="1" t="str" cm="1">
        <f t="array" ref="M172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23" t="s">
        <v>146</v>
      </c>
      <c r="O1723" t="s">
        <v>50</v>
      </c>
      <c r="P1723" s="2" t="s">
        <v>396</v>
      </c>
      <c r="Q1723">
        <v>3</v>
      </c>
      <c r="R1723" t="s">
        <v>397</v>
      </c>
      <c r="S1723" s="1">
        <f>electric_vehicles_dataset[[#This Row],[Units_Sold_2024]]*electric_vehicles_dataset[[#This Row],[Price_USD]]</f>
        <v>953756278.42000008</v>
      </c>
      <c r="T1723">
        <v>4</v>
      </c>
      <c r="U1723">
        <v>19667</v>
      </c>
      <c r="V1723">
        <v>5</v>
      </c>
    </row>
    <row r="1724" spans="1:22" x14ac:dyDescent="0.35">
      <c r="A1724">
        <v>1723</v>
      </c>
      <c r="B1724" t="s">
        <v>269</v>
      </c>
      <c r="C1724" t="s">
        <v>329</v>
      </c>
      <c r="D1724">
        <v>2020</v>
      </c>
      <c r="E1724" t="s">
        <v>47</v>
      </c>
      <c r="F1724">
        <v>134.5</v>
      </c>
      <c r="G1724" t="s">
        <v>352</v>
      </c>
      <c r="H1724">
        <f>electric_vehicles_dataset[[#This Row],[Battery_Capacity_kWh]]/electric_vehicles_dataset[[#This Row],[Range_km]]</f>
        <v>1.0037313432835822</v>
      </c>
      <c r="I1724">
        <v>134</v>
      </c>
      <c r="J1724" t="s">
        <v>105</v>
      </c>
      <c r="K1724">
        <v>10</v>
      </c>
      <c r="L1724" s="1">
        <v>134117.56</v>
      </c>
      <c r="M1724" s="1" t="str" cm="1">
        <f t="array" ref="M172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24" t="s">
        <v>229</v>
      </c>
      <c r="O1724" t="s">
        <v>93</v>
      </c>
      <c r="P1724" s="2" t="s">
        <v>389</v>
      </c>
      <c r="Q1724">
        <v>1</v>
      </c>
      <c r="R1724" t="s">
        <v>391</v>
      </c>
      <c r="S1724" s="1">
        <f>electric_vehicles_dataset[[#This Row],[Units_Sold_2024]]*electric_vehicles_dataset[[#This Row],[Price_USD]]</f>
        <v>533922006.36000001</v>
      </c>
      <c r="T1724">
        <v>3</v>
      </c>
      <c r="U1724">
        <v>3981</v>
      </c>
      <c r="V1724">
        <v>5</v>
      </c>
    </row>
    <row r="1725" spans="1:22" x14ac:dyDescent="0.35">
      <c r="A1725">
        <v>1724</v>
      </c>
      <c r="B1725" t="s">
        <v>82</v>
      </c>
      <c r="C1725" t="s">
        <v>281</v>
      </c>
      <c r="D1725">
        <v>2018</v>
      </c>
      <c r="E1725" t="s">
        <v>90</v>
      </c>
      <c r="F1725">
        <v>97.8</v>
      </c>
      <c r="G1725" t="s">
        <v>350</v>
      </c>
      <c r="H1725">
        <f>electric_vehicles_dataset[[#This Row],[Battery_Capacity_kWh]]/electric_vehicles_dataset[[#This Row],[Range_km]]</f>
        <v>0.34558303886925795</v>
      </c>
      <c r="I1725">
        <v>283</v>
      </c>
      <c r="J1725" t="s">
        <v>105</v>
      </c>
      <c r="K1725">
        <v>2</v>
      </c>
      <c r="L1725" s="1">
        <v>54949.1</v>
      </c>
      <c r="M1725" s="1" t="str" cm="1">
        <f t="array" ref="M172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25" t="s">
        <v>168</v>
      </c>
      <c r="O1725" t="s">
        <v>354</v>
      </c>
      <c r="P1725" s="2" t="s">
        <v>394</v>
      </c>
      <c r="Q1725">
        <v>1</v>
      </c>
      <c r="R1725" t="s">
        <v>391</v>
      </c>
      <c r="S1725" s="1">
        <f>electric_vehicles_dataset[[#This Row],[Units_Sold_2024]]*electric_vehicles_dataset[[#This Row],[Price_USD]]</f>
        <v>1085904114.2</v>
      </c>
      <c r="T1725">
        <v>3</v>
      </c>
      <c r="U1725">
        <v>19762</v>
      </c>
      <c r="V1725">
        <v>3</v>
      </c>
    </row>
    <row r="1726" spans="1:22" x14ac:dyDescent="0.35">
      <c r="A1726">
        <v>1725</v>
      </c>
      <c r="B1726" t="s">
        <v>79</v>
      </c>
      <c r="C1726" t="s">
        <v>80</v>
      </c>
      <c r="D1726">
        <v>2024</v>
      </c>
      <c r="E1726" t="s">
        <v>42</v>
      </c>
      <c r="F1726">
        <v>87.8</v>
      </c>
      <c r="G1726" t="s">
        <v>350</v>
      </c>
      <c r="H1726">
        <f>electric_vehicles_dataset[[#This Row],[Battery_Capacity_kWh]]/electric_vehicles_dataset[[#This Row],[Range_km]]</f>
        <v>0.18406708595387841</v>
      </c>
      <c r="I1726">
        <v>477</v>
      </c>
      <c r="J1726" t="s">
        <v>38</v>
      </c>
      <c r="K1726">
        <v>9</v>
      </c>
      <c r="L1726" s="1">
        <v>104611.49</v>
      </c>
      <c r="M1726" s="1" t="str" cm="1">
        <f t="array" ref="M172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26" t="s">
        <v>39</v>
      </c>
      <c r="O1726" t="s">
        <v>167</v>
      </c>
      <c r="P1726" s="2" t="s">
        <v>394</v>
      </c>
      <c r="Q1726">
        <v>5</v>
      </c>
      <c r="R1726" t="s">
        <v>392</v>
      </c>
      <c r="S1726" s="1">
        <f>electric_vehicles_dataset[[#This Row],[Units_Sold_2024]]*electric_vehicles_dataset[[#This Row],[Price_USD]]</f>
        <v>1845451295.0900002</v>
      </c>
      <c r="T1726">
        <v>5</v>
      </c>
      <c r="U1726">
        <v>17641</v>
      </c>
      <c r="V1726">
        <v>4</v>
      </c>
    </row>
    <row r="1727" spans="1:22" x14ac:dyDescent="0.35">
      <c r="A1727">
        <v>1726</v>
      </c>
      <c r="B1727" t="s">
        <v>60</v>
      </c>
      <c r="C1727" t="s">
        <v>61</v>
      </c>
      <c r="D1727">
        <v>2019</v>
      </c>
      <c r="E1727" t="s">
        <v>53</v>
      </c>
      <c r="F1727">
        <v>114.8</v>
      </c>
      <c r="G1727" t="s">
        <v>361</v>
      </c>
      <c r="H1727">
        <f>electric_vehicles_dataset[[#This Row],[Battery_Capacity_kWh]]/electric_vehicles_dataset[[#This Row],[Range_km]]</f>
        <v>0.296640826873385</v>
      </c>
      <c r="I1727">
        <v>387</v>
      </c>
      <c r="J1727" t="s">
        <v>85</v>
      </c>
      <c r="K1727">
        <v>9</v>
      </c>
      <c r="L1727" s="1">
        <v>85308.27</v>
      </c>
      <c r="M1727" s="1" t="str" cm="1">
        <f t="array" ref="M172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27" t="s">
        <v>238</v>
      </c>
      <c r="O1727" t="s">
        <v>63</v>
      </c>
      <c r="P1727" s="2" t="s">
        <v>389</v>
      </c>
      <c r="Q1727">
        <v>0</v>
      </c>
      <c r="R1727" t="s">
        <v>390</v>
      </c>
      <c r="S1727" s="1">
        <f>electric_vehicles_dataset[[#This Row],[Units_Sold_2024]]*electric_vehicles_dataset[[#This Row],[Price_USD]]</f>
        <v>576342672.12</v>
      </c>
      <c r="T1727">
        <v>3</v>
      </c>
      <c r="U1727">
        <v>6756</v>
      </c>
      <c r="V1727">
        <v>3</v>
      </c>
    </row>
    <row r="1728" spans="1:22" x14ac:dyDescent="0.35">
      <c r="A1728">
        <v>1727</v>
      </c>
      <c r="B1728" t="s">
        <v>155</v>
      </c>
      <c r="C1728" t="s">
        <v>190</v>
      </c>
      <c r="D1728">
        <v>2018</v>
      </c>
      <c r="E1728" t="s">
        <v>53</v>
      </c>
      <c r="F1728">
        <v>75.7</v>
      </c>
      <c r="G1728" t="s">
        <v>351</v>
      </c>
      <c r="H1728">
        <f>electric_vehicles_dataset[[#This Row],[Battery_Capacity_kWh]]/electric_vehicles_dataset[[#This Row],[Range_km]]</f>
        <v>0.66403508771929831</v>
      </c>
      <c r="I1728">
        <v>114</v>
      </c>
      <c r="J1728" t="s">
        <v>356</v>
      </c>
      <c r="K1728">
        <v>9</v>
      </c>
      <c r="L1728" s="1">
        <v>44522.87</v>
      </c>
      <c r="M1728" s="1" t="str" cm="1">
        <f t="array" ref="M172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28" t="s">
        <v>117</v>
      </c>
      <c r="O1728" t="s">
        <v>159</v>
      </c>
      <c r="P1728" s="2" t="s">
        <v>389</v>
      </c>
      <c r="Q1728">
        <v>0</v>
      </c>
      <c r="R1728" t="s">
        <v>390</v>
      </c>
      <c r="S1728" s="1">
        <f>electric_vehicles_dataset[[#This Row],[Units_Sold_2024]]*electric_vehicles_dataset[[#This Row],[Price_USD]]</f>
        <v>250396620.88000003</v>
      </c>
      <c r="T1728">
        <v>3</v>
      </c>
      <c r="U1728">
        <v>5624</v>
      </c>
      <c r="V1728">
        <v>5</v>
      </c>
    </row>
    <row r="1729" spans="1:22" x14ac:dyDescent="0.35">
      <c r="A1729">
        <v>1728</v>
      </c>
      <c r="B1729" t="s">
        <v>220</v>
      </c>
      <c r="C1729" t="s">
        <v>282</v>
      </c>
      <c r="D1729">
        <v>2016</v>
      </c>
      <c r="E1729" t="s">
        <v>17</v>
      </c>
      <c r="F1729">
        <v>100.2</v>
      </c>
      <c r="G1729" t="s">
        <v>361</v>
      </c>
      <c r="H1729">
        <f>electric_vehicles_dataset[[#This Row],[Battery_Capacity_kWh]]/electric_vehicles_dataset[[#This Row],[Range_km]]</f>
        <v>0.18218181818181819</v>
      </c>
      <c r="I1729">
        <v>550</v>
      </c>
      <c r="J1729" t="s">
        <v>353</v>
      </c>
      <c r="K1729">
        <v>10</v>
      </c>
      <c r="L1729" s="1">
        <v>37359.71</v>
      </c>
      <c r="M1729" s="1" t="str" cm="1">
        <f t="array" ref="M17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29" t="s">
        <v>106</v>
      </c>
      <c r="O1729" t="s">
        <v>78</v>
      </c>
      <c r="P1729" s="2" t="s">
        <v>389</v>
      </c>
      <c r="Q1729">
        <v>1</v>
      </c>
      <c r="R1729" t="s">
        <v>391</v>
      </c>
      <c r="S1729" s="1">
        <f>electric_vehicles_dataset[[#This Row],[Units_Sold_2024]]*electric_vehicles_dataset[[#This Row],[Price_USD]]</f>
        <v>115217345.64</v>
      </c>
      <c r="T1729">
        <v>3</v>
      </c>
      <c r="U1729">
        <v>3084</v>
      </c>
      <c r="V1729">
        <v>5</v>
      </c>
    </row>
    <row r="1730" spans="1:22" x14ac:dyDescent="0.35">
      <c r="A1730">
        <v>1729</v>
      </c>
      <c r="B1730" t="s">
        <v>184</v>
      </c>
      <c r="C1730" t="s">
        <v>251</v>
      </c>
      <c r="D1730">
        <v>2019</v>
      </c>
      <c r="E1730" t="s">
        <v>133</v>
      </c>
      <c r="F1730">
        <v>41.9</v>
      </c>
      <c r="G1730" t="s">
        <v>348</v>
      </c>
      <c r="H1730">
        <f>electric_vehicles_dataset[[#This Row],[Battery_Capacity_kWh]]/electric_vehicles_dataset[[#This Row],[Range_km]]</f>
        <v>8.5685071574642127E-2</v>
      </c>
      <c r="I1730">
        <v>489</v>
      </c>
      <c r="J1730" t="s">
        <v>105</v>
      </c>
      <c r="K1730">
        <v>2</v>
      </c>
      <c r="L1730" s="1">
        <v>148229.97</v>
      </c>
      <c r="M1730" s="1" t="str" cm="1">
        <f t="array" ref="M17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30" t="s">
        <v>301</v>
      </c>
      <c r="O1730" t="s">
        <v>23</v>
      </c>
      <c r="P1730" s="2" t="s">
        <v>389</v>
      </c>
      <c r="Q1730">
        <v>1</v>
      </c>
      <c r="R1730" t="s">
        <v>391</v>
      </c>
      <c r="S1730" s="1">
        <f>electric_vehicles_dataset[[#This Row],[Units_Sold_2024]]*electric_vehicles_dataset[[#This Row],[Price_USD]]</f>
        <v>2918796339.27</v>
      </c>
      <c r="T1730">
        <v>3</v>
      </c>
      <c r="U1730">
        <v>19691</v>
      </c>
      <c r="V1730">
        <v>4</v>
      </c>
    </row>
    <row r="1731" spans="1:22" x14ac:dyDescent="0.35">
      <c r="A1731">
        <v>1730</v>
      </c>
      <c r="B1731" t="s">
        <v>96</v>
      </c>
      <c r="C1731" t="s">
        <v>116</v>
      </c>
      <c r="D1731">
        <v>2020</v>
      </c>
      <c r="E1731" t="s">
        <v>17</v>
      </c>
      <c r="F1731">
        <v>136.30000000000001</v>
      </c>
      <c r="G1731" t="s">
        <v>352</v>
      </c>
      <c r="H1731">
        <f>electric_vehicles_dataset[[#This Row],[Battery_Capacity_kWh]]/electric_vehicles_dataset[[#This Row],[Range_km]]</f>
        <v>0.93356164383561646</v>
      </c>
      <c r="I1731">
        <v>146</v>
      </c>
      <c r="J1731" t="s">
        <v>48</v>
      </c>
      <c r="K1731">
        <v>8</v>
      </c>
      <c r="L1731" s="1">
        <v>91770.46</v>
      </c>
      <c r="M1731" s="1" t="str" cm="1">
        <f t="array" ref="M173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31" t="s">
        <v>117</v>
      </c>
      <c r="O1731" t="s">
        <v>92</v>
      </c>
      <c r="P1731" s="2" t="s">
        <v>394</v>
      </c>
      <c r="Q1731">
        <v>3</v>
      </c>
      <c r="R1731" t="s">
        <v>397</v>
      </c>
      <c r="S1731" s="1">
        <f>electric_vehicles_dataset[[#This Row],[Units_Sold_2024]]*electric_vehicles_dataset[[#This Row],[Price_USD]]</f>
        <v>1731892121.1200001</v>
      </c>
      <c r="T1731">
        <v>4</v>
      </c>
      <c r="U1731">
        <v>18872</v>
      </c>
      <c r="V1731">
        <v>4</v>
      </c>
    </row>
    <row r="1732" spans="1:22" x14ac:dyDescent="0.35">
      <c r="A1732">
        <v>1731</v>
      </c>
      <c r="B1732" t="s">
        <v>184</v>
      </c>
      <c r="C1732" t="s">
        <v>251</v>
      </c>
      <c r="D1732">
        <v>2022</v>
      </c>
      <c r="E1732" t="s">
        <v>104</v>
      </c>
      <c r="F1732">
        <v>45</v>
      </c>
      <c r="G1732" t="s">
        <v>348</v>
      </c>
      <c r="H1732">
        <f>electric_vehicles_dataset[[#This Row],[Battery_Capacity_kWh]]/electric_vehicles_dataset[[#This Row],[Range_km]]</f>
        <v>0.11968085106382979</v>
      </c>
      <c r="I1732">
        <v>376</v>
      </c>
      <c r="J1732" t="s">
        <v>364</v>
      </c>
      <c r="K1732">
        <v>11</v>
      </c>
      <c r="L1732" s="1">
        <v>86094.97</v>
      </c>
      <c r="M1732" s="1" t="str" cm="1">
        <f t="array" ref="M17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32" t="s">
        <v>146</v>
      </c>
      <c r="O1732" t="s">
        <v>111</v>
      </c>
      <c r="P1732" s="2" t="s">
        <v>389</v>
      </c>
      <c r="Q1732">
        <v>1</v>
      </c>
      <c r="R1732" t="s">
        <v>391</v>
      </c>
      <c r="S1732" s="1">
        <f>electric_vehicles_dataset[[#This Row],[Units_Sold_2024]]*electric_vehicles_dataset[[#This Row],[Price_USD]]</f>
        <v>157381605.16</v>
      </c>
      <c r="T1732">
        <v>3</v>
      </c>
      <c r="U1732">
        <v>1828</v>
      </c>
      <c r="V1732">
        <v>5</v>
      </c>
    </row>
    <row r="1733" spans="1:22" x14ac:dyDescent="0.35">
      <c r="A1733">
        <v>1732</v>
      </c>
      <c r="B1733" t="s">
        <v>241</v>
      </c>
      <c r="C1733" t="s">
        <v>286</v>
      </c>
      <c r="D1733">
        <v>2021</v>
      </c>
      <c r="E1733" t="s">
        <v>26</v>
      </c>
      <c r="F1733">
        <v>29.9</v>
      </c>
      <c r="G1733" t="s">
        <v>357</v>
      </c>
      <c r="H1733">
        <f>electric_vehicles_dataset[[#This Row],[Battery_Capacity_kWh]]/electric_vehicles_dataset[[#This Row],[Range_km]]</f>
        <v>5.329768270944741E-2</v>
      </c>
      <c r="I1733">
        <v>561</v>
      </c>
      <c r="J1733" t="s">
        <v>364</v>
      </c>
      <c r="K1733">
        <v>1</v>
      </c>
      <c r="L1733" s="1">
        <v>53956.08</v>
      </c>
      <c r="M1733" s="1" t="str" cm="1">
        <f t="array" ref="M173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33" t="s">
        <v>28</v>
      </c>
      <c r="O1733" t="s">
        <v>89</v>
      </c>
      <c r="P1733" s="2" t="s">
        <v>389</v>
      </c>
      <c r="Q1733">
        <v>1</v>
      </c>
      <c r="R1733" t="s">
        <v>391</v>
      </c>
      <c r="S1733" s="1">
        <f>electric_vehicles_dataset[[#This Row],[Units_Sold_2024]]*electric_vehicles_dataset[[#This Row],[Price_USD]]</f>
        <v>62265316.32</v>
      </c>
      <c r="T1733">
        <v>3</v>
      </c>
      <c r="U1733">
        <v>1154</v>
      </c>
      <c r="V1733">
        <v>5</v>
      </c>
    </row>
    <row r="1734" spans="1:22" x14ac:dyDescent="0.35">
      <c r="A1734">
        <v>1733</v>
      </c>
      <c r="B1734" t="s">
        <v>120</v>
      </c>
      <c r="C1734" t="s">
        <v>288</v>
      </c>
      <c r="D1734">
        <v>2022</v>
      </c>
      <c r="E1734" t="s">
        <v>42</v>
      </c>
      <c r="F1734">
        <v>112.4</v>
      </c>
      <c r="G1734" t="s">
        <v>361</v>
      </c>
      <c r="H1734">
        <f>electric_vehicles_dataset[[#This Row],[Battery_Capacity_kWh]]/electric_vehicles_dataset[[#This Row],[Range_km]]</f>
        <v>0.35015576323987541</v>
      </c>
      <c r="I1734">
        <v>321</v>
      </c>
      <c r="J1734" t="s">
        <v>358</v>
      </c>
      <c r="K1734">
        <v>7</v>
      </c>
      <c r="L1734" s="1">
        <v>123044.13</v>
      </c>
      <c r="M1734" s="1" t="str" cm="1">
        <f t="array" ref="M173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34" t="s">
        <v>59</v>
      </c>
      <c r="O1734" t="s">
        <v>202</v>
      </c>
      <c r="P1734" s="2" t="s">
        <v>393</v>
      </c>
      <c r="Q1734">
        <v>4</v>
      </c>
      <c r="R1734" t="s">
        <v>392</v>
      </c>
      <c r="S1734" s="1">
        <f>electric_vehicles_dataset[[#This Row],[Units_Sold_2024]]*electric_vehicles_dataset[[#This Row],[Price_USD]]</f>
        <v>263683570.59</v>
      </c>
      <c r="T1734">
        <v>3</v>
      </c>
      <c r="U1734">
        <v>2143</v>
      </c>
      <c r="V1734">
        <v>5</v>
      </c>
    </row>
    <row r="1735" spans="1:22" x14ac:dyDescent="0.35">
      <c r="A1735">
        <v>1734</v>
      </c>
      <c r="B1735" t="s">
        <v>241</v>
      </c>
      <c r="C1735" t="s">
        <v>247</v>
      </c>
      <c r="D1735">
        <v>2018</v>
      </c>
      <c r="E1735" t="s">
        <v>90</v>
      </c>
      <c r="F1735">
        <v>108</v>
      </c>
      <c r="G1735" t="s">
        <v>361</v>
      </c>
      <c r="H1735">
        <f>electric_vehicles_dataset[[#This Row],[Battery_Capacity_kWh]]/electric_vehicles_dataset[[#This Row],[Range_km]]</f>
        <v>0.2049335863377609</v>
      </c>
      <c r="I1735">
        <v>527</v>
      </c>
      <c r="J1735" t="s">
        <v>353</v>
      </c>
      <c r="K1735">
        <v>10</v>
      </c>
      <c r="L1735" s="1">
        <v>66665.25</v>
      </c>
      <c r="M1735" s="1" t="str" cm="1">
        <f t="array" ref="M17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35" t="s">
        <v>49</v>
      </c>
      <c r="O1735" t="s">
        <v>44</v>
      </c>
      <c r="P1735" s="2" t="s">
        <v>389</v>
      </c>
      <c r="Q1735">
        <v>3</v>
      </c>
      <c r="R1735" t="s">
        <v>397</v>
      </c>
      <c r="S1735" s="1">
        <f>electric_vehicles_dataset[[#This Row],[Units_Sold_2024]]*electric_vehicles_dataset[[#This Row],[Price_USD]]</f>
        <v>410257948.5</v>
      </c>
      <c r="T1735">
        <v>5</v>
      </c>
      <c r="U1735">
        <v>6154</v>
      </c>
      <c r="V1735">
        <v>4</v>
      </c>
    </row>
    <row r="1736" spans="1:22" x14ac:dyDescent="0.35">
      <c r="A1736">
        <v>1735</v>
      </c>
      <c r="B1736" t="s">
        <v>125</v>
      </c>
      <c r="C1736" t="s">
        <v>291</v>
      </c>
      <c r="D1736">
        <v>2018</v>
      </c>
      <c r="E1736" t="s">
        <v>183</v>
      </c>
      <c r="F1736">
        <v>59</v>
      </c>
      <c r="G1736" t="s">
        <v>348</v>
      </c>
      <c r="H1736">
        <f>electric_vehicles_dataset[[#This Row],[Battery_Capacity_kWh]]/electric_vehicles_dataset[[#This Row],[Range_km]]</f>
        <v>0.16208791208791209</v>
      </c>
      <c r="I1736">
        <v>364</v>
      </c>
      <c r="J1736" t="s">
        <v>353</v>
      </c>
      <c r="K1736">
        <v>12</v>
      </c>
      <c r="L1736" s="1">
        <v>60882.51</v>
      </c>
      <c r="M1736" s="1" t="str" cm="1">
        <f t="array" ref="M17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36" t="s">
        <v>152</v>
      </c>
      <c r="O1736" t="s">
        <v>33</v>
      </c>
      <c r="P1736" s="2" t="s">
        <v>393</v>
      </c>
      <c r="Q1736">
        <v>3</v>
      </c>
      <c r="R1736" t="s">
        <v>397</v>
      </c>
      <c r="S1736" s="1">
        <f>electric_vehicles_dataset[[#This Row],[Units_Sold_2024]]*electric_vehicles_dataset[[#This Row],[Price_USD]]</f>
        <v>507516603.36000001</v>
      </c>
      <c r="T1736">
        <v>4</v>
      </c>
      <c r="U1736">
        <v>8336</v>
      </c>
      <c r="V1736">
        <v>5</v>
      </c>
    </row>
    <row r="1737" spans="1:22" x14ac:dyDescent="0.35">
      <c r="A1737">
        <v>1736</v>
      </c>
      <c r="B1737" t="s">
        <v>108</v>
      </c>
      <c r="C1737" t="s">
        <v>308</v>
      </c>
      <c r="D1737">
        <v>2021</v>
      </c>
      <c r="E1737" t="s">
        <v>183</v>
      </c>
      <c r="F1737">
        <v>125.1</v>
      </c>
      <c r="G1737" t="s">
        <v>352</v>
      </c>
      <c r="H1737">
        <f>electric_vehicles_dataset[[#This Row],[Battery_Capacity_kWh]]/electric_vehicles_dataset[[#This Row],[Range_km]]</f>
        <v>0.24291262135922329</v>
      </c>
      <c r="I1737">
        <v>515</v>
      </c>
      <c r="J1737" t="s">
        <v>54</v>
      </c>
      <c r="K1737">
        <v>3</v>
      </c>
      <c r="L1737" s="1">
        <v>59890.720000000001</v>
      </c>
      <c r="M1737" s="1" t="str" cm="1">
        <f t="array" ref="M17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37" t="s">
        <v>114</v>
      </c>
      <c r="O1737" t="s">
        <v>86</v>
      </c>
      <c r="P1737" s="2" t="s">
        <v>389</v>
      </c>
      <c r="Q1737">
        <v>4</v>
      </c>
      <c r="R1737" t="s">
        <v>392</v>
      </c>
      <c r="S1737" s="1">
        <f>electric_vehicles_dataset[[#This Row],[Units_Sold_2024]]*electric_vehicles_dataset[[#This Row],[Price_USD]]</f>
        <v>40845471.039999999</v>
      </c>
      <c r="T1737">
        <v>4</v>
      </c>
      <c r="U1737">
        <v>682</v>
      </c>
      <c r="V1737">
        <v>4</v>
      </c>
    </row>
    <row r="1738" spans="1:22" x14ac:dyDescent="0.35">
      <c r="A1738">
        <v>1737</v>
      </c>
      <c r="B1738" t="s">
        <v>122</v>
      </c>
      <c r="C1738" t="s">
        <v>186</v>
      </c>
      <c r="D1738">
        <v>2020</v>
      </c>
      <c r="E1738" t="s">
        <v>26</v>
      </c>
      <c r="F1738">
        <v>128.30000000000001</v>
      </c>
      <c r="G1738" t="s">
        <v>352</v>
      </c>
      <c r="H1738">
        <f>electric_vehicles_dataset[[#This Row],[Battery_Capacity_kWh]]/electric_vehicles_dataset[[#This Row],[Range_km]]</f>
        <v>0.32481012658227854</v>
      </c>
      <c r="I1738">
        <v>395</v>
      </c>
      <c r="J1738" t="s">
        <v>149</v>
      </c>
      <c r="K1738">
        <v>2</v>
      </c>
      <c r="L1738" s="1">
        <v>121094.19</v>
      </c>
      <c r="M1738" s="1" t="str" cm="1">
        <f t="array" ref="M173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38" t="s">
        <v>114</v>
      </c>
      <c r="O1738" t="s">
        <v>121</v>
      </c>
      <c r="P1738" s="2" t="s">
        <v>398</v>
      </c>
      <c r="Q1738">
        <v>2</v>
      </c>
      <c r="R1738" t="s">
        <v>391</v>
      </c>
      <c r="S1738" s="1">
        <f>electric_vehicles_dataset[[#This Row],[Units_Sold_2024]]*electric_vehicles_dataset[[#This Row],[Price_USD]]</f>
        <v>32695431.300000001</v>
      </c>
      <c r="T1738">
        <v>4</v>
      </c>
      <c r="U1738">
        <v>270</v>
      </c>
      <c r="V1738">
        <v>3</v>
      </c>
    </row>
    <row r="1739" spans="1:22" x14ac:dyDescent="0.35">
      <c r="A1739">
        <v>1738</v>
      </c>
      <c r="B1739" t="s">
        <v>261</v>
      </c>
      <c r="C1739" t="s">
        <v>278</v>
      </c>
      <c r="D1739">
        <v>2024</v>
      </c>
      <c r="E1739" t="s">
        <v>26</v>
      </c>
      <c r="F1739">
        <v>144.80000000000001</v>
      </c>
      <c r="G1739" t="s">
        <v>386</v>
      </c>
      <c r="H1739">
        <f>electric_vehicles_dataset[[#This Row],[Battery_Capacity_kWh]]/electric_vehicles_dataset[[#This Row],[Range_km]]</f>
        <v>0.5910204081632654</v>
      </c>
      <c r="I1739">
        <v>245</v>
      </c>
      <c r="J1739" t="s">
        <v>38</v>
      </c>
      <c r="K1739">
        <v>3</v>
      </c>
      <c r="L1739" s="1">
        <v>102112.77</v>
      </c>
      <c r="M1739" s="1" t="str" cm="1">
        <f t="array" ref="M173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39" t="s">
        <v>142</v>
      </c>
      <c r="O1739" t="s">
        <v>226</v>
      </c>
      <c r="P1739" s="2" t="s">
        <v>395</v>
      </c>
      <c r="Q1739">
        <v>0</v>
      </c>
      <c r="R1739" t="s">
        <v>390</v>
      </c>
      <c r="S1739" s="1">
        <f>electric_vehicles_dataset[[#This Row],[Units_Sold_2024]]*electric_vehicles_dataset[[#This Row],[Price_USD]]</f>
        <v>1750008652.26</v>
      </c>
      <c r="T1739">
        <v>5</v>
      </c>
      <c r="U1739">
        <v>17138</v>
      </c>
      <c r="V1739">
        <v>3</v>
      </c>
    </row>
    <row r="1740" spans="1:22" x14ac:dyDescent="0.35">
      <c r="A1740">
        <v>1739</v>
      </c>
      <c r="B1740" t="s">
        <v>79</v>
      </c>
      <c r="C1740" t="s">
        <v>267</v>
      </c>
      <c r="D1740">
        <v>2024</v>
      </c>
      <c r="E1740" t="s">
        <v>183</v>
      </c>
      <c r="F1740">
        <v>96.5</v>
      </c>
      <c r="G1740" t="s">
        <v>350</v>
      </c>
      <c r="H1740">
        <f>electric_vehicles_dataset[[#This Row],[Battery_Capacity_kWh]]/electric_vehicles_dataset[[#This Row],[Range_km]]</f>
        <v>0.40208333333333335</v>
      </c>
      <c r="I1740">
        <v>240</v>
      </c>
      <c r="J1740" t="s">
        <v>18</v>
      </c>
      <c r="K1740">
        <v>7</v>
      </c>
      <c r="L1740" s="1">
        <v>143944.79</v>
      </c>
      <c r="M1740" s="1" t="str" cm="1">
        <f t="array" ref="M17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40" t="s">
        <v>205</v>
      </c>
      <c r="O1740" t="s">
        <v>134</v>
      </c>
      <c r="P1740" s="2" t="s">
        <v>389</v>
      </c>
      <c r="Q1740">
        <v>5</v>
      </c>
      <c r="R1740" t="s">
        <v>392</v>
      </c>
      <c r="S1740" s="1">
        <f>electric_vehicles_dataset[[#This Row],[Units_Sold_2024]]*electric_vehicles_dataset[[#This Row],[Price_USD]]</f>
        <v>1779589438.7700002</v>
      </c>
      <c r="T1740">
        <v>5</v>
      </c>
      <c r="U1740">
        <v>12363</v>
      </c>
      <c r="V1740">
        <v>5</v>
      </c>
    </row>
    <row r="1741" spans="1:22" x14ac:dyDescent="0.35">
      <c r="A1741">
        <v>1740</v>
      </c>
      <c r="B1741" t="s">
        <v>222</v>
      </c>
      <c r="C1741" t="s">
        <v>295</v>
      </c>
      <c r="D1741">
        <v>2022</v>
      </c>
      <c r="E1741" t="s">
        <v>90</v>
      </c>
      <c r="F1741">
        <v>90.1</v>
      </c>
      <c r="G1741" t="s">
        <v>350</v>
      </c>
      <c r="H1741">
        <f>electric_vehicles_dataset[[#This Row],[Battery_Capacity_kWh]]/electric_vehicles_dataset[[#This Row],[Range_km]]</f>
        <v>0.22752525252525252</v>
      </c>
      <c r="I1741">
        <v>396</v>
      </c>
      <c r="J1741" t="s">
        <v>105</v>
      </c>
      <c r="K1741">
        <v>6</v>
      </c>
      <c r="L1741" s="1">
        <v>79029.960000000006</v>
      </c>
      <c r="M1741" s="1" t="str" cm="1">
        <f t="array" ref="M17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41" t="s">
        <v>175</v>
      </c>
      <c r="O1741" t="s">
        <v>40</v>
      </c>
      <c r="P1741" s="2" t="s">
        <v>395</v>
      </c>
      <c r="Q1741">
        <v>5</v>
      </c>
      <c r="R1741" t="s">
        <v>392</v>
      </c>
      <c r="S1741" s="1">
        <f>electric_vehicles_dataset[[#This Row],[Units_Sold_2024]]*electric_vehicles_dataset[[#This Row],[Price_USD]]</f>
        <v>1512949554.24</v>
      </c>
      <c r="T1741">
        <v>4</v>
      </c>
      <c r="U1741">
        <v>19144</v>
      </c>
      <c r="V1741">
        <v>3</v>
      </c>
    </row>
    <row r="1742" spans="1:22" x14ac:dyDescent="0.35">
      <c r="A1742">
        <v>1741</v>
      </c>
      <c r="B1742" t="s">
        <v>200</v>
      </c>
      <c r="C1742" t="s">
        <v>327</v>
      </c>
      <c r="D1742">
        <v>2024</v>
      </c>
      <c r="E1742" t="s">
        <v>130</v>
      </c>
      <c r="F1742">
        <v>138.1</v>
      </c>
      <c r="G1742" t="s">
        <v>352</v>
      </c>
      <c r="H1742">
        <f>electric_vehicles_dataset[[#This Row],[Battery_Capacity_kWh]]/electric_vehicles_dataset[[#This Row],[Range_km]]</f>
        <v>0.97943262411347509</v>
      </c>
      <c r="I1742">
        <v>141</v>
      </c>
      <c r="J1742" t="s">
        <v>76</v>
      </c>
      <c r="K1742">
        <v>12</v>
      </c>
      <c r="L1742" s="1">
        <v>55787.14</v>
      </c>
      <c r="M1742" s="1" t="str" cm="1">
        <f t="array" ref="M174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42" t="s">
        <v>212</v>
      </c>
      <c r="O1742" t="s">
        <v>161</v>
      </c>
      <c r="P1742" s="2" t="s">
        <v>389</v>
      </c>
      <c r="Q1742">
        <v>5</v>
      </c>
      <c r="R1742" t="s">
        <v>392</v>
      </c>
      <c r="S1742" s="1">
        <f>electric_vehicles_dataset[[#This Row],[Units_Sold_2024]]*electric_vehicles_dataset[[#This Row],[Price_USD]]</f>
        <v>716920536.13999999</v>
      </c>
      <c r="T1742">
        <v>4</v>
      </c>
      <c r="U1742">
        <v>12851</v>
      </c>
      <c r="V1742">
        <v>4</v>
      </c>
    </row>
    <row r="1743" spans="1:22" x14ac:dyDescent="0.35">
      <c r="A1743">
        <v>1742</v>
      </c>
      <c r="B1743" t="s">
        <v>243</v>
      </c>
      <c r="C1743" t="s">
        <v>371</v>
      </c>
      <c r="D1743">
        <v>2021</v>
      </c>
      <c r="E1743" t="s">
        <v>17</v>
      </c>
      <c r="F1743">
        <v>62.4</v>
      </c>
      <c r="G1743" t="s">
        <v>351</v>
      </c>
      <c r="H1743">
        <f>electric_vehicles_dataset[[#This Row],[Battery_Capacity_kWh]]/electric_vehicles_dataset[[#This Row],[Range_km]]</f>
        <v>0.14377880184331798</v>
      </c>
      <c r="I1743">
        <v>434</v>
      </c>
      <c r="J1743" t="s">
        <v>38</v>
      </c>
      <c r="K1743">
        <v>1</v>
      </c>
      <c r="L1743" s="1">
        <v>117356.56</v>
      </c>
      <c r="M1743" s="1" t="str" cm="1">
        <f t="array" ref="M174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43" t="s">
        <v>196</v>
      </c>
      <c r="O1743" t="s">
        <v>135</v>
      </c>
      <c r="P1743" s="2" t="s">
        <v>389</v>
      </c>
      <c r="Q1743">
        <v>3</v>
      </c>
      <c r="R1743" t="s">
        <v>397</v>
      </c>
      <c r="S1743" s="1">
        <f>electric_vehicles_dataset[[#This Row],[Units_Sold_2024]]*electric_vehicles_dataset[[#This Row],[Price_USD]]</f>
        <v>694868191.75999999</v>
      </c>
      <c r="T1743">
        <v>5</v>
      </c>
      <c r="U1743">
        <v>5921</v>
      </c>
      <c r="V1743">
        <v>3</v>
      </c>
    </row>
    <row r="1744" spans="1:22" x14ac:dyDescent="0.35">
      <c r="A1744">
        <v>1743</v>
      </c>
      <c r="B1744" t="s">
        <v>176</v>
      </c>
      <c r="C1744" t="s">
        <v>326</v>
      </c>
      <c r="D1744">
        <v>2020</v>
      </c>
      <c r="E1744" t="s">
        <v>90</v>
      </c>
      <c r="F1744">
        <v>135.4</v>
      </c>
      <c r="G1744" t="s">
        <v>352</v>
      </c>
      <c r="H1744">
        <f>electric_vehicles_dataset[[#This Row],[Battery_Capacity_kWh]]/electric_vehicles_dataset[[#This Row],[Range_km]]</f>
        <v>0.42049689440993793</v>
      </c>
      <c r="I1744">
        <v>322</v>
      </c>
      <c r="J1744" t="s">
        <v>38</v>
      </c>
      <c r="K1744">
        <v>1</v>
      </c>
      <c r="L1744" s="1">
        <v>147168.59</v>
      </c>
      <c r="M1744" s="1" t="str" cm="1">
        <f t="array" ref="M17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44" t="s">
        <v>49</v>
      </c>
      <c r="O1744" t="s">
        <v>89</v>
      </c>
      <c r="P1744" s="2" t="s">
        <v>389</v>
      </c>
      <c r="Q1744">
        <v>0</v>
      </c>
      <c r="R1744" t="s">
        <v>390</v>
      </c>
      <c r="S1744" s="1">
        <f>electric_vehicles_dataset[[#This Row],[Units_Sold_2024]]*electric_vehicles_dataset[[#This Row],[Price_USD]]</f>
        <v>2780603339.46</v>
      </c>
      <c r="T1744">
        <v>4</v>
      </c>
      <c r="U1744">
        <v>18894</v>
      </c>
      <c r="V1744">
        <v>3</v>
      </c>
    </row>
    <row r="1745" spans="1:22" x14ac:dyDescent="0.35">
      <c r="A1745">
        <v>1744</v>
      </c>
      <c r="B1745" t="s">
        <v>262</v>
      </c>
      <c r="C1745" t="s">
        <v>373</v>
      </c>
      <c r="D1745">
        <v>2019</v>
      </c>
      <c r="E1745" t="s">
        <v>84</v>
      </c>
      <c r="F1745">
        <v>37.6</v>
      </c>
      <c r="G1745" t="s">
        <v>357</v>
      </c>
      <c r="H1745">
        <f>electric_vehicles_dataset[[#This Row],[Battery_Capacity_kWh]]/electric_vehicles_dataset[[#This Row],[Range_km]]</f>
        <v>8.1034482758620699E-2</v>
      </c>
      <c r="I1745">
        <v>464</v>
      </c>
      <c r="J1745" t="s">
        <v>105</v>
      </c>
      <c r="K1745">
        <v>11</v>
      </c>
      <c r="L1745" s="1">
        <v>125448.57</v>
      </c>
      <c r="M1745" s="1" t="str" cm="1">
        <f t="array" ref="M17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45" t="s">
        <v>196</v>
      </c>
      <c r="O1745" t="s">
        <v>92</v>
      </c>
      <c r="P1745" s="2" t="s">
        <v>394</v>
      </c>
      <c r="Q1745">
        <v>5</v>
      </c>
      <c r="R1745" t="s">
        <v>392</v>
      </c>
      <c r="S1745" s="1">
        <f>electric_vehicles_dataset[[#This Row],[Units_Sold_2024]]*electric_vehicles_dataset[[#This Row],[Price_USD]]</f>
        <v>1832050916.2800002</v>
      </c>
      <c r="T1745">
        <v>4</v>
      </c>
      <c r="U1745">
        <v>14604</v>
      </c>
      <c r="V1745">
        <v>3</v>
      </c>
    </row>
    <row r="1746" spans="1:22" x14ac:dyDescent="0.35">
      <c r="A1746">
        <v>1745</v>
      </c>
      <c r="B1746" t="s">
        <v>234</v>
      </c>
      <c r="C1746" t="s">
        <v>235</v>
      </c>
      <c r="D1746">
        <v>2017</v>
      </c>
      <c r="E1746" t="s">
        <v>104</v>
      </c>
      <c r="F1746">
        <v>27.2</v>
      </c>
      <c r="G1746" t="s">
        <v>357</v>
      </c>
      <c r="H1746">
        <f>electric_vehicles_dataset[[#This Row],[Battery_Capacity_kWh]]/electric_vehicles_dataset[[#This Row],[Range_km]]</f>
        <v>5.0277264325323472E-2</v>
      </c>
      <c r="I1746">
        <v>541</v>
      </c>
      <c r="J1746" t="s">
        <v>353</v>
      </c>
      <c r="K1746">
        <v>7</v>
      </c>
      <c r="L1746" s="1">
        <v>134555.19</v>
      </c>
      <c r="M1746" s="1" t="str" cm="1">
        <f t="array" ref="M174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46" t="s">
        <v>214</v>
      </c>
      <c r="O1746" t="s">
        <v>199</v>
      </c>
      <c r="P1746" s="2" t="s">
        <v>394</v>
      </c>
      <c r="Q1746">
        <v>3</v>
      </c>
      <c r="R1746" t="s">
        <v>397</v>
      </c>
      <c r="S1746" s="1">
        <f>electric_vehicles_dataset[[#This Row],[Units_Sold_2024]]*electric_vehicles_dataset[[#This Row],[Price_USD]]</f>
        <v>1813265740.4400001</v>
      </c>
      <c r="T1746">
        <v>3</v>
      </c>
      <c r="U1746">
        <v>13476</v>
      </c>
      <c r="V1746">
        <v>3</v>
      </c>
    </row>
    <row r="1747" spans="1:22" x14ac:dyDescent="0.35">
      <c r="A1747">
        <v>1746</v>
      </c>
      <c r="B1747" t="s">
        <v>207</v>
      </c>
      <c r="C1747" t="s">
        <v>208</v>
      </c>
      <c r="D1747">
        <v>2019</v>
      </c>
      <c r="E1747" t="s">
        <v>90</v>
      </c>
      <c r="F1747">
        <v>51.8</v>
      </c>
      <c r="G1747" t="s">
        <v>348</v>
      </c>
      <c r="H1747">
        <f>electric_vehicles_dataset[[#This Row],[Battery_Capacity_kWh]]/electric_vehicles_dataset[[#This Row],[Range_km]]</f>
        <v>0.1072463768115942</v>
      </c>
      <c r="I1747">
        <v>483</v>
      </c>
      <c r="J1747" t="s">
        <v>358</v>
      </c>
      <c r="K1747">
        <v>10</v>
      </c>
      <c r="L1747" s="1">
        <v>134180.69</v>
      </c>
      <c r="M1747" s="1" t="str" cm="1">
        <f t="array" ref="M174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47" t="s">
        <v>117</v>
      </c>
      <c r="O1747" t="s">
        <v>110</v>
      </c>
      <c r="P1747" s="2" t="s">
        <v>394</v>
      </c>
      <c r="Q1747">
        <v>4</v>
      </c>
      <c r="R1747" t="s">
        <v>392</v>
      </c>
      <c r="S1747" s="1">
        <f>electric_vehicles_dataset[[#This Row],[Units_Sold_2024]]*electric_vehicles_dataset[[#This Row],[Price_USD]]</f>
        <v>371814691.99000001</v>
      </c>
      <c r="T1747">
        <v>4</v>
      </c>
      <c r="U1747">
        <v>2771</v>
      </c>
      <c r="V1747">
        <v>3</v>
      </c>
    </row>
    <row r="1748" spans="1:22" x14ac:dyDescent="0.35">
      <c r="A1748">
        <v>1747</v>
      </c>
      <c r="B1748" t="s">
        <v>193</v>
      </c>
      <c r="C1748" t="s">
        <v>194</v>
      </c>
      <c r="D1748">
        <v>2017</v>
      </c>
      <c r="E1748" t="s">
        <v>130</v>
      </c>
      <c r="F1748">
        <v>91.4</v>
      </c>
      <c r="G1748" t="s">
        <v>350</v>
      </c>
      <c r="H1748">
        <f>electric_vehicles_dataset[[#This Row],[Battery_Capacity_kWh]]/electric_vehicles_dataset[[#This Row],[Range_km]]</f>
        <v>0.31194539249146758</v>
      </c>
      <c r="I1748">
        <v>293</v>
      </c>
      <c r="J1748" t="s">
        <v>38</v>
      </c>
      <c r="K1748">
        <v>2</v>
      </c>
      <c r="L1748" s="1">
        <v>126781.5</v>
      </c>
      <c r="M1748" s="1" t="str" cm="1">
        <f t="array" ref="M174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48" t="s">
        <v>39</v>
      </c>
      <c r="O1748" t="s">
        <v>124</v>
      </c>
      <c r="P1748" s="2" t="s">
        <v>389</v>
      </c>
      <c r="Q1748">
        <v>4</v>
      </c>
      <c r="R1748" t="s">
        <v>392</v>
      </c>
      <c r="S1748" s="1">
        <f>electric_vehicles_dataset[[#This Row],[Units_Sold_2024]]*electric_vehicles_dataset[[#This Row],[Price_USD]]</f>
        <v>612354645</v>
      </c>
      <c r="T1748">
        <v>4</v>
      </c>
      <c r="U1748">
        <v>4830</v>
      </c>
      <c r="V1748">
        <v>5</v>
      </c>
    </row>
    <row r="1749" spans="1:22" x14ac:dyDescent="0.35">
      <c r="A1749">
        <v>1748</v>
      </c>
      <c r="B1749" t="s">
        <v>262</v>
      </c>
      <c r="C1749" t="s">
        <v>373</v>
      </c>
      <c r="D1749">
        <v>2020</v>
      </c>
      <c r="E1749" t="s">
        <v>47</v>
      </c>
      <c r="F1749">
        <v>68.900000000000006</v>
      </c>
      <c r="G1749" t="s">
        <v>351</v>
      </c>
      <c r="H1749">
        <f>electric_vehicles_dataset[[#This Row],[Battery_Capacity_kWh]]/electric_vehicles_dataset[[#This Row],[Range_km]]</f>
        <v>0.20087463556851315</v>
      </c>
      <c r="I1749">
        <v>343</v>
      </c>
      <c r="J1749" t="s">
        <v>27</v>
      </c>
      <c r="K1749">
        <v>11</v>
      </c>
      <c r="L1749" s="1">
        <v>76474.95</v>
      </c>
      <c r="M1749" s="1" t="str" cm="1">
        <f t="array" ref="M174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49" t="s">
        <v>70</v>
      </c>
      <c r="O1749" t="s">
        <v>44</v>
      </c>
      <c r="P1749" s="2" t="s">
        <v>389</v>
      </c>
      <c r="Q1749">
        <v>4</v>
      </c>
      <c r="R1749" t="s">
        <v>392</v>
      </c>
      <c r="S1749" s="1">
        <f>electric_vehicles_dataset[[#This Row],[Units_Sold_2024]]*electric_vehicles_dataset[[#This Row],[Price_USD]]</f>
        <v>761843451.89999998</v>
      </c>
      <c r="T1749">
        <v>4</v>
      </c>
      <c r="U1749">
        <v>9962</v>
      </c>
      <c r="V1749">
        <v>5</v>
      </c>
    </row>
    <row r="1750" spans="1:22" x14ac:dyDescent="0.35">
      <c r="A1750">
        <v>1749</v>
      </c>
      <c r="B1750" t="s">
        <v>176</v>
      </c>
      <c r="C1750" t="s">
        <v>326</v>
      </c>
      <c r="D1750">
        <v>2025</v>
      </c>
      <c r="E1750" t="s">
        <v>90</v>
      </c>
      <c r="F1750">
        <v>53.6</v>
      </c>
      <c r="G1750" t="s">
        <v>348</v>
      </c>
      <c r="H1750">
        <f>electric_vehicles_dataset[[#This Row],[Battery_Capacity_kWh]]/electric_vehicles_dataset[[#This Row],[Range_km]]</f>
        <v>0.1488888888888889</v>
      </c>
      <c r="I1750">
        <v>360</v>
      </c>
      <c r="J1750" t="s">
        <v>34</v>
      </c>
      <c r="K1750">
        <v>9</v>
      </c>
      <c r="L1750" s="1">
        <v>116247.7</v>
      </c>
      <c r="M1750" s="1" t="str" cm="1">
        <f t="array" ref="M175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50" t="s">
        <v>102</v>
      </c>
      <c r="O1750" t="s">
        <v>93</v>
      </c>
      <c r="P1750" s="2" t="s">
        <v>389</v>
      </c>
      <c r="Q1750">
        <v>5</v>
      </c>
      <c r="R1750" t="s">
        <v>392</v>
      </c>
      <c r="S1750" s="1">
        <f>electric_vehicles_dataset[[#This Row],[Units_Sold_2024]]*electric_vehicles_dataset[[#This Row],[Price_USD]]</f>
        <v>1675013109.3</v>
      </c>
      <c r="T1750">
        <v>4</v>
      </c>
      <c r="U1750">
        <v>14409</v>
      </c>
      <c r="V1750">
        <v>5</v>
      </c>
    </row>
    <row r="1751" spans="1:22" x14ac:dyDescent="0.35">
      <c r="A1751">
        <v>1750</v>
      </c>
      <c r="B1751" t="s">
        <v>125</v>
      </c>
      <c r="C1751" t="s">
        <v>276</v>
      </c>
      <c r="D1751">
        <v>2022</v>
      </c>
      <c r="E1751" t="s">
        <v>17</v>
      </c>
      <c r="F1751">
        <v>129.5</v>
      </c>
      <c r="G1751" t="s">
        <v>352</v>
      </c>
      <c r="H1751">
        <f>electric_vehicles_dataset[[#This Row],[Battery_Capacity_kWh]]/electric_vehicles_dataset[[#This Row],[Range_km]]</f>
        <v>0.23083778966131907</v>
      </c>
      <c r="I1751">
        <v>561</v>
      </c>
      <c r="J1751" t="s">
        <v>27</v>
      </c>
      <c r="K1751">
        <v>6</v>
      </c>
      <c r="L1751" s="1">
        <v>56380.9</v>
      </c>
      <c r="M1751" s="1" t="str" cm="1">
        <f t="array" ref="M175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51" t="s">
        <v>43</v>
      </c>
      <c r="O1751" t="s">
        <v>236</v>
      </c>
      <c r="P1751" s="2" t="s">
        <v>394</v>
      </c>
      <c r="Q1751">
        <v>2</v>
      </c>
      <c r="R1751" t="s">
        <v>391</v>
      </c>
      <c r="S1751" s="1">
        <f>electric_vehicles_dataset[[#This Row],[Units_Sold_2024]]*electric_vehicles_dataset[[#This Row],[Price_USD]]</f>
        <v>763848433.20000005</v>
      </c>
      <c r="T1751">
        <v>3</v>
      </c>
      <c r="U1751">
        <v>13548</v>
      </c>
      <c r="V1751">
        <v>3</v>
      </c>
    </row>
    <row r="1752" spans="1:22" x14ac:dyDescent="0.35">
      <c r="A1752">
        <v>1751</v>
      </c>
      <c r="B1752" t="s">
        <v>24</v>
      </c>
      <c r="C1752" t="s">
        <v>341</v>
      </c>
      <c r="D1752">
        <v>2021</v>
      </c>
      <c r="E1752" t="s">
        <v>130</v>
      </c>
      <c r="F1752">
        <v>90</v>
      </c>
      <c r="G1752" t="s">
        <v>350</v>
      </c>
      <c r="H1752">
        <f>electric_vehicles_dataset[[#This Row],[Battery_Capacity_kWh]]/electric_vehicles_dataset[[#This Row],[Range_km]]</f>
        <v>0.19736842105263158</v>
      </c>
      <c r="I1752">
        <v>456</v>
      </c>
      <c r="J1752" t="s">
        <v>27</v>
      </c>
      <c r="K1752">
        <v>6</v>
      </c>
      <c r="L1752" s="1">
        <v>138207.46</v>
      </c>
      <c r="M1752" s="1" t="str" cm="1">
        <f t="array" ref="M175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52" t="s">
        <v>114</v>
      </c>
      <c r="O1752" t="s">
        <v>139</v>
      </c>
      <c r="P1752" s="2" t="s">
        <v>389</v>
      </c>
      <c r="Q1752">
        <v>3</v>
      </c>
      <c r="R1752" t="s">
        <v>397</v>
      </c>
      <c r="S1752" s="1">
        <f>electric_vehicles_dataset[[#This Row],[Units_Sold_2024]]*electric_vehicles_dataset[[#This Row],[Price_USD]]</f>
        <v>1234607240.1799998</v>
      </c>
      <c r="T1752">
        <v>4</v>
      </c>
      <c r="U1752">
        <v>8933</v>
      </c>
      <c r="V1752">
        <v>5</v>
      </c>
    </row>
    <row r="1753" spans="1:22" x14ac:dyDescent="0.35">
      <c r="A1753">
        <v>1752</v>
      </c>
      <c r="B1753" t="s">
        <v>176</v>
      </c>
      <c r="C1753" t="s">
        <v>326</v>
      </c>
      <c r="D1753">
        <v>2019</v>
      </c>
      <c r="E1753" t="s">
        <v>26</v>
      </c>
      <c r="F1753">
        <v>85.3</v>
      </c>
      <c r="G1753" t="s">
        <v>350</v>
      </c>
      <c r="H1753">
        <f>electric_vehicles_dataset[[#This Row],[Battery_Capacity_kWh]]/electric_vehicles_dataset[[#This Row],[Range_km]]</f>
        <v>0.31476014760147603</v>
      </c>
      <c r="I1753">
        <v>271</v>
      </c>
      <c r="J1753" t="s">
        <v>18</v>
      </c>
      <c r="K1753">
        <v>7</v>
      </c>
      <c r="L1753" s="1">
        <v>131813</v>
      </c>
      <c r="M1753" s="1" t="str" cm="1">
        <f t="array" ref="M17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53" t="s">
        <v>172</v>
      </c>
      <c r="O1753" t="s">
        <v>40</v>
      </c>
      <c r="P1753" s="2" t="s">
        <v>395</v>
      </c>
      <c r="Q1753">
        <v>0</v>
      </c>
      <c r="R1753" t="s">
        <v>390</v>
      </c>
      <c r="S1753" s="1">
        <f>electric_vehicles_dataset[[#This Row],[Units_Sold_2024]]*electric_vehicles_dataset[[#This Row],[Price_USD]]</f>
        <v>1681406628</v>
      </c>
      <c r="T1753">
        <v>4</v>
      </c>
      <c r="U1753">
        <v>12756</v>
      </c>
      <c r="V1753">
        <v>4</v>
      </c>
    </row>
    <row r="1754" spans="1:22" x14ac:dyDescent="0.35">
      <c r="A1754">
        <v>1753</v>
      </c>
      <c r="B1754" t="s">
        <v>125</v>
      </c>
      <c r="C1754" t="s">
        <v>126</v>
      </c>
      <c r="D1754">
        <v>2019</v>
      </c>
      <c r="E1754" t="s">
        <v>84</v>
      </c>
      <c r="F1754">
        <v>54.5</v>
      </c>
      <c r="G1754" t="s">
        <v>348</v>
      </c>
      <c r="H1754">
        <f>electric_vehicles_dataset[[#This Row],[Battery_Capacity_kWh]]/electric_vehicles_dataset[[#This Row],[Range_km]]</f>
        <v>0.30965909090909088</v>
      </c>
      <c r="I1754">
        <v>176</v>
      </c>
      <c r="J1754" t="s">
        <v>76</v>
      </c>
      <c r="K1754">
        <v>12</v>
      </c>
      <c r="L1754" s="1">
        <v>87602.22</v>
      </c>
      <c r="M1754" s="1" t="str" cm="1">
        <f t="array" ref="M175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54" t="s">
        <v>32</v>
      </c>
      <c r="O1754" t="s">
        <v>202</v>
      </c>
      <c r="P1754" s="2" t="s">
        <v>393</v>
      </c>
      <c r="Q1754">
        <v>0</v>
      </c>
      <c r="R1754" t="s">
        <v>390</v>
      </c>
      <c r="S1754" s="1">
        <f>electric_vehicles_dataset[[#This Row],[Units_Sold_2024]]*electric_vehicles_dataset[[#This Row],[Price_USD]]</f>
        <v>253345620.24000001</v>
      </c>
      <c r="T1754">
        <v>4</v>
      </c>
      <c r="U1754">
        <v>2892</v>
      </c>
      <c r="V1754">
        <v>3</v>
      </c>
    </row>
    <row r="1755" spans="1:22" x14ac:dyDescent="0.35">
      <c r="A1755">
        <v>1754</v>
      </c>
      <c r="B1755" t="s">
        <v>56</v>
      </c>
      <c r="C1755" t="s">
        <v>57</v>
      </c>
      <c r="D1755">
        <v>2018</v>
      </c>
      <c r="E1755" t="s">
        <v>73</v>
      </c>
      <c r="F1755">
        <v>121</v>
      </c>
      <c r="G1755" t="s">
        <v>352</v>
      </c>
      <c r="H1755">
        <f>electric_vehicles_dataset[[#This Row],[Battery_Capacity_kWh]]/electric_vehicles_dataset[[#This Row],[Range_km]]</f>
        <v>0.93076923076923079</v>
      </c>
      <c r="I1755">
        <v>130</v>
      </c>
      <c r="J1755" t="s">
        <v>27</v>
      </c>
      <c r="K1755">
        <v>10</v>
      </c>
      <c r="L1755" s="1">
        <v>107201.97</v>
      </c>
      <c r="M1755" s="1" t="str" cm="1">
        <f t="array" ref="M175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55" t="s">
        <v>210</v>
      </c>
      <c r="O1755" t="s">
        <v>182</v>
      </c>
      <c r="P1755" s="2" t="s">
        <v>394</v>
      </c>
      <c r="Q1755">
        <v>5</v>
      </c>
      <c r="R1755" t="s">
        <v>392</v>
      </c>
      <c r="S1755" s="1">
        <f>electric_vehicles_dataset[[#This Row],[Units_Sold_2024]]*electric_vehicles_dataset[[#This Row],[Price_USD]]</f>
        <v>1254263049</v>
      </c>
      <c r="T1755">
        <v>4</v>
      </c>
      <c r="U1755">
        <v>11700</v>
      </c>
      <c r="V1755">
        <v>5</v>
      </c>
    </row>
    <row r="1756" spans="1:22" x14ac:dyDescent="0.35">
      <c r="A1756">
        <v>1755</v>
      </c>
      <c r="B1756" t="s">
        <v>140</v>
      </c>
      <c r="C1756" t="s">
        <v>227</v>
      </c>
      <c r="D1756">
        <v>2018</v>
      </c>
      <c r="E1756" t="s">
        <v>17</v>
      </c>
      <c r="F1756">
        <v>57.8</v>
      </c>
      <c r="G1756" t="s">
        <v>348</v>
      </c>
      <c r="H1756">
        <f>electric_vehicles_dataset[[#This Row],[Battery_Capacity_kWh]]/electric_vehicles_dataset[[#This Row],[Range_km]]</f>
        <v>0.24700854700854699</v>
      </c>
      <c r="I1756">
        <v>234</v>
      </c>
      <c r="J1756" t="s">
        <v>38</v>
      </c>
      <c r="K1756">
        <v>3</v>
      </c>
      <c r="L1756" s="1">
        <v>147982.91</v>
      </c>
      <c r="M1756" s="1" t="str" cm="1">
        <f t="array" ref="M175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56" t="s">
        <v>271</v>
      </c>
      <c r="O1756" t="s">
        <v>50</v>
      </c>
      <c r="P1756" s="2" t="s">
        <v>396</v>
      </c>
      <c r="Q1756">
        <v>3</v>
      </c>
      <c r="R1756" t="s">
        <v>397</v>
      </c>
      <c r="S1756" s="1">
        <f>electric_vehicles_dataset[[#This Row],[Units_Sold_2024]]*electric_vehicles_dataset[[#This Row],[Price_USD]]</f>
        <v>971063855.42000008</v>
      </c>
      <c r="T1756">
        <v>3</v>
      </c>
      <c r="U1756">
        <v>6562</v>
      </c>
      <c r="V1756">
        <v>5</v>
      </c>
    </row>
    <row r="1757" spans="1:22" x14ac:dyDescent="0.35">
      <c r="A1757">
        <v>1756</v>
      </c>
      <c r="B1757" t="s">
        <v>60</v>
      </c>
      <c r="C1757" t="s">
        <v>209</v>
      </c>
      <c r="D1757">
        <v>2021</v>
      </c>
      <c r="E1757" t="s">
        <v>84</v>
      </c>
      <c r="F1757">
        <v>102.1</v>
      </c>
      <c r="G1757" t="s">
        <v>361</v>
      </c>
      <c r="H1757">
        <f>electric_vehicles_dataset[[#This Row],[Battery_Capacity_kWh]]/electric_vehicles_dataset[[#This Row],[Range_km]]</f>
        <v>0.17975352112676055</v>
      </c>
      <c r="I1757">
        <v>568</v>
      </c>
      <c r="J1757" t="s">
        <v>76</v>
      </c>
      <c r="K1757">
        <v>10</v>
      </c>
      <c r="L1757" s="1">
        <v>34418.300000000003</v>
      </c>
      <c r="M1757" s="1" t="str" cm="1">
        <f t="array" ref="M175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57" t="s">
        <v>32</v>
      </c>
      <c r="O1757" t="s">
        <v>135</v>
      </c>
      <c r="P1757" s="2" t="s">
        <v>389</v>
      </c>
      <c r="Q1757">
        <v>4</v>
      </c>
      <c r="R1757" t="s">
        <v>392</v>
      </c>
      <c r="S1757" s="1">
        <f>electric_vehicles_dataset[[#This Row],[Units_Sold_2024]]*electric_vehicles_dataset[[#This Row],[Price_USD]]</f>
        <v>276895223.5</v>
      </c>
      <c r="T1757">
        <v>4</v>
      </c>
      <c r="U1757">
        <v>8045</v>
      </c>
      <c r="V1757">
        <v>4</v>
      </c>
    </row>
    <row r="1758" spans="1:22" x14ac:dyDescent="0.35">
      <c r="A1758">
        <v>1757</v>
      </c>
      <c r="B1758" t="s">
        <v>41</v>
      </c>
      <c r="C1758" t="s">
        <v>148</v>
      </c>
      <c r="D1758">
        <v>2021</v>
      </c>
      <c r="E1758" t="s">
        <v>58</v>
      </c>
      <c r="F1758">
        <v>30.2</v>
      </c>
      <c r="G1758" t="s">
        <v>357</v>
      </c>
      <c r="H1758">
        <f>electric_vehicles_dataset[[#This Row],[Battery_Capacity_kWh]]/electric_vehicles_dataset[[#This Row],[Range_km]]</f>
        <v>6.6814159292035394E-2</v>
      </c>
      <c r="I1758">
        <v>452</v>
      </c>
      <c r="J1758" t="s">
        <v>34</v>
      </c>
      <c r="K1758">
        <v>10</v>
      </c>
      <c r="L1758" s="1">
        <v>149234.21</v>
      </c>
      <c r="M1758" s="1" t="str" cm="1">
        <f t="array" ref="M175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58" t="s">
        <v>143</v>
      </c>
      <c r="O1758" t="s">
        <v>354</v>
      </c>
      <c r="P1758" s="2" t="s">
        <v>394</v>
      </c>
      <c r="Q1758">
        <v>4</v>
      </c>
      <c r="R1758" t="s">
        <v>392</v>
      </c>
      <c r="S1758" s="1">
        <f>electric_vehicles_dataset[[#This Row],[Units_Sold_2024]]*electric_vehicles_dataset[[#This Row],[Price_USD]]</f>
        <v>2189862797.54</v>
      </c>
      <c r="T1758">
        <v>5</v>
      </c>
      <c r="U1758">
        <v>14674</v>
      </c>
      <c r="V1758">
        <v>4</v>
      </c>
    </row>
    <row r="1759" spans="1:22" x14ac:dyDescent="0.35">
      <c r="A1759">
        <v>1758</v>
      </c>
      <c r="B1759" t="s">
        <v>36</v>
      </c>
      <c r="C1759" t="s">
        <v>211</v>
      </c>
      <c r="D1759">
        <v>2016</v>
      </c>
      <c r="E1759" t="s">
        <v>133</v>
      </c>
      <c r="F1759">
        <v>114.9</v>
      </c>
      <c r="G1759" t="s">
        <v>361</v>
      </c>
      <c r="H1759">
        <f>electric_vehicles_dataset[[#This Row],[Battery_Capacity_kWh]]/electric_vehicles_dataset[[#This Row],[Range_km]]</f>
        <v>0.33794117647058824</v>
      </c>
      <c r="I1759">
        <v>340</v>
      </c>
      <c r="J1759" t="s">
        <v>345</v>
      </c>
      <c r="K1759">
        <v>5</v>
      </c>
      <c r="L1759" s="1">
        <v>41161.129999999997</v>
      </c>
      <c r="M1759" s="1" t="str" cm="1">
        <f t="array" ref="M175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59" t="s">
        <v>39</v>
      </c>
      <c r="O1759" t="s">
        <v>169</v>
      </c>
      <c r="P1759" s="2" t="s">
        <v>394</v>
      </c>
      <c r="Q1759">
        <v>5</v>
      </c>
      <c r="R1759" t="s">
        <v>392</v>
      </c>
      <c r="S1759" s="1">
        <f>electric_vehicles_dataset[[#This Row],[Units_Sold_2024]]*electric_vehicles_dataset[[#This Row],[Price_USD]]</f>
        <v>787041966.7299999</v>
      </c>
      <c r="T1759">
        <v>5</v>
      </c>
      <c r="U1759">
        <v>19121</v>
      </c>
      <c r="V1759">
        <v>4</v>
      </c>
    </row>
    <row r="1760" spans="1:22" x14ac:dyDescent="0.35">
      <c r="A1760">
        <v>1759</v>
      </c>
      <c r="B1760" t="s">
        <v>36</v>
      </c>
      <c r="C1760" t="s">
        <v>211</v>
      </c>
      <c r="D1760">
        <v>2023</v>
      </c>
      <c r="E1760" t="s">
        <v>53</v>
      </c>
      <c r="F1760">
        <v>39.1</v>
      </c>
      <c r="G1760" t="s">
        <v>357</v>
      </c>
      <c r="H1760">
        <f>electric_vehicles_dataset[[#This Row],[Battery_Capacity_kWh]]/electric_vehicles_dataset[[#This Row],[Range_km]]</f>
        <v>9.4444444444444442E-2</v>
      </c>
      <c r="I1760">
        <v>414</v>
      </c>
      <c r="J1760" t="s">
        <v>76</v>
      </c>
      <c r="K1760">
        <v>9</v>
      </c>
      <c r="L1760" s="1">
        <v>115441.78</v>
      </c>
      <c r="M1760" s="1" t="str" cm="1">
        <f t="array" ref="M176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60" t="s">
        <v>165</v>
      </c>
      <c r="O1760" t="s">
        <v>164</v>
      </c>
      <c r="P1760" s="2" t="s">
        <v>394</v>
      </c>
      <c r="Q1760">
        <v>4</v>
      </c>
      <c r="R1760" t="s">
        <v>392</v>
      </c>
      <c r="S1760" s="1">
        <f>electric_vehicles_dataset[[#This Row],[Units_Sold_2024]]*electric_vehicles_dataset[[#This Row],[Price_USD]]</f>
        <v>256396193.38</v>
      </c>
      <c r="T1760">
        <v>4</v>
      </c>
      <c r="U1760">
        <v>2221</v>
      </c>
      <c r="V1760">
        <v>4</v>
      </c>
    </row>
    <row r="1761" spans="1:22" x14ac:dyDescent="0.35">
      <c r="A1761">
        <v>1760</v>
      </c>
      <c r="B1761" t="s">
        <v>215</v>
      </c>
      <c r="C1761" t="s">
        <v>216</v>
      </c>
      <c r="D1761">
        <v>2018</v>
      </c>
      <c r="E1761" t="s">
        <v>17</v>
      </c>
      <c r="F1761">
        <v>50.1</v>
      </c>
      <c r="G1761" t="s">
        <v>348</v>
      </c>
      <c r="H1761">
        <f>electric_vehicles_dataset[[#This Row],[Battery_Capacity_kWh]]/electric_vehicles_dataset[[#This Row],[Range_km]]</f>
        <v>0.10591966173361522</v>
      </c>
      <c r="I1761">
        <v>473</v>
      </c>
      <c r="J1761" t="s">
        <v>85</v>
      </c>
      <c r="K1761">
        <v>7</v>
      </c>
      <c r="L1761" s="1">
        <v>52312.3</v>
      </c>
      <c r="M1761" s="1" t="str" cm="1">
        <f t="array" ref="M176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61" t="s">
        <v>196</v>
      </c>
      <c r="O1761" t="s">
        <v>265</v>
      </c>
      <c r="P1761" s="2" t="s">
        <v>389</v>
      </c>
      <c r="Q1761">
        <v>2</v>
      </c>
      <c r="R1761" t="s">
        <v>391</v>
      </c>
      <c r="S1761" s="1">
        <f>electric_vehicles_dataset[[#This Row],[Units_Sold_2024]]*electric_vehicles_dataset[[#This Row],[Price_USD]]</f>
        <v>917086931.30000007</v>
      </c>
      <c r="T1761">
        <v>3</v>
      </c>
      <c r="U1761">
        <v>17531</v>
      </c>
      <c r="V1761">
        <v>4</v>
      </c>
    </row>
    <row r="1762" spans="1:22" x14ac:dyDescent="0.35">
      <c r="A1762">
        <v>1761</v>
      </c>
      <c r="B1762" t="s">
        <v>120</v>
      </c>
      <c r="C1762" t="s">
        <v>288</v>
      </c>
      <c r="D1762">
        <v>2016</v>
      </c>
      <c r="E1762" t="s">
        <v>133</v>
      </c>
      <c r="F1762">
        <v>27.1</v>
      </c>
      <c r="G1762" t="s">
        <v>357</v>
      </c>
      <c r="H1762">
        <f>electric_vehicles_dataset[[#This Row],[Battery_Capacity_kWh]]/electric_vehicles_dataset[[#This Row],[Range_km]]</f>
        <v>0.20223880597014926</v>
      </c>
      <c r="I1762">
        <v>134</v>
      </c>
      <c r="J1762" t="s">
        <v>359</v>
      </c>
      <c r="K1762">
        <v>11</v>
      </c>
      <c r="L1762" s="1">
        <v>93832.09</v>
      </c>
      <c r="M1762" s="1" t="str" cm="1">
        <f t="array" ref="M17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62" t="s">
        <v>28</v>
      </c>
      <c r="O1762" t="s">
        <v>95</v>
      </c>
      <c r="P1762" s="2" t="s">
        <v>394</v>
      </c>
      <c r="Q1762">
        <v>2</v>
      </c>
      <c r="R1762" t="s">
        <v>391</v>
      </c>
      <c r="S1762" s="1">
        <f>electric_vehicles_dataset[[#This Row],[Units_Sold_2024]]*electric_vehicles_dataset[[#This Row],[Price_USD]]</f>
        <v>1816401598.22</v>
      </c>
      <c r="T1762">
        <v>5</v>
      </c>
      <c r="U1762">
        <v>19358</v>
      </c>
      <c r="V1762">
        <v>3</v>
      </c>
    </row>
    <row r="1763" spans="1:22" x14ac:dyDescent="0.35">
      <c r="A1763">
        <v>1762</v>
      </c>
      <c r="B1763" t="s">
        <v>180</v>
      </c>
      <c r="C1763" t="s">
        <v>181</v>
      </c>
      <c r="D1763">
        <v>2023</v>
      </c>
      <c r="E1763" t="s">
        <v>104</v>
      </c>
      <c r="F1763">
        <v>41.8</v>
      </c>
      <c r="G1763" t="s">
        <v>348</v>
      </c>
      <c r="H1763">
        <f>electric_vehicles_dataset[[#This Row],[Battery_Capacity_kWh]]/electric_vehicles_dataset[[#This Row],[Range_km]]</f>
        <v>0.12552552552552551</v>
      </c>
      <c r="I1763">
        <v>333</v>
      </c>
      <c r="J1763" t="s">
        <v>54</v>
      </c>
      <c r="K1763">
        <v>10</v>
      </c>
      <c r="L1763" s="1">
        <v>129313.66</v>
      </c>
      <c r="M1763" s="1" t="str" cm="1">
        <f t="array" ref="M17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63" t="s">
        <v>22</v>
      </c>
      <c r="O1763" t="s">
        <v>63</v>
      </c>
      <c r="P1763" s="2" t="s">
        <v>389</v>
      </c>
      <c r="Q1763">
        <v>2</v>
      </c>
      <c r="R1763" t="s">
        <v>391</v>
      </c>
      <c r="S1763" s="1">
        <f>electric_vehicles_dataset[[#This Row],[Units_Sold_2024]]*electric_vehicles_dataset[[#This Row],[Price_USD]]</f>
        <v>705406015.30000007</v>
      </c>
      <c r="T1763">
        <v>4</v>
      </c>
      <c r="U1763">
        <v>5455</v>
      </c>
      <c r="V1763">
        <v>5</v>
      </c>
    </row>
    <row r="1764" spans="1:22" x14ac:dyDescent="0.35">
      <c r="A1764">
        <v>1763</v>
      </c>
      <c r="B1764" t="s">
        <v>128</v>
      </c>
      <c r="C1764" t="s">
        <v>332</v>
      </c>
      <c r="D1764">
        <v>2025</v>
      </c>
      <c r="E1764" t="s">
        <v>31</v>
      </c>
      <c r="F1764">
        <v>129</v>
      </c>
      <c r="G1764" t="s">
        <v>352</v>
      </c>
      <c r="H1764">
        <f>electric_vehicles_dataset[[#This Row],[Battery_Capacity_kWh]]/electric_vehicles_dataset[[#This Row],[Range_km]]</f>
        <v>0.90845070422535212</v>
      </c>
      <c r="I1764">
        <v>142</v>
      </c>
      <c r="J1764" t="s">
        <v>358</v>
      </c>
      <c r="K1764">
        <v>5</v>
      </c>
      <c r="L1764" s="1">
        <v>141080.54</v>
      </c>
      <c r="M1764" s="1" t="str" cm="1">
        <f t="array" ref="M17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64" t="s">
        <v>214</v>
      </c>
      <c r="O1764" t="s">
        <v>226</v>
      </c>
      <c r="P1764" s="2" t="s">
        <v>395</v>
      </c>
      <c r="Q1764">
        <v>1</v>
      </c>
      <c r="R1764" t="s">
        <v>391</v>
      </c>
      <c r="S1764" s="1">
        <f>electric_vehicles_dataset[[#This Row],[Units_Sold_2024]]*electric_vehicles_dataset[[#This Row],[Price_USD]]</f>
        <v>352842430.54000002</v>
      </c>
      <c r="T1764">
        <v>4</v>
      </c>
      <c r="U1764">
        <v>2501</v>
      </c>
      <c r="V1764">
        <v>5</v>
      </c>
    </row>
    <row r="1765" spans="1:22" x14ac:dyDescent="0.35">
      <c r="A1765">
        <v>1764</v>
      </c>
      <c r="B1765" t="s">
        <v>94</v>
      </c>
      <c r="C1765" t="s">
        <v>99</v>
      </c>
      <c r="D1765">
        <v>2015</v>
      </c>
      <c r="E1765" t="s">
        <v>101</v>
      </c>
      <c r="F1765">
        <v>66.2</v>
      </c>
      <c r="G1765" t="s">
        <v>351</v>
      </c>
      <c r="H1765">
        <f>electric_vehicles_dataset[[#This Row],[Battery_Capacity_kWh]]/electric_vehicles_dataset[[#This Row],[Range_km]]</f>
        <v>0.2274914089347079</v>
      </c>
      <c r="I1765">
        <v>291</v>
      </c>
      <c r="J1765" t="s">
        <v>359</v>
      </c>
      <c r="K1765">
        <v>4</v>
      </c>
      <c r="L1765" s="1">
        <v>143361.17000000001</v>
      </c>
      <c r="M1765" s="1" t="str" cm="1">
        <f t="array" ref="M176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65" t="s">
        <v>70</v>
      </c>
      <c r="O1765" t="s">
        <v>89</v>
      </c>
      <c r="P1765" s="2" t="s">
        <v>389</v>
      </c>
      <c r="Q1765">
        <v>0</v>
      </c>
      <c r="R1765" t="s">
        <v>390</v>
      </c>
      <c r="S1765" s="1">
        <f>electric_vehicles_dataset[[#This Row],[Units_Sold_2024]]*electric_vehicles_dataset[[#This Row],[Price_USD]]</f>
        <v>2527170704.7600002</v>
      </c>
      <c r="T1765">
        <v>5</v>
      </c>
      <c r="U1765">
        <v>17628</v>
      </c>
      <c r="V1765">
        <v>4</v>
      </c>
    </row>
    <row r="1766" spans="1:22" x14ac:dyDescent="0.35">
      <c r="A1766">
        <v>1765</v>
      </c>
      <c r="B1766" t="s">
        <v>16</v>
      </c>
      <c r="C1766" t="s">
        <v>347</v>
      </c>
      <c r="D1766">
        <v>2016</v>
      </c>
      <c r="E1766" t="s">
        <v>130</v>
      </c>
      <c r="F1766">
        <v>91.5</v>
      </c>
      <c r="G1766" t="s">
        <v>350</v>
      </c>
      <c r="H1766">
        <f>electric_vehicles_dataset[[#This Row],[Battery_Capacity_kWh]]/electric_vehicles_dataset[[#This Row],[Range_km]]</f>
        <v>0.34269662921348315</v>
      </c>
      <c r="I1766">
        <v>267</v>
      </c>
      <c r="J1766" t="s">
        <v>38</v>
      </c>
      <c r="K1766">
        <v>11</v>
      </c>
      <c r="L1766" s="1">
        <v>126807.74</v>
      </c>
      <c r="M1766" s="1" t="str" cm="1">
        <f t="array" ref="M17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66" t="s">
        <v>279</v>
      </c>
      <c r="O1766" t="s">
        <v>182</v>
      </c>
      <c r="P1766" s="2" t="s">
        <v>394</v>
      </c>
      <c r="Q1766">
        <v>5</v>
      </c>
      <c r="R1766" t="s">
        <v>392</v>
      </c>
      <c r="S1766" s="1">
        <f>electric_vehicles_dataset[[#This Row],[Units_Sold_2024]]*electric_vehicles_dataset[[#This Row],[Price_USD]]</f>
        <v>709742920.77999997</v>
      </c>
      <c r="T1766">
        <v>3</v>
      </c>
      <c r="U1766">
        <v>5597</v>
      </c>
      <c r="V1766">
        <v>5</v>
      </c>
    </row>
    <row r="1767" spans="1:22" x14ac:dyDescent="0.35">
      <c r="A1767">
        <v>1766</v>
      </c>
      <c r="B1767" t="s">
        <v>24</v>
      </c>
      <c r="C1767" t="s">
        <v>272</v>
      </c>
      <c r="D1767">
        <v>2020</v>
      </c>
      <c r="E1767" t="s">
        <v>183</v>
      </c>
      <c r="F1767">
        <v>87.4</v>
      </c>
      <c r="G1767" t="s">
        <v>350</v>
      </c>
      <c r="H1767">
        <f>electric_vehicles_dataset[[#This Row],[Battery_Capacity_kWh]]/electric_vehicles_dataset[[#This Row],[Range_km]]</f>
        <v>0.15776173285198558</v>
      </c>
      <c r="I1767">
        <v>554</v>
      </c>
      <c r="J1767" t="s">
        <v>48</v>
      </c>
      <c r="K1767">
        <v>5</v>
      </c>
      <c r="L1767" s="1">
        <v>71419.42</v>
      </c>
      <c r="M1767" s="1" t="str" cm="1">
        <f t="array" ref="M176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67" t="s">
        <v>217</v>
      </c>
      <c r="O1767" t="s">
        <v>86</v>
      </c>
      <c r="P1767" s="2" t="s">
        <v>389</v>
      </c>
      <c r="Q1767">
        <v>1</v>
      </c>
      <c r="R1767" t="s">
        <v>391</v>
      </c>
      <c r="S1767" s="1">
        <f>electric_vehicles_dataset[[#This Row],[Units_Sold_2024]]*electric_vehicles_dataset[[#This Row],[Price_USD]]</f>
        <v>515648212.39999998</v>
      </c>
      <c r="T1767">
        <v>4</v>
      </c>
      <c r="U1767">
        <v>7220</v>
      </c>
      <c r="V1767">
        <v>4</v>
      </c>
    </row>
    <row r="1768" spans="1:22" x14ac:dyDescent="0.35">
      <c r="A1768">
        <v>1767</v>
      </c>
      <c r="B1768" t="s">
        <v>82</v>
      </c>
      <c r="C1768" t="s">
        <v>83</v>
      </c>
      <c r="D1768">
        <v>2023</v>
      </c>
      <c r="E1768" t="s">
        <v>53</v>
      </c>
      <c r="F1768">
        <v>113.1</v>
      </c>
      <c r="G1768" t="s">
        <v>361</v>
      </c>
      <c r="H1768">
        <f>electric_vehicles_dataset[[#This Row],[Battery_Capacity_kWh]]/electric_vehicles_dataset[[#This Row],[Range_km]]</f>
        <v>0.93471074380165287</v>
      </c>
      <c r="I1768">
        <v>121</v>
      </c>
      <c r="J1768" t="s">
        <v>27</v>
      </c>
      <c r="K1768">
        <v>12</v>
      </c>
      <c r="L1768" s="1">
        <v>145262.07999999999</v>
      </c>
      <c r="M1768" s="1" t="str" cm="1">
        <f t="array" ref="M176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68" t="s">
        <v>228</v>
      </c>
      <c r="O1768" t="s">
        <v>161</v>
      </c>
      <c r="P1768" s="2" t="s">
        <v>389</v>
      </c>
      <c r="Q1768">
        <v>1</v>
      </c>
      <c r="R1768" t="s">
        <v>391</v>
      </c>
      <c r="S1768" s="1">
        <f>electric_vehicles_dataset[[#This Row],[Units_Sold_2024]]*electric_vehicles_dataset[[#This Row],[Price_USD]]</f>
        <v>1483852147.1999998</v>
      </c>
      <c r="T1768">
        <v>3</v>
      </c>
      <c r="U1768">
        <v>10215</v>
      </c>
      <c r="V1768">
        <v>3</v>
      </c>
    </row>
    <row r="1769" spans="1:22" x14ac:dyDescent="0.35">
      <c r="A1769">
        <v>1768</v>
      </c>
      <c r="B1769" t="s">
        <v>184</v>
      </c>
      <c r="C1769" t="s">
        <v>251</v>
      </c>
      <c r="D1769">
        <v>2024</v>
      </c>
      <c r="E1769" t="s">
        <v>130</v>
      </c>
      <c r="F1769">
        <v>116.8</v>
      </c>
      <c r="G1769" t="s">
        <v>361</v>
      </c>
      <c r="H1769">
        <f>electric_vehicles_dataset[[#This Row],[Battery_Capacity_kWh]]/electric_vehicles_dataset[[#This Row],[Range_km]]</f>
        <v>0.52376681614349774</v>
      </c>
      <c r="I1769">
        <v>223</v>
      </c>
      <c r="J1769" t="s">
        <v>27</v>
      </c>
      <c r="K1769">
        <v>10</v>
      </c>
      <c r="L1769" s="1">
        <v>118260.66</v>
      </c>
      <c r="M1769" s="1" t="str" cm="1">
        <f t="array" ref="M176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69" t="s">
        <v>175</v>
      </c>
      <c r="O1769" t="s">
        <v>86</v>
      </c>
      <c r="P1769" s="2" t="s">
        <v>389</v>
      </c>
      <c r="Q1769">
        <v>1</v>
      </c>
      <c r="R1769" t="s">
        <v>391</v>
      </c>
      <c r="S1769" s="1">
        <f>electric_vehicles_dataset[[#This Row],[Units_Sold_2024]]*electric_vehicles_dataset[[#This Row],[Price_USD]]</f>
        <v>1143817103.52</v>
      </c>
      <c r="T1769">
        <v>3</v>
      </c>
      <c r="U1769">
        <v>9672</v>
      </c>
      <c r="V1769">
        <v>3</v>
      </c>
    </row>
    <row r="1770" spans="1:22" x14ac:dyDescent="0.35">
      <c r="A1770">
        <v>1769</v>
      </c>
      <c r="B1770" t="s">
        <v>200</v>
      </c>
      <c r="C1770" t="s">
        <v>327</v>
      </c>
      <c r="D1770">
        <v>2021</v>
      </c>
      <c r="E1770" t="s">
        <v>58</v>
      </c>
      <c r="F1770">
        <v>45.6</v>
      </c>
      <c r="G1770" t="s">
        <v>348</v>
      </c>
      <c r="H1770">
        <f>electric_vehicles_dataset[[#This Row],[Battery_Capacity_kWh]]/electric_vehicles_dataset[[#This Row],[Range_km]]</f>
        <v>0.3211267605633803</v>
      </c>
      <c r="I1770">
        <v>142</v>
      </c>
      <c r="J1770" t="s">
        <v>38</v>
      </c>
      <c r="K1770">
        <v>11</v>
      </c>
      <c r="L1770" s="1">
        <v>72763.02</v>
      </c>
      <c r="M1770" s="1" t="str" cm="1">
        <f t="array" ref="M17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70" t="s">
        <v>55</v>
      </c>
      <c r="O1770" t="s">
        <v>67</v>
      </c>
      <c r="P1770" s="2" t="s">
        <v>394</v>
      </c>
      <c r="Q1770">
        <v>2</v>
      </c>
      <c r="R1770" t="s">
        <v>391</v>
      </c>
      <c r="S1770" s="1">
        <f>electric_vehicles_dataset[[#This Row],[Units_Sold_2024]]*electric_vehicles_dataset[[#This Row],[Price_USD]]</f>
        <v>707693132.51999998</v>
      </c>
      <c r="T1770">
        <v>4</v>
      </c>
      <c r="U1770">
        <v>9726</v>
      </c>
      <c r="V1770">
        <v>3</v>
      </c>
    </row>
    <row r="1771" spans="1:22" x14ac:dyDescent="0.35">
      <c r="A1771">
        <v>1770</v>
      </c>
      <c r="B1771" t="s">
        <v>96</v>
      </c>
      <c r="C1771" t="s">
        <v>116</v>
      </c>
      <c r="D1771">
        <v>2023</v>
      </c>
      <c r="E1771" t="s">
        <v>58</v>
      </c>
      <c r="F1771">
        <v>107.3</v>
      </c>
      <c r="G1771" t="s">
        <v>361</v>
      </c>
      <c r="H1771">
        <f>electric_vehicles_dataset[[#This Row],[Battery_Capacity_kWh]]/electric_vehicles_dataset[[#This Row],[Range_km]]</f>
        <v>0.71059602649006626</v>
      </c>
      <c r="I1771">
        <v>151</v>
      </c>
      <c r="J1771" t="s">
        <v>27</v>
      </c>
      <c r="K1771">
        <v>8</v>
      </c>
      <c r="L1771" s="1">
        <v>136559.93</v>
      </c>
      <c r="M1771" s="1" t="str" cm="1">
        <f t="array" ref="M177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71" t="s">
        <v>70</v>
      </c>
      <c r="O1771" t="s">
        <v>33</v>
      </c>
      <c r="P1771" s="2" t="s">
        <v>393</v>
      </c>
      <c r="Q1771">
        <v>2</v>
      </c>
      <c r="R1771" t="s">
        <v>391</v>
      </c>
      <c r="S1771" s="1">
        <f>electric_vehicles_dataset[[#This Row],[Units_Sold_2024]]*electric_vehicles_dataset[[#This Row],[Price_USD]]</f>
        <v>1820207306.9699998</v>
      </c>
      <c r="T1771">
        <v>4</v>
      </c>
      <c r="U1771">
        <v>13329</v>
      </c>
      <c r="V1771">
        <v>5</v>
      </c>
    </row>
    <row r="1772" spans="1:22" x14ac:dyDescent="0.35">
      <c r="A1772">
        <v>1771</v>
      </c>
      <c r="B1772" t="s">
        <v>215</v>
      </c>
      <c r="C1772" t="s">
        <v>377</v>
      </c>
      <c r="D1772">
        <v>2018</v>
      </c>
      <c r="E1772" t="s">
        <v>17</v>
      </c>
      <c r="F1772">
        <v>124</v>
      </c>
      <c r="G1772" t="s">
        <v>352</v>
      </c>
      <c r="H1772">
        <f>electric_vehicles_dataset[[#This Row],[Battery_Capacity_kWh]]/electric_vehicles_dataset[[#This Row],[Range_km]]</f>
        <v>0.46616541353383456</v>
      </c>
      <c r="I1772">
        <v>266</v>
      </c>
      <c r="J1772" t="s">
        <v>54</v>
      </c>
      <c r="K1772">
        <v>2</v>
      </c>
      <c r="L1772" s="1">
        <v>97003.41</v>
      </c>
      <c r="M1772" s="1" t="str" cm="1">
        <f t="array" ref="M177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72" t="s">
        <v>229</v>
      </c>
      <c r="O1772" t="s">
        <v>139</v>
      </c>
      <c r="P1772" s="2" t="s">
        <v>389</v>
      </c>
      <c r="Q1772">
        <v>1</v>
      </c>
      <c r="R1772" t="s">
        <v>391</v>
      </c>
      <c r="S1772" s="1">
        <f>electric_vehicles_dataset[[#This Row],[Units_Sold_2024]]*electric_vehicles_dataset[[#This Row],[Price_USD]]</f>
        <v>848294820.45000005</v>
      </c>
      <c r="T1772">
        <v>5</v>
      </c>
      <c r="U1772">
        <v>8745</v>
      </c>
      <c r="V1772">
        <v>4</v>
      </c>
    </row>
    <row r="1773" spans="1:22" x14ac:dyDescent="0.35">
      <c r="A1773">
        <v>1772</v>
      </c>
      <c r="B1773" t="s">
        <v>153</v>
      </c>
      <c r="C1773" t="s">
        <v>204</v>
      </c>
      <c r="D1773">
        <v>2021</v>
      </c>
      <c r="E1773" t="s">
        <v>133</v>
      </c>
      <c r="F1773">
        <v>109</v>
      </c>
      <c r="G1773" t="s">
        <v>361</v>
      </c>
      <c r="H1773">
        <f>electric_vehicles_dataset[[#This Row],[Battery_Capacity_kWh]]/electric_vehicles_dataset[[#This Row],[Range_km]]</f>
        <v>0.18858131487889274</v>
      </c>
      <c r="I1773">
        <v>578</v>
      </c>
      <c r="J1773" t="s">
        <v>48</v>
      </c>
      <c r="K1773">
        <v>1</v>
      </c>
      <c r="L1773" s="1">
        <v>146603.88</v>
      </c>
      <c r="M1773" s="1" t="str" cm="1">
        <f t="array" ref="M177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73" t="s">
        <v>35</v>
      </c>
      <c r="O1773" t="s">
        <v>110</v>
      </c>
      <c r="P1773" s="2" t="s">
        <v>394</v>
      </c>
      <c r="Q1773">
        <v>3</v>
      </c>
      <c r="R1773" t="s">
        <v>397</v>
      </c>
      <c r="S1773" s="1">
        <f>electric_vehicles_dataset[[#This Row],[Units_Sold_2024]]*electric_vehicles_dataset[[#This Row],[Price_USD]]</f>
        <v>282798884.51999998</v>
      </c>
      <c r="T1773">
        <v>4</v>
      </c>
      <c r="U1773">
        <v>1929</v>
      </c>
      <c r="V1773">
        <v>5</v>
      </c>
    </row>
    <row r="1774" spans="1:22" x14ac:dyDescent="0.35">
      <c r="A1774">
        <v>1773</v>
      </c>
      <c r="B1774" t="s">
        <v>259</v>
      </c>
      <c r="C1774" t="s">
        <v>298</v>
      </c>
      <c r="D1774">
        <v>2017</v>
      </c>
      <c r="E1774" t="s">
        <v>73</v>
      </c>
      <c r="F1774">
        <v>52.5</v>
      </c>
      <c r="G1774" t="s">
        <v>348</v>
      </c>
      <c r="H1774">
        <f>electric_vehicles_dataset[[#This Row],[Battery_Capacity_kWh]]/electric_vehicles_dataset[[#This Row],[Range_km]]</f>
        <v>0.1031434184675835</v>
      </c>
      <c r="I1774">
        <v>509</v>
      </c>
      <c r="J1774" t="s">
        <v>48</v>
      </c>
      <c r="K1774">
        <v>5</v>
      </c>
      <c r="L1774" s="1">
        <v>46967.44</v>
      </c>
      <c r="M1774" s="1" t="str" cm="1">
        <f t="array" ref="M17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74" t="s">
        <v>257</v>
      </c>
      <c r="O1774" t="s">
        <v>206</v>
      </c>
      <c r="P1774" s="2" t="s">
        <v>394</v>
      </c>
      <c r="Q1774">
        <v>1</v>
      </c>
      <c r="R1774" t="s">
        <v>391</v>
      </c>
      <c r="S1774" s="1">
        <f>electric_vehicles_dataset[[#This Row],[Units_Sold_2024]]*electric_vehicles_dataset[[#This Row],[Price_USD]]</f>
        <v>547640350.39999998</v>
      </c>
      <c r="T1774">
        <v>4</v>
      </c>
      <c r="U1774">
        <v>11660</v>
      </c>
      <c r="V1774">
        <v>5</v>
      </c>
    </row>
    <row r="1775" spans="1:22" x14ac:dyDescent="0.35">
      <c r="A1775">
        <v>1774</v>
      </c>
      <c r="B1775" t="s">
        <v>36</v>
      </c>
      <c r="C1775" t="s">
        <v>317</v>
      </c>
      <c r="D1775">
        <v>2025</v>
      </c>
      <c r="E1775" t="s">
        <v>183</v>
      </c>
      <c r="F1775">
        <v>69.5</v>
      </c>
      <c r="G1775" t="s">
        <v>351</v>
      </c>
      <c r="H1775">
        <f>electric_vehicles_dataset[[#This Row],[Battery_Capacity_kWh]]/electric_vehicles_dataset[[#This Row],[Range_km]]</f>
        <v>0.16706730769230768</v>
      </c>
      <c r="I1775">
        <v>416</v>
      </c>
      <c r="J1775" t="s">
        <v>34</v>
      </c>
      <c r="K1775">
        <v>12</v>
      </c>
      <c r="L1775" s="1">
        <v>33657.24</v>
      </c>
      <c r="M1775" s="1" t="str" cm="1">
        <f t="array" ref="M177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75" t="s">
        <v>55</v>
      </c>
      <c r="O1775" t="s">
        <v>134</v>
      </c>
      <c r="P1775" s="2" t="s">
        <v>389</v>
      </c>
      <c r="Q1775">
        <v>5</v>
      </c>
      <c r="R1775" t="s">
        <v>392</v>
      </c>
      <c r="S1775" s="1">
        <f>electric_vehicles_dataset[[#This Row],[Units_Sold_2024]]*electric_vehicles_dataset[[#This Row],[Price_USD]]</f>
        <v>380764356.12</v>
      </c>
      <c r="T1775">
        <v>4</v>
      </c>
      <c r="U1775">
        <v>11313</v>
      </c>
      <c r="V1775">
        <v>5</v>
      </c>
    </row>
    <row r="1776" spans="1:22" x14ac:dyDescent="0.35">
      <c r="A1776">
        <v>1775</v>
      </c>
      <c r="B1776" t="s">
        <v>128</v>
      </c>
      <c r="C1776" t="s">
        <v>268</v>
      </c>
      <c r="D1776">
        <v>2025</v>
      </c>
      <c r="E1776" t="s">
        <v>183</v>
      </c>
      <c r="F1776">
        <v>102.4</v>
      </c>
      <c r="G1776" t="s">
        <v>361</v>
      </c>
      <c r="H1776">
        <f>electric_vehicles_dataset[[#This Row],[Battery_Capacity_kWh]]/electric_vehicles_dataset[[#This Row],[Range_km]]</f>
        <v>0.17902097902097902</v>
      </c>
      <c r="I1776">
        <v>572</v>
      </c>
      <c r="J1776" t="s">
        <v>149</v>
      </c>
      <c r="K1776">
        <v>6</v>
      </c>
      <c r="L1776" s="1">
        <v>121207.6</v>
      </c>
      <c r="M1776" s="1" t="str" cm="1">
        <f t="array" ref="M177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76" t="s">
        <v>114</v>
      </c>
      <c r="O1776" t="s">
        <v>40</v>
      </c>
      <c r="P1776" s="2" t="s">
        <v>395</v>
      </c>
      <c r="Q1776">
        <v>5</v>
      </c>
      <c r="R1776" t="s">
        <v>392</v>
      </c>
      <c r="S1776" s="1">
        <f>electric_vehicles_dataset[[#This Row],[Units_Sold_2024]]*electric_vehicles_dataset[[#This Row],[Price_USD]]</f>
        <v>1840052575.6000001</v>
      </c>
      <c r="T1776">
        <v>3</v>
      </c>
      <c r="U1776">
        <v>15181</v>
      </c>
      <c r="V1776">
        <v>4</v>
      </c>
    </row>
    <row r="1777" spans="1:22" x14ac:dyDescent="0.35">
      <c r="A1777">
        <v>1776</v>
      </c>
      <c r="B1777" t="s">
        <v>21</v>
      </c>
      <c r="C1777" t="s">
        <v>363</v>
      </c>
      <c r="D1777">
        <v>2024</v>
      </c>
      <c r="E1777" t="s">
        <v>130</v>
      </c>
      <c r="F1777">
        <v>115.6</v>
      </c>
      <c r="G1777" t="s">
        <v>361</v>
      </c>
      <c r="H1777">
        <f>electric_vehicles_dataset[[#This Row],[Battery_Capacity_kWh]]/electric_vehicles_dataset[[#This Row],[Range_km]]</f>
        <v>0.50260869565217392</v>
      </c>
      <c r="I1777">
        <v>230</v>
      </c>
      <c r="J1777" t="s">
        <v>359</v>
      </c>
      <c r="K1777">
        <v>7</v>
      </c>
      <c r="L1777" s="1">
        <v>142713.07</v>
      </c>
      <c r="M1777" s="1" t="str" cm="1">
        <f t="array" ref="M177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77" t="s">
        <v>240</v>
      </c>
      <c r="O1777" t="s">
        <v>118</v>
      </c>
      <c r="P1777" s="2" t="s">
        <v>389</v>
      </c>
      <c r="Q1777">
        <v>2</v>
      </c>
      <c r="R1777" t="s">
        <v>391</v>
      </c>
      <c r="S1777" s="1">
        <f>electric_vehicles_dataset[[#This Row],[Units_Sold_2024]]*electric_vehicles_dataset[[#This Row],[Price_USD]]</f>
        <v>1548722235.6400001</v>
      </c>
      <c r="T1777">
        <v>3</v>
      </c>
      <c r="U1777">
        <v>10852</v>
      </c>
      <c r="V1777">
        <v>5</v>
      </c>
    </row>
    <row r="1778" spans="1:22" x14ac:dyDescent="0.35">
      <c r="A1778">
        <v>1777</v>
      </c>
      <c r="B1778" t="s">
        <v>140</v>
      </c>
      <c r="C1778" t="s">
        <v>339</v>
      </c>
      <c r="D1778">
        <v>2017</v>
      </c>
      <c r="E1778" t="s">
        <v>53</v>
      </c>
      <c r="F1778">
        <v>102.1</v>
      </c>
      <c r="G1778" t="s">
        <v>361</v>
      </c>
      <c r="H1778">
        <f>electric_vehicles_dataset[[#This Row],[Battery_Capacity_kWh]]/electric_vehicles_dataset[[#This Row],[Range_km]]</f>
        <v>0.2804945054945055</v>
      </c>
      <c r="I1778">
        <v>364</v>
      </c>
      <c r="J1778" t="s">
        <v>34</v>
      </c>
      <c r="K1778">
        <v>1</v>
      </c>
      <c r="L1778" s="1">
        <v>75612.399999999994</v>
      </c>
      <c r="M1778" s="1" t="str" cm="1">
        <f t="array" ref="M177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78" t="s">
        <v>179</v>
      </c>
      <c r="O1778" t="s">
        <v>354</v>
      </c>
      <c r="P1778" s="2" t="s">
        <v>394</v>
      </c>
      <c r="Q1778">
        <v>2</v>
      </c>
      <c r="R1778" t="s">
        <v>391</v>
      </c>
      <c r="S1778" s="1">
        <f>electric_vehicles_dataset[[#This Row],[Units_Sold_2024]]*electric_vehicles_dataset[[#This Row],[Price_USD]]</f>
        <v>31681595.599999998</v>
      </c>
      <c r="T1778">
        <v>4</v>
      </c>
      <c r="U1778">
        <v>419</v>
      </c>
      <c r="V1778">
        <v>4</v>
      </c>
    </row>
    <row r="1779" spans="1:22" x14ac:dyDescent="0.35">
      <c r="A1779">
        <v>1778</v>
      </c>
      <c r="B1779" t="s">
        <v>170</v>
      </c>
      <c r="C1779" t="s">
        <v>218</v>
      </c>
      <c r="D1779">
        <v>2019</v>
      </c>
      <c r="E1779" t="s">
        <v>53</v>
      </c>
      <c r="F1779">
        <v>82</v>
      </c>
      <c r="G1779" t="s">
        <v>350</v>
      </c>
      <c r="H1779">
        <f>electric_vehicles_dataset[[#This Row],[Battery_Capacity_kWh]]/electric_vehicles_dataset[[#This Row],[Range_km]]</f>
        <v>0.24848484848484848</v>
      </c>
      <c r="I1779">
        <v>330</v>
      </c>
      <c r="J1779" t="s">
        <v>34</v>
      </c>
      <c r="K1779">
        <v>9</v>
      </c>
      <c r="L1779" s="1">
        <v>102838.46</v>
      </c>
      <c r="M1779" s="1" t="str" cm="1">
        <f t="array" ref="M177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79" t="s">
        <v>219</v>
      </c>
      <c r="O1779" t="s">
        <v>95</v>
      </c>
      <c r="P1779" s="2" t="s">
        <v>394</v>
      </c>
      <c r="Q1779">
        <v>0</v>
      </c>
      <c r="R1779" t="s">
        <v>390</v>
      </c>
      <c r="S1779" s="1">
        <f>electric_vehicles_dataset[[#This Row],[Units_Sold_2024]]*electric_vehicles_dataset[[#This Row],[Price_USD]]</f>
        <v>1693852274.6600001</v>
      </c>
      <c r="T1779">
        <v>4</v>
      </c>
      <c r="U1779">
        <v>16471</v>
      </c>
      <c r="V1779">
        <v>5</v>
      </c>
    </row>
    <row r="1780" spans="1:22" x14ac:dyDescent="0.35">
      <c r="A1780">
        <v>1779</v>
      </c>
      <c r="B1780" t="s">
        <v>41</v>
      </c>
      <c r="C1780" t="s">
        <v>148</v>
      </c>
      <c r="D1780">
        <v>2021</v>
      </c>
      <c r="E1780" t="s">
        <v>42</v>
      </c>
      <c r="F1780">
        <v>145.19999999999999</v>
      </c>
      <c r="G1780" t="s">
        <v>386</v>
      </c>
      <c r="H1780">
        <f>electric_vehicles_dataset[[#This Row],[Battery_Capacity_kWh]]/electric_vehicles_dataset[[#This Row],[Range_km]]</f>
        <v>0.62586206896551722</v>
      </c>
      <c r="I1780">
        <v>232</v>
      </c>
      <c r="J1780" t="s">
        <v>359</v>
      </c>
      <c r="K1780">
        <v>1</v>
      </c>
      <c r="L1780" s="1">
        <v>138069.60999999999</v>
      </c>
      <c r="M1780" s="1" t="str" cm="1">
        <f t="array" ref="M178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80" t="s">
        <v>219</v>
      </c>
      <c r="O1780" t="s">
        <v>202</v>
      </c>
      <c r="P1780" s="2" t="s">
        <v>393</v>
      </c>
      <c r="Q1780">
        <v>1</v>
      </c>
      <c r="R1780" t="s">
        <v>391</v>
      </c>
      <c r="S1780" s="1">
        <f>electric_vehicles_dataset[[#This Row],[Units_Sold_2024]]*electric_vehicles_dataset[[#This Row],[Price_USD]]</f>
        <v>2301206189.8699999</v>
      </c>
      <c r="T1780">
        <v>5</v>
      </c>
      <c r="U1780">
        <v>16667</v>
      </c>
      <c r="V1780">
        <v>5</v>
      </c>
    </row>
    <row r="1781" spans="1:22" x14ac:dyDescent="0.35">
      <c r="A1781">
        <v>1780</v>
      </c>
      <c r="B1781" t="s">
        <v>96</v>
      </c>
      <c r="C1781" t="s">
        <v>97</v>
      </c>
      <c r="D1781">
        <v>2021</v>
      </c>
      <c r="E1781" t="s">
        <v>104</v>
      </c>
      <c r="F1781">
        <v>75.3</v>
      </c>
      <c r="G1781" t="s">
        <v>351</v>
      </c>
      <c r="H1781">
        <f>electric_vehicles_dataset[[#This Row],[Battery_Capacity_kWh]]/electric_vehicles_dataset[[#This Row],[Range_km]]</f>
        <v>0.13303886925795053</v>
      </c>
      <c r="I1781">
        <v>566</v>
      </c>
      <c r="J1781" t="s">
        <v>353</v>
      </c>
      <c r="K1781">
        <v>1</v>
      </c>
      <c r="L1781" s="1">
        <v>76722.34</v>
      </c>
      <c r="M1781" s="1" t="str" cm="1">
        <f t="array" ref="M17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81" t="s">
        <v>279</v>
      </c>
      <c r="O1781" t="s">
        <v>169</v>
      </c>
      <c r="P1781" s="2" t="s">
        <v>394</v>
      </c>
      <c r="Q1781">
        <v>1</v>
      </c>
      <c r="R1781" t="s">
        <v>391</v>
      </c>
      <c r="S1781" s="1">
        <f>electric_vehicles_dataset[[#This Row],[Units_Sold_2024]]*electric_vehicles_dataset[[#This Row],[Price_USD]]</f>
        <v>221650840.25999999</v>
      </c>
      <c r="T1781">
        <v>4</v>
      </c>
      <c r="U1781">
        <v>2889</v>
      </c>
      <c r="V1781">
        <v>3</v>
      </c>
    </row>
    <row r="1782" spans="1:22" x14ac:dyDescent="0.35">
      <c r="A1782">
        <v>1781</v>
      </c>
      <c r="B1782" t="s">
        <v>74</v>
      </c>
      <c r="C1782" t="s">
        <v>75</v>
      </c>
      <c r="D1782">
        <v>2023</v>
      </c>
      <c r="E1782" t="s">
        <v>42</v>
      </c>
      <c r="F1782">
        <v>21.2</v>
      </c>
      <c r="G1782" t="s">
        <v>357</v>
      </c>
      <c r="H1782">
        <f>electric_vehicles_dataset[[#This Row],[Battery_Capacity_kWh]]/electric_vehicles_dataset[[#This Row],[Range_km]]</f>
        <v>8.7242798353909468E-2</v>
      </c>
      <c r="I1782">
        <v>243</v>
      </c>
      <c r="J1782" t="s">
        <v>356</v>
      </c>
      <c r="K1782">
        <v>10</v>
      </c>
      <c r="L1782" s="1">
        <v>63251.3</v>
      </c>
      <c r="M1782" s="1" t="str" cm="1">
        <f t="array" ref="M17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82" t="s">
        <v>62</v>
      </c>
      <c r="O1782" t="s">
        <v>236</v>
      </c>
      <c r="P1782" s="2" t="s">
        <v>394</v>
      </c>
      <c r="Q1782">
        <v>0</v>
      </c>
      <c r="R1782" t="s">
        <v>390</v>
      </c>
      <c r="S1782" s="1">
        <f>electric_vehicles_dataset[[#This Row],[Units_Sold_2024]]*electric_vehicles_dataset[[#This Row],[Price_USD]]</f>
        <v>1054778678.8000001</v>
      </c>
      <c r="T1782">
        <v>3</v>
      </c>
      <c r="U1782">
        <v>16676</v>
      </c>
      <c r="V1782">
        <v>3</v>
      </c>
    </row>
    <row r="1783" spans="1:22" x14ac:dyDescent="0.35">
      <c r="A1783">
        <v>1782</v>
      </c>
      <c r="B1783" t="s">
        <v>192</v>
      </c>
      <c r="C1783" t="s">
        <v>198</v>
      </c>
      <c r="D1783">
        <v>2016</v>
      </c>
      <c r="E1783" t="s">
        <v>183</v>
      </c>
      <c r="F1783">
        <v>113.7</v>
      </c>
      <c r="G1783" t="s">
        <v>361</v>
      </c>
      <c r="H1783">
        <f>electric_vehicles_dataset[[#This Row],[Battery_Capacity_kWh]]/electric_vehicles_dataset[[#This Row],[Range_km]]</f>
        <v>0.49220779220779221</v>
      </c>
      <c r="I1783">
        <v>231</v>
      </c>
      <c r="J1783" t="s">
        <v>38</v>
      </c>
      <c r="K1783">
        <v>9</v>
      </c>
      <c r="L1783" s="1">
        <v>97214.34</v>
      </c>
      <c r="M1783" s="1" t="str" cm="1">
        <f t="array" ref="M178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83" t="s">
        <v>66</v>
      </c>
      <c r="O1783" t="s">
        <v>182</v>
      </c>
      <c r="P1783" s="2" t="s">
        <v>394</v>
      </c>
      <c r="Q1783">
        <v>0</v>
      </c>
      <c r="R1783" t="s">
        <v>390</v>
      </c>
      <c r="S1783" s="1">
        <f>electric_vehicles_dataset[[#This Row],[Units_Sold_2024]]*electric_vehicles_dataset[[#This Row],[Price_USD]]</f>
        <v>1464047960.3999999</v>
      </c>
      <c r="T1783">
        <v>4</v>
      </c>
      <c r="U1783">
        <v>15060</v>
      </c>
      <c r="V1783">
        <v>5</v>
      </c>
    </row>
    <row r="1784" spans="1:22" x14ac:dyDescent="0.35">
      <c r="A1784">
        <v>1783</v>
      </c>
      <c r="B1784" t="s">
        <v>259</v>
      </c>
      <c r="C1784" t="s">
        <v>311</v>
      </c>
      <c r="D1784">
        <v>2020</v>
      </c>
      <c r="E1784" t="s">
        <v>31</v>
      </c>
      <c r="F1784">
        <v>60</v>
      </c>
      <c r="G1784" t="s">
        <v>348</v>
      </c>
      <c r="H1784">
        <f>electric_vehicles_dataset[[#This Row],[Battery_Capacity_kWh]]/electric_vehicles_dataset[[#This Row],[Range_km]]</f>
        <v>0.36363636363636365</v>
      </c>
      <c r="I1784">
        <v>165</v>
      </c>
      <c r="J1784" t="s">
        <v>353</v>
      </c>
      <c r="K1784">
        <v>7</v>
      </c>
      <c r="L1784" s="1">
        <v>135924.6</v>
      </c>
      <c r="M1784" s="1" t="str" cm="1">
        <f t="array" ref="M178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84" t="s">
        <v>277</v>
      </c>
      <c r="O1784" t="s">
        <v>169</v>
      </c>
      <c r="P1784" s="2" t="s">
        <v>394</v>
      </c>
      <c r="Q1784">
        <v>5</v>
      </c>
      <c r="R1784" t="s">
        <v>392</v>
      </c>
      <c r="S1784" s="1">
        <f>electric_vehicles_dataset[[#This Row],[Units_Sold_2024]]*electric_vehicles_dataset[[#This Row],[Price_USD]]</f>
        <v>984501877.80000007</v>
      </c>
      <c r="T1784">
        <v>5</v>
      </c>
      <c r="U1784">
        <v>7243</v>
      </c>
      <c r="V1784">
        <v>3</v>
      </c>
    </row>
    <row r="1785" spans="1:22" x14ac:dyDescent="0.35">
      <c r="A1785">
        <v>1784</v>
      </c>
      <c r="B1785" t="s">
        <v>68</v>
      </c>
      <c r="C1785" t="s">
        <v>289</v>
      </c>
      <c r="D1785">
        <v>2021</v>
      </c>
      <c r="E1785" t="s">
        <v>130</v>
      </c>
      <c r="F1785">
        <v>21</v>
      </c>
      <c r="G1785" t="s">
        <v>357</v>
      </c>
      <c r="H1785">
        <f>electric_vehicles_dataset[[#This Row],[Battery_Capacity_kWh]]/electric_vehicles_dataset[[#This Row],[Range_km]]</f>
        <v>5.46875E-2</v>
      </c>
      <c r="I1785">
        <v>384</v>
      </c>
      <c r="J1785" t="s">
        <v>105</v>
      </c>
      <c r="K1785">
        <v>10</v>
      </c>
      <c r="L1785" s="1">
        <v>121096.7</v>
      </c>
      <c r="M1785" s="1" t="str" cm="1">
        <f t="array" ref="M178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85" t="s">
        <v>253</v>
      </c>
      <c r="O1785" t="s">
        <v>121</v>
      </c>
      <c r="P1785" s="2" t="s">
        <v>398</v>
      </c>
      <c r="Q1785">
        <v>3</v>
      </c>
      <c r="R1785" t="s">
        <v>397</v>
      </c>
      <c r="S1785" s="1">
        <f>electric_vehicles_dataset[[#This Row],[Units_Sold_2024]]*electric_vehicles_dataset[[#This Row],[Price_USD]]</f>
        <v>592162863</v>
      </c>
      <c r="T1785">
        <v>5</v>
      </c>
      <c r="U1785">
        <v>4890</v>
      </c>
      <c r="V1785">
        <v>5</v>
      </c>
    </row>
    <row r="1786" spans="1:22" x14ac:dyDescent="0.35">
      <c r="A1786">
        <v>1785</v>
      </c>
      <c r="B1786" t="s">
        <v>220</v>
      </c>
      <c r="C1786" t="s">
        <v>336</v>
      </c>
      <c r="D1786">
        <v>2025</v>
      </c>
      <c r="E1786" t="s">
        <v>73</v>
      </c>
      <c r="F1786">
        <v>89.5</v>
      </c>
      <c r="G1786" t="s">
        <v>350</v>
      </c>
      <c r="H1786">
        <f>electric_vehicles_dataset[[#This Row],[Battery_Capacity_kWh]]/electric_vehicles_dataset[[#This Row],[Range_km]]</f>
        <v>0.45897435897435895</v>
      </c>
      <c r="I1786">
        <v>195</v>
      </c>
      <c r="J1786" t="s">
        <v>85</v>
      </c>
      <c r="K1786">
        <v>7</v>
      </c>
      <c r="L1786" s="1">
        <v>49769.96</v>
      </c>
      <c r="M1786" s="1" t="str" cm="1">
        <f t="array" ref="M178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86" t="s">
        <v>19</v>
      </c>
      <c r="O1786" t="s">
        <v>115</v>
      </c>
      <c r="P1786" s="2" t="s">
        <v>396</v>
      </c>
      <c r="Q1786">
        <v>0</v>
      </c>
      <c r="R1786" t="s">
        <v>390</v>
      </c>
      <c r="S1786" s="1">
        <f>electric_vehicles_dataset[[#This Row],[Units_Sold_2024]]*electric_vehicles_dataset[[#This Row],[Price_USD]]</f>
        <v>341919625.19999999</v>
      </c>
      <c r="T1786">
        <v>4</v>
      </c>
      <c r="U1786">
        <v>6870</v>
      </c>
      <c r="V1786">
        <v>3</v>
      </c>
    </row>
    <row r="1787" spans="1:22" x14ac:dyDescent="0.35">
      <c r="A1787">
        <v>1786</v>
      </c>
      <c r="B1787" t="s">
        <v>222</v>
      </c>
      <c r="C1787" t="s">
        <v>232</v>
      </c>
      <c r="D1787">
        <v>2021</v>
      </c>
      <c r="E1787" t="s">
        <v>47</v>
      </c>
      <c r="F1787">
        <v>114.6</v>
      </c>
      <c r="G1787" t="s">
        <v>361</v>
      </c>
      <c r="H1787">
        <f>electric_vehicles_dataset[[#This Row],[Battery_Capacity_kWh]]/electric_vehicles_dataset[[#This Row],[Range_km]]</f>
        <v>0.25580357142857141</v>
      </c>
      <c r="I1787">
        <v>448</v>
      </c>
      <c r="J1787" t="s">
        <v>358</v>
      </c>
      <c r="K1787">
        <v>6</v>
      </c>
      <c r="L1787" s="1">
        <v>79140.509999999995</v>
      </c>
      <c r="M1787" s="1" t="str" cm="1">
        <f t="array" ref="M178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87" t="s">
        <v>214</v>
      </c>
      <c r="O1787" t="s">
        <v>206</v>
      </c>
      <c r="P1787" s="2" t="s">
        <v>394</v>
      </c>
      <c r="Q1787">
        <v>0</v>
      </c>
      <c r="R1787" t="s">
        <v>390</v>
      </c>
      <c r="S1787" s="1">
        <f>electric_vehicles_dataset[[#This Row],[Units_Sold_2024]]*electric_vehicles_dataset[[#This Row],[Price_USD]]</f>
        <v>567358316.18999994</v>
      </c>
      <c r="T1787">
        <v>5</v>
      </c>
      <c r="U1787">
        <v>7169</v>
      </c>
      <c r="V1787">
        <v>4</v>
      </c>
    </row>
    <row r="1788" spans="1:22" x14ac:dyDescent="0.35">
      <c r="A1788">
        <v>1787</v>
      </c>
      <c r="B1788" t="s">
        <v>122</v>
      </c>
      <c r="C1788" t="s">
        <v>250</v>
      </c>
      <c r="D1788">
        <v>2019</v>
      </c>
      <c r="E1788" t="s">
        <v>90</v>
      </c>
      <c r="F1788">
        <v>62.3</v>
      </c>
      <c r="G1788" t="s">
        <v>351</v>
      </c>
      <c r="H1788">
        <f>electric_vehicles_dataset[[#This Row],[Battery_Capacity_kWh]]/electric_vehicles_dataset[[#This Row],[Range_km]]</f>
        <v>0.15812182741116751</v>
      </c>
      <c r="I1788">
        <v>394</v>
      </c>
      <c r="J1788" t="s">
        <v>356</v>
      </c>
      <c r="K1788">
        <v>4</v>
      </c>
      <c r="L1788" s="1">
        <v>39521.93</v>
      </c>
      <c r="M1788" s="1" t="str" cm="1">
        <f t="array" ref="M17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88" t="s">
        <v>91</v>
      </c>
      <c r="O1788" t="s">
        <v>63</v>
      </c>
      <c r="P1788" s="2" t="s">
        <v>389</v>
      </c>
      <c r="Q1788">
        <v>0</v>
      </c>
      <c r="R1788" t="s">
        <v>390</v>
      </c>
      <c r="S1788" s="1">
        <f>electric_vehicles_dataset[[#This Row],[Units_Sold_2024]]*electric_vehicles_dataset[[#This Row],[Price_USD]]</f>
        <v>427034453.64999998</v>
      </c>
      <c r="T1788">
        <v>5</v>
      </c>
      <c r="U1788">
        <v>10805</v>
      </c>
      <c r="V1788">
        <v>5</v>
      </c>
    </row>
    <row r="1789" spans="1:22" x14ac:dyDescent="0.35">
      <c r="A1789">
        <v>1788</v>
      </c>
      <c r="B1789" t="s">
        <v>16</v>
      </c>
      <c r="C1789" t="s">
        <v>347</v>
      </c>
      <c r="D1789">
        <v>2023</v>
      </c>
      <c r="E1789" t="s">
        <v>17</v>
      </c>
      <c r="F1789">
        <v>100.9</v>
      </c>
      <c r="G1789" t="s">
        <v>361</v>
      </c>
      <c r="H1789">
        <f>electric_vehicles_dataset[[#This Row],[Battery_Capacity_kWh]]/electric_vehicles_dataset[[#This Row],[Range_km]]</f>
        <v>0.42041666666666672</v>
      </c>
      <c r="I1789">
        <v>240</v>
      </c>
      <c r="J1789" t="s">
        <v>345</v>
      </c>
      <c r="K1789">
        <v>12</v>
      </c>
      <c r="L1789" s="1">
        <v>40438.269999999997</v>
      </c>
      <c r="M1789" s="1" t="str" cm="1">
        <f t="array" ref="M178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89" t="s">
        <v>106</v>
      </c>
      <c r="O1789" t="s">
        <v>92</v>
      </c>
      <c r="P1789" s="2" t="s">
        <v>394</v>
      </c>
      <c r="Q1789">
        <v>2</v>
      </c>
      <c r="R1789" t="s">
        <v>391</v>
      </c>
      <c r="S1789" s="1">
        <f>electric_vehicles_dataset[[#This Row],[Units_Sold_2024]]*electric_vehicles_dataset[[#This Row],[Price_USD]]</f>
        <v>567834187.33999991</v>
      </c>
      <c r="T1789">
        <v>3</v>
      </c>
      <c r="U1789">
        <v>14042</v>
      </c>
      <c r="V1789">
        <v>4</v>
      </c>
    </row>
    <row r="1790" spans="1:22" x14ac:dyDescent="0.35">
      <c r="A1790">
        <v>1789</v>
      </c>
      <c r="B1790" t="s">
        <v>56</v>
      </c>
      <c r="C1790" t="s">
        <v>57</v>
      </c>
      <c r="D1790">
        <v>2025</v>
      </c>
      <c r="E1790" t="s">
        <v>58</v>
      </c>
      <c r="F1790">
        <v>122.7</v>
      </c>
      <c r="G1790" t="s">
        <v>352</v>
      </c>
      <c r="H1790">
        <f>electric_vehicles_dataset[[#This Row],[Battery_Capacity_kWh]]/electric_vehicles_dataset[[#This Row],[Range_km]]</f>
        <v>0.29495192307692308</v>
      </c>
      <c r="I1790">
        <v>416</v>
      </c>
      <c r="J1790" t="s">
        <v>356</v>
      </c>
      <c r="K1790">
        <v>5</v>
      </c>
      <c r="L1790" s="1">
        <v>70157.42</v>
      </c>
      <c r="M1790" s="1" t="str" cm="1">
        <f t="array" ref="M179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90" t="s">
        <v>49</v>
      </c>
      <c r="O1790" t="s">
        <v>118</v>
      </c>
      <c r="P1790" s="2" t="s">
        <v>389</v>
      </c>
      <c r="Q1790">
        <v>2</v>
      </c>
      <c r="R1790" t="s">
        <v>391</v>
      </c>
      <c r="S1790" s="1">
        <f>electric_vehicles_dataset[[#This Row],[Units_Sold_2024]]*electric_vehicles_dataset[[#This Row],[Price_USD]]</f>
        <v>1001918115.02</v>
      </c>
      <c r="T1790">
        <v>5</v>
      </c>
      <c r="U1790">
        <v>14281</v>
      </c>
      <c r="V1790">
        <v>4</v>
      </c>
    </row>
    <row r="1791" spans="1:22" x14ac:dyDescent="0.35">
      <c r="A1791">
        <v>1790</v>
      </c>
      <c r="B1791" t="s">
        <v>64</v>
      </c>
      <c r="C1791" t="s">
        <v>65</v>
      </c>
      <c r="D1791">
        <v>2022</v>
      </c>
      <c r="E1791" t="s">
        <v>47</v>
      </c>
      <c r="F1791">
        <v>97.9</v>
      </c>
      <c r="G1791" t="s">
        <v>350</v>
      </c>
      <c r="H1791">
        <f>electric_vehicles_dataset[[#This Row],[Battery_Capacity_kWh]]/electric_vehicles_dataset[[#This Row],[Range_km]]</f>
        <v>0.44298642533936655</v>
      </c>
      <c r="I1791">
        <v>221</v>
      </c>
      <c r="J1791" t="s">
        <v>76</v>
      </c>
      <c r="K1791">
        <v>11</v>
      </c>
      <c r="L1791" s="1">
        <v>35978.449999999997</v>
      </c>
      <c r="M1791" s="1" t="str" cm="1">
        <f t="array" ref="M179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91" t="s">
        <v>205</v>
      </c>
      <c r="O1791" t="s">
        <v>202</v>
      </c>
      <c r="P1791" s="2" t="s">
        <v>393</v>
      </c>
      <c r="Q1791">
        <v>1</v>
      </c>
      <c r="R1791" t="s">
        <v>391</v>
      </c>
      <c r="S1791" s="1">
        <f>electric_vehicles_dataset[[#This Row],[Units_Sold_2024]]*electric_vehicles_dataset[[#This Row],[Price_USD]]</f>
        <v>44361428.849999994</v>
      </c>
      <c r="T1791">
        <v>3</v>
      </c>
      <c r="U1791">
        <v>1233</v>
      </c>
      <c r="V1791">
        <v>3</v>
      </c>
    </row>
    <row r="1792" spans="1:22" x14ac:dyDescent="0.35">
      <c r="A1792">
        <v>1791</v>
      </c>
      <c r="B1792" t="s">
        <v>51</v>
      </c>
      <c r="C1792" t="s">
        <v>162</v>
      </c>
      <c r="D1792">
        <v>2020</v>
      </c>
      <c r="E1792" t="s">
        <v>90</v>
      </c>
      <c r="F1792">
        <v>81.8</v>
      </c>
      <c r="G1792" t="s">
        <v>350</v>
      </c>
      <c r="H1792">
        <f>electric_vehicles_dataset[[#This Row],[Battery_Capacity_kWh]]/electric_vehicles_dataset[[#This Row],[Range_km]]</f>
        <v>0.19156908665105385</v>
      </c>
      <c r="I1792">
        <v>427</v>
      </c>
      <c r="J1792" t="s">
        <v>18</v>
      </c>
      <c r="K1792">
        <v>3</v>
      </c>
      <c r="L1792" s="1">
        <v>63693.82</v>
      </c>
      <c r="M1792" s="1" t="str" cm="1">
        <f t="array" ref="M179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792" t="s">
        <v>131</v>
      </c>
      <c r="O1792" t="s">
        <v>121</v>
      </c>
      <c r="P1792" s="2" t="s">
        <v>398</v>
      </c>
      <c r="Q1792">
        <v>4</v>
      </c>
      <c r="R1792" t="s">
        <v>392</v>
      </c>
      <c r="S1792" s="1">
        <f>electric_vehicles_dataset[[#This Row],[Units_Sold_2024]]*electric_vehicles_dataset[[#This Row],[Price_USD]]</f>
        <v>1252666357.9400001</v>
      </c>
      <c r="T1792">
        <v>5</v>
      </c>
      <c r="U1792">
        <v>19667</v>
      </c>
      <c r="V1792">
        <v>3</v>
      </c>
    </row>
    <row r="1793" spans="1:22" x14ac:dyDescent="0.35">
      <c r="A1793">
        <v>1792</v>
      </c>
      <c r="B1793" t="s">
        <v>173</v>
      </c>
      <c r="C1793" t="s">
        <v>174</v>
      </c>
      <c r="D1793">
        <v>2021</v>
      </c>
      <c r="E1793" t="s">
        <v>47</v>
      </c>
      <c r="F1793">
        <v>26.3</v>
      </c>
      <c r="G1793" t="s">
        <v>357</v>
      </c>
      <c r="H1793">
        <f>electric_vehicles_dataset[[#This Row],[Battery_Capacity_kWh]]/electric_vehicles_dataset[[#This Row],[Range_km]]</f>
        <v>6.2470308788598577E-2</v>
      </c>
      <c r="I1793">
        <v>421</v>
      </c>
      <c r="J1793" t="s">
        <v>105</v>
      </c>
      <c r="K1793">
        <v>6</v>
      </c>
      <c r="L1793" s="1">
        <v>113298.94</v>
      </c>
      <c r="M1793" s="1" t="str" cm="1">
        <f t="array" ref="M179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93" t="s">
        <v>143</v>
      </c>
      <c r="O1793" t="s">
        <v>206</v>
      </c>
      <c r="P1793" s="2" t="s">
        <v>394</v>
      </c>
      <c r="Q1793">
        <v>2</v>
      </c>
      <c r="R1793" t="s">
        <v>391</v>
      </c>
      <c r="S1793" s="1">
        <f>electric_vehicles_dataset[[#This Row],[Units_Sold_2024]]*electric_vehicles_dataset[[#This Row],[Price_USD]]</f>
        <v>2055016173.72</v>
      </c>
      <c r="T1793">
        <v>4</v>
      </c>
      <c r="U1793">
        <v>18138</v>
      </c>
      <c r="V1793">
        <v>3</v>
      </c>
    </row>
    <row r="1794" spans="1:22" x14ac:dyDescent="0.35">
      <c r="A1794">
        <v>1793</v>
      </c>
      <c r="B1794" t="s">
        <v>29</v>
      </c>
      <c r="C1794" t="s">
        <v>331</v>
      </c>
      <c r="D1794">
        <v>2018</v>
      </c>
      <c r="E1794" t="s">
        <v>130</v>
      </c>
      <c r="F1794">
        <v>117.2</v>
      </c>
      <c r="G1794" t="s">
        <v>361</v>
      </c>
      <c r="H1794">
        <f>electric_vehicles_dataset[[#This Row],[Battery_Capacity_kWh]]/electric_vehicles_dataset[[#This Row],[Range_km]]</f>
        <v>0.4027491408934708</v>
      </c>
      <c r="I1794">
        <v>291</v>
      </c>
      <c r="J1794" t="s">
        <v>34</v>
      </c>
      <c r="K1794">
        <v>5</v>
      </c>
      <c r="L1794" s="1">
        <v>119624.5</v>
      </c>
      <c r="M1794" s="1" t="str" cm="1">
        <f t="array" ref="M17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94" t="s">
        <v>175</v>
      </c>
      <c r="O1794" t="s">
        <v>202</v>
      </c>
      <c r="P1794" s="2" t="s">
        <v>393</v>
      </c>
      <c r="Q1794">
        <v>2</v>
      </c>
      <c r="R1794" t="s">
        <v>391</v>
      </c>
      <c r="S1794" s="1">
        <f>electric_vehicles_dataset[[#This Row],[Units_Sold_2024]]*electric_vehicles_dataset[[#This Row],[Price_USD]]</f>
        <v>960465110.5</v>
      </c>
      <c r="T1794">
        <v>4</v>
      </c>
      <c r="U1794">
        <v>8029</v>
      </c>
      <c r="V1794">
        <v>5</v>
      </c>
    </row>
    <row r="1795" spans="1:22" x14ac:dyDescent="0.35">
      <c r="A1795">
        <v>1794</v>
      </c>
      <c r="B1795" t="s">
        <v>153</v>
      </c>
      <c r="C1795" t="s">
        <v>310</v>
      </c>
      <c r="D1795">
        <v>2015</v>
      </c>
      <c r="E1795" t="s">
        <v>90</v>
      </c>
      <c r="F1795">
        <v>135.80000000000001</v>
      </c>
      <c r="G1795" t="s">
        <v>352</v>
      </c>
      <c r="H1795">
        <f>electric_vehicles_dataset[[#This Row],[Battery_Capacity_kWh]]/electric_vehicles_dataset[[#This Row],[Range_km]]</f>
        <v>0.3902298850574713</v>
      </c>
      <c r="I1795">
        <v>348</v>
      </c>
      <c r="J1795" t="s">
        <v>105</v>
      </c>
      <c r="K1795">
        <v>11</v>
      </c>
      <c r="L1795" s="1">
        <v>128963.45</v>
      </c>
      <c r="M1795" s="1" t="str" cm="1">
        <f t="array" ref="M179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95" t="s">
        <v>253</v>
      </c>
      <c r="O1795" t="s">
        <v>150</v>
      </c>
      <c r="P1795" s="2" t="s">
        <v>389</v>
      </c>
      <c r="Q1795">
        <v>0</v>
      </c>
      <c r="R1795" t="s">
        <v>390</v>
      </c>
      <c r="S1795" s="1">
        <f>electric_vehicles_dataset[[#This Row],[Units_Sold_2024]]*electric_vehicles_dataset[[#This Row],[Price_USD]]</f>
        <v>1263068029.3</v>
      </c>
      <c r="T1795">
        <v>4</v>
      </c>
      <c r="U1795">
        <v>9794</v>
      </c>
      <c r="V1795">
        <v>5</v>
      </c>
    </row>
    <row r="1796" spans="1:22" x14ac:dyDescent="0.35">
      <c r="A1796">
        <v>1795</v>
      </c>
      <c r="B1796" t="s">
        <v>261</v>
      </c>
      <c r="C1796" t="s">
        <v>372</v>
      </c>
      <c r="D1796">
        <v>2016</v>
      </c>
      <c r="E1796" t="s">
        <v>90</v>
      </c>
      <c r="F1796">
        <v>109.8</v>
      </c>
      <c r="G1796" t="s">
        <v>361</v>
      </c>
      <c r="H1796">
        <f>electric_vehicles_dataset[[#This Row],[Battery_Capacity_kWh]]/electric_vehicles_dataset[[#This Row],[Range_km]]</f>
        <v>0.23714902807775379</v>
      </c>
      <c r="I1796">
        <v>463</v>
      </c>
      <c r="J1796" t="s">
        <v>149</v>
      </c>
      <c r="K1796">
        <v>5</v>
      </c>
      <c r="L1796" s="1">
        <v>118666.3</v>
      </c>
      <c r="M1796" s="1" t="str" cm="1">
        <f t="array" ref="M179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96" t="s">
        <v>106</v>
      </c>
      <c r="O1796" t="s">
        <v>44</v>
      </c>
      <c r="P1796" s="2" t="s">
        <v>389</v>
      </c>
      <c r="Q1796">
        <v>2</v>
      </c>
      <c r="R1796" t="s">
        <v>391</v>
      </c>
      <c r="S1796" s="1">
        <f>electric_vehicles_dataset[[#This Row],[Units_Sold_2024]]*electric_vehicles_dataset[[#This Row],[Price_USD]]</f>
        <v>1389701039.3</v>
      </c>
      <c r="T1796">
        <v>3</v>
      </c>
      <c r="U1796">
        <v>11711</v>
      </c>
      <c r="V1796">
        <v>4</v>
      </c>
    </row>
    <row r="1797" spans="1:22" x14ac:dyDescent="0.35">
      <c r="A1797">
        <v>1796</v>
      </c>
      <c r="B1797" t="s">
        <v>259</v>
      </c>
      <c r="C1797" t="s">
        <v>298</v>
      </c>
      <c r="D1797">
        <v>2023</v>
      </c>
      <c r="E1797" t="s">
        <v>31</v>
      </c>
      <c r="F1797">
        <v>131.9</v>
      </c>
      <c r="G1797" t="s">
        <v>352</v>
      </c>
      <c r="H1797">
        <f>electric_vehicles_dataset[[#This Row],[Battery_Capacity_kWh]]/electric_vehicles_dataset[[#This Row],[Range_km]]</f>
        <v>0.29707207207207209</v>
      </c>
      <c r="I1797">
        <v>444</v>
      </c>
      <c r="J1797" t="s">
        <v>356</v>
      </c>
      <c r="K1797">
        <v>6</v>
      </c>
      <c r="L1797" s="1">
        <v>134970.22</v>
      </c>
      <c r="M1797" s="1" t="str" cm="1">
        <f t="array" ref="M179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97" t="s">
        <v>114</v>
      </c>
      <c r="O1797" t="s">
        <v>150</v>
      </c>
      <c r="P1797" s="2" t="s">
        <v>389</v>
      </c>
      <c r="Q1797">
        <v>2</v>
      </c>
      <c r="R1797" t="s">
        <v>391</v>
      </c>
      <c r="S1797" s="1">
        <f>electric_vehicles_dataset[[#This Row],[Units_Sold_2024]]*electric_vehicles_dataset[[#This Row],[Price_USD]]</f>
        <v>962067728.15999997</v>
      </c>
      <c r="T1797">
        <v>4</v>
      </c>
      <c r="U1797">
        <v>7128</v>
      </c>
      <c r="V1797">
        <v>5</v>
      </c>
    </row>
    <row r="1798" spans="1:22" x14ac:dyDescent="0.35">
      <c r="A1798">
        <v>1797</v>
      </c>
      <c r="B1798" t="s">
        <v>187</v>
      </c>
      <c r="C1798" t="s">
        <v>293</v>
      </c>
      <c r="D1798">
        <v>2022</v>
      </c>
      <c r="E1798" t="s">
        <v>73</v>
      </c>
      <c r="F1798">
        <v>86.6</v>
      </c>
      <c r="G1798" t="s">
        <v>350</v>
      </c>
      <c r="H1798">
        <f>electric_vehicles_dataset[[#This Row],[Battery_Capacity_kWh]]/electric_vehicles_dataset[[#This Row],[Range_km]]</f>
        <v>0.35060728744939268</v>
      </c>
      <c r="I1798">
        <v>247</v>
      </c>
      <c r="J1798" t="s">
        <v>34</v>
      </c>
      <c r="K1798">
        <v>1</v>
      </c>
      <c r="L1798" s="1">
        <v>97341.440000000002</v>
      </c>
      <c r="M1798" s="1" t="str" cm="1">
        <f t="array" ref="M179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798" t="s">
        <v>168</v>
      </c>
      <c r="O1798" t="s">
        <v>135</v>
      </c>
      <c r="P1798" s="2" t="s">
        <v>389</v>
      </c>
      <c r="Q1798">
        <v>2</v>
      </c>
      <c r="R1798" t="s">
        <v>391</v>
      </c>
      <c r="S1798" s="1">
        <f>electric_vehicles_dataset[[#This Row],[Units_Sold_2024]]*electric_vehicles_dataset[[#This Row],[Price_USD]]</f>
        <v>1816488611.8400002</v>
      </c>
      <c r="T1798">
        <v>5</v>
      </c>
      <c r="U1798">
        <v>18661</v>
      </c>
      <c r="V1798">
        <v>3</v>
      </c>
    </row>
    <row r="1799" spans="1:22" x14ac:dyDescent="0.35">
      <c r="A1799">
        <v>1798</v>
      </c>
      <c r="B1799" t="s">
        <v>157</v>
      </c>
      <c r="C1799" t="s">
        <v>375</v>
      </c>
      <c r="D1799">
        <v>2016</v>
      </c>
      <c r="E1799" t="s">
        <v>130</v>
      </c>
      <c r="F1799">
        <v>82.8</v>
      </c>
      <c r="G1799" t="s">
        <v>350</v>
      </c>
      <c r="H1799">
        <f>electric_vehicles_dataset[[#This Row],[Battery_Capacity_kWh]]/electric_vehicles_dataset[[#This Row],[Range_km]]</f>
        <v>0.28650519031141869</v>
      </c>
      <c r="I1799">
        <v>289</v>
      </c>
      <c r="J1799" t="s">
        <v>364</v>
      </c>
      <c r="K1799">
        <v>2</v>
      </c>
      <c r="L1799" s="1">
        <v>111310.34</v>
      </c>
      <c r="M1799" s="1" t="str" cm="1">
        <f t="array" ref="M179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799" t="s">
        <v>49</v>
      </c>
      <c r="O1799" t="s">
        <v>111</v>
      </c>
      <c r="P1799" s="2" t="s">
        <v>389</v>
      </c>
      <c r="Q1799">
        <v>2</v>
      </c>
      <c r="R1799" t="s">
        <v>391</v>
      </c>
      <c r="S1799" s="1">
        <f>electric_vehicles_dataset[[#This Row],[Units_Sold_2024]]*electric_vehicles_dataset[[#This Row],[Price_USD]]</f>
        <v>751344795</v>
      </c>
      <c r="T1799">
        <v>4</v>
      </c>
      <c r="U1799">
        <v>6750</v>
      </c>
      <c r="V1799">
        <v>5</v>
      </c>
    </row>
    <row r="1800" spans="1:22" x14ac:dyDescent="0.35">
      <c r="A1800">
        <v>1799</v>
      </c>
      <c r="B1800" t="s">
        <v>184</v>
      </c>
      <c r="C1800" t="s">
        <v>309</v>
      </c>
      <c r="D1800">
        <v>2019</v>
      </c>
      <c r="E1800" t="s">
        <v>90</v>
      </c>
      <c r="F1800">
        <v>90.4</v>
      </c>
      <c r="G1800" t="s">
        <v>350</v>
      </c>
      <c r="H1800">
        <f>electric_vehicles_dataset[[#This Row],[Battery_Capacity_kWh]]/electric_vehicles_dataset[[#This Row],[Range_km]]</f>
        <v>0.2469945355191257</v>
      </c>
      <c r="I1800">
        <v>366</v>
      </c>
      <c r="J1800" t="s">
        <v>353</v>
      </c>
      <c r="K1800">
        <v>6</v>
      </c>
      <c r="L1800" s="1">
        <v>107291.13</v>
      </c>
      <c r="M1800" s="1" t="str" cm="1">
        <f t="array" ref="M180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00" t="s">
        <v>117</v>
      </c>
      <c r="O1800" t="s">
        <v>182</v>
      </c>
      <c r="P1800" s="2" t="s">
        <v>394</v>
      </c>
      <c r="Q1800">
        <v>3</v>
      </c>
      <c r="R1800" t="s">
        <v>397</v>
      </c>
      <c r="S1800" s="1">
        <f>electric_vehicles_dataset[[#This Row],[Units_Sold_2024]]*electric_vehicles_dataset[[#This Row],[Price_USD]]</f>
        <v>2047329342.6600001</v>
      </c>
      <c r="T1800">
        <v>4</v>
      </c>
      <c r="U1800">
        <v>19082</v>
      </c>
      <c r="V1800">
        <v>3</v>
      </c>
    </row>
    <row r="1801" spans="1:22" x14ac:dyDescent="0.35">
      <c r="A1801">
        <v>1800</v>
      </c>
      <c r="B1801" t="s">
        <v>173</v>
      </c>
      <c r="C1801" t="s">
        <v>249</v>
      </c>
      <c r="D1801">
        <v>2020</v>
      </c>
      <c r="E1801" t="s">
        <v>104</v>
      </c>
      <c r="F1801">
        <v>59.4</v>
      </c>
      <c r="G1801" t="s">
        <v>348</v>
      </c>
      <c r="H1801">
        <f>electric_vehicles_dataset[[#This Row],[Battery_Capacity_kWh]]/electric_vehicles_dataset[[#This Row],[Range_km]]</f>
        <v>0.14382566585956416</v>
      </c>
      <c r="I1801">
        <v>413</v>
      </c>
      <c r="J1801" t="s">
        <v>105</v>
      </c>
      <c r="K1801">
        <v>8</v>
      </c>
      <c r="L1801" s="1">
        <v>115003.58</v>
      </c>
      <c r="M1801" s="1" t="str" cm="1">
        <f t="array" ref="M18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01" t="s">
        <v>238</v>
      </c>
      <c r="O1801" t="s">
        <v>111</v>
      </c>
      <c r="P1801" s="2" t="s">
        <v>389</v>
      </c>
      <c r="Q1801">
        <v>3</v>
      </c>
      <c r="R1801" t="s">
        <v>397</v>
      </c>
      <c r="S1801" s="1">
        <f>electric_vehicles_dataset[[#This Row],[Units_Sold_2024]]*electric_vehicles_dataset[[#This Row],[Price_USD]]</f>
        <v>1267224448.02</v>
      </c>
      <c r="T1801">
        <v>3</v>
      </c>
      <c r="U1801">
        <v>11019</v>
      </c>
      <c r="V1801">
        <v>4</v>
      </c>
    </row>
    <row r="1802" spans="1:22" x14ac:dyDescent="0.35">
      <c r="A1802">
        <v>1801</v>
      </c>
      <c r="B1802" t="s">
        <v>74</v>
      </c>
      <c r="C1802" t="s">
        <v>75</v>
      </c>
      <c r="D1802">
        <v>2017</v>
      </c>
      <c r="E1802" t="s">
        <v>17</v>
      </c>
      <c r="F1802">
        <v>20.3</v>
      </c>
      <c r="G1802" t="s">
        <v>357</v>
      </c>
      <c r="H1802">
        <f>electric_vehicles_dataset[[#This Row],[Battery_Capacity_kWh]]/electric_vehicles_dataset[[#This Row],[Range_km]]</f>
        <v>5.1005025125628142E-2</v>
      </c>
      <c r="I1802">
        <v>398</v>
      </c>
      <c r="J1802" t="s">
        <v>105</v>
      </c>
      <c r="K1802">
        <v>9</v>
      </c>
      <c r="L1802" s="1">
        <v>133031.49</v>
      </c>
      <c r="M1802" s="1" t="str" cm="1">
        <f t="array" ref="M180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02" t="s">
        <v>279</v>
      </c>
      <c r="O1802" t="s">
        <v>230</v>
      </c>
      <c r="P1802" s="2" t="s">
        <v>389</v>
      </c>
      <c r="Q1802">
        <v>5</v>
      </c>
      <c r="R1802" t="s">
        <v>392</v>
      </c>
      <c r="S1802" s="1">
        <f>electric_vehicles_dataset[[#This Row],[Units_Sold_2024]]*electric_vehicles_dataset[[#This Row],[Price_USD]]</f>
        <v>917518186.52999997</v>
      </c>
      <c r="T1802">
        <v>4</v>
      </c>
      <c r="U1802">
        <v>6897</v>
      </c>
      <c r="V1802">
        <v>4</v>
      </c>
    </row>
    <row r="1803" spans="1:22" x14ac:dyDescent="0.35">
      <c r="A1803">
        <v>1802</v>
      </c>
      <c r="B1803" t="s">
        <v>41</v>
      </c>
      <c r="C1803" t="s">
        <v>355</v>
      </c>
      <c r="D1803">
        <v>2022</v>
      </c>
      <c r="E1803" t="s">
        <v>58</v>
      </c>
      <c r="F1803">
        <v>149.19999999999999</v>
      </c>
      <c r="G1803" t="s">
        <v>386</v>
      </c>
      <c r="H1803">
        <f>electric_vehicles_dataset[[#This Row],[Battery_Capacity_kWh]]/electric_vehicles_dataset[[#This Row],[Range_km]]</f>
        <v>0.33986332574031886</v>
      </c>
      <c r="I1803">
        <v>439</v>
      </c>
      <c r="J1803" t="s">
        <v>27</v>
      </c>
      <c r="K1803">
        <v>2</v>
      </c>
      <c r="L1803" s="1">
        <v>143969.60000000001</v>
      </c>
      <c r="M1803" s="1" t="str" cm="1">
        <f t="array" ref="M180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03" t="s">
        <v>39</v>
      </c>
      <c r="O1803" t="s">
        <v>161</v>
      </c>
      <c r="P1803" s="2" t="s">
        <v>389</v>
      </c>
      <c r="Q1803">
        <v>1</v>
      </c>
      <c r="R1803" t="s">
        <v>391</v>
      </c>
      <c r="S1803" s="1">
        <f>electric_vehicles_dataset[[#This Row],[Units_Sold_2024]]*electric_vehicles_dataset[[#This Row],[Price_USD]]</f>
        <v>1134048539.2</v>
      </c>
      <c r="T1803">
        <v>4</v>
      </c>
      <c r="U1803">
        <v>7877</v>
      </c>
      <c r="V1803">
        <v>5</v>
      </c>
    </row>
    <row r="1804" spans="1:22" x14ac:dyDescent="0.35">
      <c r="A1804">
        <v>1803</v>
      </c>
      <c r="B1804" t="s">
        <v>29</v>
      </c>
      <c r="C1804" t="s">
        <v>331</v>
      </c>
      <c r="D1804">
        <v>2023</v>
      </c>
      <c r="E1804" t="s">
        <v>130</v>
      </c>
      <c r="F1804">
        <v>37.4</v>
      </c>
      <c r="G1804" t="s">
        <v>357</v>
      </c>
      <c r="H1804">
        <f>electric_vehicles_dataset[[#This Row],[Battery_Capacity_kWh]]/electric_vehicles_dataset[[#This Row],[Range_km]]</f>
        <v>0.13357142857142856</v>
      </c>
      <c r="I1804">
        <v>280</v>
      </c>
      <c r="J1804" t="s">
        <v>149</v>
      </c>
      <c r="K1804">
        <v>6</v>
      </c>
      <c r="L1804" s="1">
        <v>90057.78</v>
      </c>
      <c r="M1804" s="1" t="str" cm="1">
        <f t="array" ref="M180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04" t="s">
        <v>253</v>
      </c>
      <c r="O1804" t="s">
        <v>161</v>
      </c>
      <c r="P1804" s="2" t="s">
        <v>389</v>
      </c>
      <c r="Q1804">
        <v>1</v>
      </c>
      <c r="R1804" t="s">
        <v>391</v>
      </c>
      <c r="S1804" s="1">
        <f>electric_vehicles_dataset[[#This Row],[Units_Sold_2024]]*electric_vehicles_dataset[[#This Row],[Price_USD]]</f>
        <v>1439483555.52</v>
      </c>
      <c r="T1804">
        <v>5</v>
      </c>
      <c r="U1804">
        <v>15984</v>
      </c>
      <c r="V1804">
        <v>4</v>
      </c>
    </row>
    <row r="1805" spans="1:22" x14ac:dyDescent="0.35">
      <c r="A1805">
        <v>1804</v>
      </c>
      <c r="B1805" t="s">
        <v>184</v>
      </c>
      <c r="C1805" t="s">
        <v>309</v>
      </c>
      <c r="D1805">
        <v>2023</v>
      </c>
      <c r="E1805" t="s">
        <v>104</v>
      </c>
      <c r="F1805">
        <v>133.80000000000001</v>
      </c>
      <c r="G1805" t="s">
        <v>352</v>
      </c>
      <c r="H1805">
        <f>electric_vehicles_dataset[[#This Row],[Battery_Capacity_kWh]]/electric_vehicles_dataset[[#This Row],[Range_km]]</f>
        <v>0.45979381443298972</v>
      </c>
      <c r="I1805">
        <v>291</v>
      </c>
      <c r="J1805" t="s">
        <v>345</v>
      </c>
      <c r="K1805">
        <v>3</v>
      </c>
      <c r="L1805" s="1">
        <v>109822.96</v>
      </c>
      <c r="M1805" s="1" t="str" cm="1">
        <f t="array" ref="M180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05" t="s">
        <v>240</v>
      </c>
      <c r="O1805" t="s">
        <v>78</v>
      </c>
      <c r="P1805" s="2" t="s">
        <v>389</v>
      </c>
      <c r="Q1805">
        <v>4</v>
      </c>
      <c r="R1805" t="s">
        <v>392</v>
      </c>
      <c r="S1805" s="1">
        <f>electric_vehicles_dataset[[#This Row],[Units_Sold_2024]]*electric_vehicles_dataset[[#This Row],[Price_USD]]</f>
        <v>63477670.880000003</v>
      </c>
      <c r="T1805">
        <v>5</v>
      </c>
      <c r="U1805">
        <v>578</v>
      </c>
      <c r="V1805">
        <v>5</v>
      </c>
    </row>
    <row r="1806" spans="1:22" x14ac:dyDescent="0.35">
      <c r="A1806">
        <v>1805</v>
      </c>
      <c r="B1806" t="s">
        <v>269</v>
      </c>
      <c r="C1806" t="s">
        <v>270</v>
      </c>
      <c r="D1806">
        <v>2022</v>
      </c>
      <c r="E1806" t="s">
        <v>17</v>
      </c>
      <c r="F1806">
        <v>97.7</v>
      </c>
      <c r="G1806" t="s">
        <v>350</v>
      </c>
      <c r="H1806">
        <f>electric_vehicles_dataset[[#This Row],[Battery_Capacity_kWh]]/electric_vehicles_dataset[[#This Row],[Range_km]]</f>
        <v>0.18574144486692015</v>
      </c>
      <c r="I1806">
        <v>526</v>
      </c>
      <c r="J1806" t="s">
        <v>356</v>
      </c>
      <c r="K1806">
        <v>5</v>
      </c>
      <c r="L1806" s="1">
        <v>90190.21</v>
      </c>
      <c r="M1806" s="1" t="str" cm="1">
        <f t="array" ref="M180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06" t="s">
        <v>39</v>
      </c>
      <c r="O1806" t="s">
        <v>169</v>
      </c>
      <c r="P1806" s="2" t="s">
        <v>394</v>
      </c>
      <c r="Q1806">
        <v>1</v>
      </c>
      <c r="R1806" t="s">
        <v>391</v>
      </c>
      <c r="S1806" s="1">
        <f>electric_vehicles_dataset[[#This Row],[Units_Sold_2024]]*electric_vehicles_dataset[[#This Row],[Price_USD]]</f>
        <v>347412688.92000002</v>
      </c>
      <c r="T1806">
        <v>4</v>
      </c>
      <c r="U1806">
        <v>3852</v>
      </c>
      <c r="V1806">
        <v>3</v>
      </c>
    </row>
    <row r="1807" spans="1:22" x14ac:dyDescent="0.35">
      <c r="A1807">
        <v>1806</v>
      </c>
      <c r="B1807" t="s">
        <v>125</v>
      </c>
      <c r="C1807" t="s">
        <v>291</v>
      </c>
      <c r="D1807">
        <v>2018</v>
      </c>
      <c r="E1807" t="s">
        <v>31</v>
      </c>
      <c r="F1807">
        <v>116.4</v>
      </c>
      <c r="G1807" t="s">
        <v>361</v>
      </c>
      <c r="H1807">
        <f>electric_vehicles_dataset[[#This Row],[Battery_Capacity_kWh]]/electric_vehicles_dataset[[#This Row],[Range_km]]</f>
        <v>0.26758620689655171</v>
      </c>
      <c r="I1807">
        <v>435</v>
      </c>
      <c r="J1807" t="s">
        <v>54</v>
      </c>
      <c r="K1807">
        <v>6</v>
      </c>
      <c r="L1807" s="1">
        <v>66069.960000000006</v>
      </c>
      <c r="M1807" s="1" t="str" cm="1">
        <f t="array" ref="M180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07" t="s">
        <v>32</v>
      </c>
      <c r="O1807" t="s">
        <v>93</v>
      </c>
      <c r="P1807" s="2" t="s">
        <v>389</v>
      </c>
      <c r="Q1807">
        <v>4</v>
      </c>
      <c r="R1807" t="s">
        <v>392</v>
      </c>
      <c r="S1807" s="1">
        <f>electric_vehicles_dataset[[#This Row],[Units_Sold_2024]]*electric_vehicles_dataset[[#This Row],[Price_USD]]</f>
        <v>207856094.16000003</v>
      </c>
      <c r="T1807">
        <v>5</v>
      </c>
      <c r="U1807">
        <v>3146</v>
      </c>
      <c r="V1807">
        <v>4</v>
      </c>
    </row>
    <row r="1808" spans="1:22" x14ac:dyDescent="0.35">
      <c r="A1808">
        <v>1807</v>
      </c>
      <c r="B1808" t="s">
        <v>259</v>
      </c>
      <c r="C1808" t="s">
        <v>260</v>
      </c>
      <c r="D1808">
        <v>2025</v>
      </c>
      <c r="E1808" t="s">
        <v>90</v>
      </c>
      <c r="F1808">
        <v>83.6</v>
      </c>
      <c r="G1808" t="s">
        <v>350</v>
      </c>
      <c r="H1808">
        <f>electric_vehicles_dataset[[#This Row],[Battery_Capacity_kWh]]/electric_vehicles_dataset[[#This Row],[Range_km]]</f>
        <v>0.16264591439688714</v>
      </c>
      <c r="I1808">
        <v>514</v>
      </c>
      <c r="J1808" t="s">
        <v>353</v>
      </c>
      <c r="K1808">
        <v>12</v>
      </c>
      <c r="L1808" s="1">
        <v>44938.27</v>
      </c>
      <c r="M1808" s="1" t="str" cm="1">
        <f t="array" ref="M180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08" t="s">
        <v>91</v>
      </c>
      <c r="O1808" t="s">
        <v>89</v>
      </c>
      <c r="P1808" s="2" t="s">
        <v>389</v>
      </c>
      <c r="Q1808">
        <v>0</v>
      </c>
      <c r="R1808" t="s">
        <v>390</v>
      </c>
      <c r="S1808" s="1">
        <f>electric_vehicles_dataset[[#This Row],[Units_Sold_2024]]*electric_vehicles_dataset[[#This Row],[Price_USD]]</f>
        <v>549010844.58999991</v>
      </c>
      <c r="T1808">
        <v>4</v>
      </c>
      <c r="U1808">
        <v>12217</v>
      </c>
      <c r="V1808">
        <v>5</v>
      </c>
    </row>
    <row r="1809" spans="1:22" x14ac:dyDescent="0.35">
      <c r="A1809">
        <v>1808</v>
      </c>
      <c r="B1809" t="s">
        <v>193</v>
      </c>
      <c r="C1809" t="s">
        <v>312</v>
      </c>
      <c r="D1809">
        <v>2015</v>
      </c>
      <c r="E1809" t="s">
        <v>58</v>
      </c>
      <c r="F1809">
        <v>80</v>
      </c>
      <c r="G1809" t="s">
        <v>351</v>
      </c>
      <c r="H1809">
        <f>electric_vehicles_dataset[[#This Row],[Battery_Capacity_kWh]]/electric_vehicles_dataset[[#This Row],[Range_km]]</f>
        <v>0.40609137055837563</v>
      </c>
      <c r="I1809">
        <v>197</v>
      </c>
      <c r="J1809" t="s">
        <v>34</v>
      </c>
      <c r="K1809">
        <v>2</v>
      </c>
      <c r="L1809" s="1">
        <v>39339.97</v>
      </c>
      <c r="M1809" s="1" t="str" cm="1">
        <f t="array" ref="M180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09" t="s">
        <v>91</v>
      </c>
      <c r="O1809" t="s">
        <v>118</v>
      </c>
      <c r="P1809" s="2" t="s">
        <v>389</v>
      </c>
      <c r="Q1809">
        <v>5</v>
      </c>
      <c r="R1809" t="s">
        <v>392</v>
      </c>
      <c r="S1809" s="1">
        <f>electric_vehicles_dataset[[#This Row],[Units_Sold_2024]]*electric_vehicles_dataset[[#This Row],[Price_USD]]</f>
        <v>45437665.350000001</v>
      </c>
      <c r="T1809">
        <v>4</v>
      </c>
      <c r="U1809">
        <v>1155</v>
      </c>
      <c r="V1809">
        <v>4</v>
      </c>
    </row>
    <row r="1810" spans="1:22" x14ac:dyDescent="0.35">
      <c r="A1810">
        <v>1809</v>
      </c>
      <c r="B1810" t="s">
        <v>45</v>
      </c>
      <c r="C1810" t="s">
        <v>46</v>
      </c>
      <c r="D1810">
        <v>2025</v>
      </c>
      <c r="E1810" t="s">
        <v>133</v>
      </c>
      <c r="F1810">
        <v>94.7</v>
      </c>
      <c r="G1810" t="s">
        <v>350</v>
      </c>
      <c r="H1810">
        <f>electric_vehicles_dataset[[#This Row],[Battery_Capacity_kWh]]/electric_vehicles_dataset[[#This Row],[Range_km]]</f>
        <v>0.27057142857142857</v>
      </c>
      <c r="I1810">
        <v>350</v>
      </c>
      <c r="J1810" t="s">
        <v>358</v>
      </c>
      <c r="K1810">
        <v>9</v>
      </c>
      <c r="L1810" s="1">
        <v>51371.76</v>
      </c>
      <c r="M1810" s="1" t="str" cm="1">
        <f t="array" ref="M181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10" t="s">
        <v>212</v>
      </c>
      <c r="O1810" t="s">
        <v>89</v>
      </c>
      <c r="P1810" s="2" t="s">
        <v>389</v>
      </c>
      <c r="Q1810">
        <v>0</v>
      </c>
      <c r="R1810" t="s">
        <v>390</v>
      </c>
      <c r="S1810" s="1">
        <f>electric_vehicles_dataset[[#This Row],[Units_Sold_2024]]*electric_vehicles_dataset[[#This Row],[Price_USD]]</f>
        <v>614663108.39999998</v>
      </c>
      <c r="T1810">
        <v>3</v>
      </c>
      <c r="U1810">
        <v>11965</v>
      </c>
      <c r="V1810">
        <v>5</v>
      </c>
    </row>
    <row r="1811" spans="1:22" x14ac:dyDescent="0.35">
      <c r="A1811">
        <v>1810</v>
      </c>
      <c r="B1811" t="s">
        <v>74</v>
      </c>
      <c r="C1811" t="s">
        <v>75</v>
      </c>
      <c r="D1811">
        <v>2025</v>
      </c>
      <c r="E1811" t="s">
        <v>47</v>
      </c>
      <c r="F1811">
        <v>120.2</v>
      </c>
      <c r="G1811" t="s">
        <v>352</v>
      </c>
      <c r="H1811">
        <f>electric_vehicles_dataset[[#This Row],[Battery_Capacity_kWh]]/electric_vehicles_dataset[[#This Row],[Range_km]]</f>
        <v>0.21013986013986014</v>
      </c>
      <c r="I1811">
        <v>572</v>
      </c>
      <c r="J1811" t="s">
        <v>358</v>
      </c>
      <c r="K1811">
        <v>6</v>
      </c>
      <c r="L1811" s="1">
        <v>111222.71</v>
      </c>
      <c r="M1811" s="1" t="str" cm="1">
        <f t="array" ref="M181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11" t="s">
        <v>91</v>
      </c>
      <c r="O1811" t="s">
        <v>63</v>
      </c>
      <c r="P1811" s="2" t="s">
        <v>389</v>
      </c>
      <c r="Q1811">
        <v>3</v>
      </c>
      <c r="R1811" t="s">
        <v>397</v>
      </c>
      <c r="S1811" s="1">
        <f>electric_vehicles_dataset[[#This Row],[Units_Sold_2024]]*electric_vehicles_dataset[[#This Row],[Price_USD]]</f>
        <v>1297524134.8600001</v>
      </c>
      <c r="T1811">
        <v>5</v>
      </c>
      <c r="U1811">
        <v>11666</v>
      </c>
      <c r="V1811">
        <v>5</v>
      </c>
    </row>
    <row r="1812" spans="1:22" x14ac:dyDescent="0.35">
      <c r="A1812">
        <v>1811</v>
      </c>
      <c r="B1812" t="s">
        <v>207</v>
      </c>
      <c r="C1812" t="s">
        <v>208</v>
      </c>
      <c r="D1812">
        <v>2021</v>
      </c>
      <c r="E1812" t="s">
        <v>84</v>
      </c>
      <c r="F1812">
        <v>83.6</v>
      </c>
      <c r="G1812" t="s">
        <v>350</v>
      </c>
      <c r="H1812">
        <f>electric_vehicles_dataset[[#This Row],[Battery_Capacity_kWh]]/electric_vehicles_dataset[[#This Row],[Range_km]]</f>
        <v>0.25180722891566265</v>
      </c>
      <c r="I1812">
        <v>332</v>
      </c>
      <c r="J1812" t="s">
        <v>18</v>
      </c>
      <c r="K1812">
        <v>2</v>
      </c>
      <c r="L1812" s="1">
        <v>94599.71</v>
      </c>
      <c r="M1812" s="1" t="str" cm="1">
        <f t="array" ref="M181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12" t="s">
        <v>49</v>
      </c>
      <c r="O1812" t="s">
        <v>20</v>
      </c>
      <c r="P1812" s="2" t="s">
        <v>389</v>
      </c>
      <c r="Q1812">
        <v>1</v>
      </c>
      <c r="R1812" t="s">
        <v>391</v>
      </c>
      <c r="S1812" s="1">
        <f>electric_vehicles_dataset[[#This Row],[Units_Sold_2024]]*electric_vehicles_dataset[[#This Row],[Price_USD]]</f>
        <v>22609330.690000001</v>
      </c>
      <c r="T1812">
        <v>3</v>
      </c>
      <c r="U1812">
        <v>239</v>
      </c>
      <c r="V1812">
        <v>3</v>
      </c>
    </row>
    <row r="1813" spans="1:22" x14ac:dyDescent="0.35">
      <c r="A1813">
        <v>1812</v>
      </c>
      <c r="B1813" t="s">
        <v>122</v>
      </c>
      <c r="C1813" t="s">
        <v>186</v>
      </c>
      <c r="D1813">
        <v>2015</v>
      </c>
      <c r="E1813" t="s">
        <v>90</v>
      </c>
      <c r="F1813">
        <v>80.900000000000006</v>
      </c>
      <c r="G1813" t="s">
        <v>350</v>
      </c>
      <c r="H1813">
        <f>electric_vehicles_dataset[[#This Row],[Battery_Capacity_kWh]]/electric_vehicles_dataset[[#This Row],[Range_km]]</f>
        <v>0.15037174721189592</v>
      </c>
      <c r="I1813">
        <v>538</v>
      </c>
      <c r="J1813" t="s">
        <v>54</v>
      </c>
      <c r="K1813">
        <v>2</v>
      </c>
      <c r="L1813" s="1">
        <v>106230.35</v>
      </c>
      <c r="M1813" s="1" t="str" cm="1">
        <f t="array" ref="M181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13" t="s">
        <v>217</v>
      </c>
      <c r="O1813" t="s">
        <v>159</v>
      </c>
      <c r="P1813" s="2" t="s">
        <v>389</v>
      </c>
      <c r="Q1813">
        <v>5</v>
      </c>
      <c r="R1813" t="s">
        <v>392</v>
      </c>
      <c r="S1813" s="1">
        <f>electric_vehicles_dataset[[#This Row],[Units_Sold_2024]]*electric_vehicles_dataset[[#This Row],[Price_USD]]</f>
        <v>1976309431.4000001</v>
      </c>
      <c r="T1813">
        <v>5</v>
      </c>
      <c r="U1813">
        <v>18604</v>
      </c>
      <c r="V1813">
        <v>4</v>
      </c>
    </row>
    <row r="1814" spans="1:22" x14ac:dyDescent="0.35">
      <c r="A1814">
        <v>1813</v>
      </c>
      <c r="B1814" t="s">
        <v>96</v>
      </c>
      <c r="C1814" t="s">
        <v>292</v>
      </c>
      <c r="D1814">
        <v>2019</v>
      </c>
      <c r="E1814" t="s">
        <v>47</v>
      </c>
      <c r="F1814">
        <v>145.19999999999999</v>
      </c>
      <c r="G1814" t="s">
        <v>386</v>
      </c>
      <c r="H1814">
        <f>electric_vehicles_dataset[[#This Row],[Battery_Capacity_kWh]]/electric_vehicles_dataset[[#This Row],[Range_km]]</f>
        <v>0.72599999999999998</v>
      </c>
      <c r="I1814">
        <v>200</v>
      </c>
      <c r="J1814" t="s">
        <v>76</v>
      </c>
      <c r="K1814">
        <v>8</v>
      </c>
      <c r="L1814" s="1">
        <v>139700.76</v>
      </c>
      <c r="M1814" s="1" t="str" cm="1">
        <f t="array" ref="M181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14" t="s">
        <v>106</v>
      </c>
      <c r="O1814" t="s">
        <v>159</v>
      </c>
      <c r="P1814" s="2" t="s">
        <v>389</v>
      </c>
      <c r="Q1814">
        <v>5</v>
      </c>
      <c r="R1814" t="s">
        <v>392</v>
      </c>
      <c r="S1814" s="1">
        <f>electric_vehicles_dataset[[#This Row],[Units_Sold_2024]]*electric_vehicles_dataset[[#This Row],[Price_USD]]</f>
        <v>1784537508.24</v>
      </c>
      <c r="T1814">
        <v>3</v>
      </c>
      <c r="U1814">
        <v>12774</v>
      </c>
      <c r="V1814">
        <v>3</v>
      </c>
    </row>
    <row r="1815" spans="1:22" x14ac:dyDescent="0.35">
      <c r="A1815">
        <v>1814</v>
      </c>
      <c r="B1815" t="s">
        <v>140</v>
      </c>
      <c r="C1815" t="s">
        <v>227</v>
      </c>
      <c r="D1815">
        <v>2020</v>
      </c>
      <c r="E1815" t="s">
        <v>101</v>
      </c>
      <c r="F1815">
        <v>143.30000000000001</v>
      </c>
      <c r="G1815" t="s">
        <v>386</v>
      </c>
      <c r="H1815">
        <f>electric_vehicles_dataset[[#This Row],[Battery_Capacity_kWh]]/electric_vehicles_dataset[[#This Row],[Range_km]]</f>
        <v>0.3242081447963801</v>
      </c>
      <c r="I1815">
        <v>442</v>
      </c>
      <c r="J1815" t="s">
        <v>358</v>
      </c>
      <c r="K1815">
        <v>3</v>
      </c>
      <c r="L1815" s="1">
        <v>117535.17</v>
      </c>
      <c r="M1815" s="1" t="str" cm="1">
        <f t="array" ref="M181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15" t="s">
        <v>271</v>
      </c>
      <c r="O1815" t="s">
        <v>167</v>
      </c>
      <c r="P1815" s="2" t="s">
        <v>394</v>
      </c>
      <c r="Q1815">
        <v>5</v>
      </c>
      <c r="R1815" t="s">
        <v>392</v>
      </c>
      <c r="S1815" s="1">
        <f>electric_vehicles_dataset[[#This Row],[Units_Sold_2024]]*electric_vehicles_dataset[[#This Row],[Price_USD]]</f>
        <v>1950966286.8299999</v>
      </c>
      <c r="T1815">
        <v>4</v>
      </c>
      <c r="U1815">
        <v>16599</v>
      </c>
      <c r="V1815">
        <v>5</v>
      </c>
    </row>
    <row r="1816" spans="1:22" x14ac:dyDescent="0.35">
      <c r="A1816">
        <v>1815</v>
      </c>
      <c r="B1816" t="s">
        <v>24</v>
      </c>
      <c r="C1816" t="s">
        <v>344</v>
      </c>
      <c r="D1816">
        <v>2024</v>
      </c>
      <c r="E1816" t="s">
        <v>58</v>
      </c>
      <c r="F1816">
        <v>31.5</v>
      </c>
      <c r="G1816" t="s">
        <v>357</v>
      </c>
      <c r="H1816">
        <f>electric_vehicles_dataset[[#This Row],[Battery_Capacity_kWh]]/electric_vehicles_dataset[[#This Row],[Range_km]]</f>
        <v>0.19207317073170732</v>
      </c>
      <c r="I1816">
        <v>164</v>
      </c>
      <c r="J1816" t="s">
        <v>18</v>
      </c>
      <c r="K1816">
        <v>12</v>
      </c>
      <c r="L1816" s="1">
        <v>125611.67</v>
      </c>
      <c r="M1816" s="1" t="str" cm="1">
        <f t="array" ref="M181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16" t="s">
        <v>177</v>
      </c>
      <c r="O1816" t="s">
        <v>92</v>
      </c>
      <c r="P1816" s="2" t="s">
        <v>394</v>
      </c>
      <c r="Q1816">
        <v>5</v>
      </c>
      <c r="R1816" t="s">
        <v>392</v>
      </c>
      <c r="S1816" s="1">
        <f>electric_vehicles_dataset[[#This Row],[Units_Sold_2024]]*electric_vehicles_dataset[[#This Row],[Price_USD]]</f>
        <v>339905179.01999998</v>
      </c>
      <c r="T1816">
        <v>4</v>
      </c>
      <c r="U1816">
        <v>2706</v>
      </c>
      <c r="V1816">
        <v>3</v>
      </c>
    </row>
    <row r="1817" spans="1:22" x14ac:dyDescent="0.35">
      <c r="A1817">
        <v>1816</v>
      </c>
      <c r="B1817" t="s">
        <v>41</v>
      </c>
      <c r="C1817" t="s">
        <v>355</v>
      </c>
      <c r="D1817">
        <v>2025</v>
      </c>
      <c r="E1817" t="s">
        <v>47</v>
      </c>
      <c r="F1817">
        <v>93.8</v>
      </c>
      <c r="G1817" t="s">
        <v>350</v>
      </c>
      <c r="H1817">
        <f>electric_vehicles_dataset[[#This Row],[Battery_Capacity_kWh]]/electric_vehicles_dataset[[#This Row],[Range_km]]</f>
        <v>0.15633333333333332</v>
      </c>
      <c r="I1817">
        <v>600</v>
      </c>
      <c r="J1817" t="s">
        <v>18</v>
      </c>
      <c r="K1817">
        <v>10</v>
      </c>
      <c r="L1817" s="1">
        <v>127201.44</v>
      </c>
      <c r="M1817" s="1" t="str" cm="1">
        <f t="array" ref="M181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17" t="s">
        <v>127</v>
      </c>
      <c r="O1817" t="s">
        <v>164</v>
      </c>
      <c r="P1817" s="2" t="s">
        <v>394</v>
      </c>
      <c r="Q1817">
        <v>2</v>
      </c>
      <c r="R1817" t="s">
        <v>391</v>
      </c>
      <c r="S1817" s="1">
        <f>electric_vehicles_dataset[[#This Row],[Units_Sold_2024]]*electric_vehicles_dataset[[#This Row],[Price_USD]]</f>
        <v>1137180873.5999999</v>
      </c>
      <c r="T1817">
        <v>5</v>
      </c>
      <c r="U1817">
        <v>8940</v>
      </c>
      <c r="V1817">
        <v>4</v>
      </c>
    </row>
    <row r="1818" spans="1:22" x14ac:dyDescent="0.35">
      <c r="A1818">
        <v>1817</v>
      </c>
      <c r="B1818" t="s">
        <v>187</v>
      </c>
      <c r="C1818" t="s">
        <v>320</v>
      </c>
      <c r="D1818">
        <v>2018</v>
      </c>
      <c r="E1818" t="s">
        <v>101</v>
      </c>
      <c r="F1818">
        <v>68.7</v>
      </c>
      <c r="G1818" t="s">
        <v>351</v>
      </c>
      <c r="H1818">
        <f>electric_vehicles_dataset[[#This Row],[Battery_Capacity_kWh]]/electric_vehicles_dataset[[#This Row],[Range_km]]</f>
        <v>0.13236994219653181</v>
      </c>
      <c r="I1818">
        <v>519</v>
      </c>
      <c r="J1818" t="s">
        <v>38</v>
      </c>
      <c r="K1818">
        <v>4</v>
      </c>
      <c r="L1818" s="1">
        <v>140944.12</v>
      </c>
      <c r="M1818" s="1" t="str" cm="1">
        <f t="array" ref="M18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18" t="s">
        <v>43</v>
      </c>
      <c r="O1818" t="s">
        <v>121</v>
      </c>
      <c r="P1818" s="2" t="s">
        <v>398</v>
      </c>
      <c r="Q1818">
        <v>2</v>
      </c>
      <c r="R1818" t="s">
        <v>391</v>
      </c>
      <c r="S1818" s="1">
        <f>electric_vehicles_dataset[[#This Row],[Units_Sold_2024]]*electric_vehicles_dataset[[#This Row],[Price_USD]]</f>
        <v>1582238691.1199999</v>
      </c>
      <c r="T1818">
        <v>5</v>
      </c>
      <c r="U1818">
        <v>11226</v>
      </c>
      <c r="V1818">
        <v>3</v>
      </c>
    </row>
    <row r="1819" spans="1:22" x14ac:dyDescent="0.35">
      <c r="A1819">
        <v>1818</v>
      </c>
      <c r="B1819" t="s">
        <v>192</v>
      </c>
      <c r="C1819" t="s">
        <v>198</v>
      </c>
      <c r="D1819">
        <v>2022</v>
      </c>
      <c r="E1819" t="s">
        <v>31</v>
      </c>
      <c r="F1819">
        <v>86.5</v>
      </c>
      <c r="G1819" t="s">
        <v>350</v>
      </c>
      <c r="H1819">
        <f>electric_vehicles_dataset[[#This Row],[Battery_Capacity_kWh]]/electric_vehicles_dataset[[#This Row],[Range_km]]</f>
        <v>0.79357798165137616</v>
      </c>
      <c r="I1819">
        <v>109</v>
      </c>
      <c r="J1819" t="s">
        <v>38</v>
      </c>
      <c r="K1819">
        <v>2</v>
      </c>
      <c r="L1819" s="1">
        <v>54729.3</v>
      </c>
      <c r="M1819" s="1" t="str" cm="1">
        <f t="array" ref="M18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19" t="s">
        <v>257</v>
      </c>
      <c r="O1819" t="s">
        <v>107</v>
      </c>
      <c r="P1819" s="2" t="s">
        <v>394</v>
      </c>
      <c r="Q1819">
        <v>2</v>
      </c>
      <c r="R1819" t="s">
        <v>391</v>
      </c>
      <c r="S1819" s="1">
        <f>electric_vehicles_dataset[[#This Row],[Units_Sold_2024]]*electric_vehicles_dataset[[#This Row],[Price_USD]]</f>
        <v>769056123.60000002</v>
      </c>
      <c r="T1819">
        <v>5</v>
      </c>
      <c r="U1819">
        <v>14052</v>
      </c>
      <c r="V1819">
        <v>5</v>
      </c>
    </row>
    <row r="1820" spans="1:22" x14ac:dyDescent="0.35">
      <c r="A1820">
        <v>1819</v>
      </c>
      <c r="B1820" t="s">
        <v>234</v>
      </c>
      <c r="C1820" t="s">
        <v>235</v>
      </c>
      <c r="D1820">
        <v>2023</v>
      </c>
      <c r="E1820" t="s">
        <v>183</v>
      </c>
      <c r="F1820">
        <v>136.69999999999999</v>
      </c>
      <c r="G1820" t="s">
        <v>352</v>
      </c>
      <c r="H1820">
        <f>electric_vehicles_dataset[[#This Row],[Battery_Capacity_kWh]]/electric_vehicles_dataset[[#This Row],[Range_km]]</f>
        <v>0.25268022181146021</v>
      </c>
      <c r="I1820">
        <v>541</v>
      </c>
      <c r="J1820" t="s">
        <v>356</v>
      </c>
      <c r="K1820">
        <v>11</v>
      </c>
      <c r="L1820" s="1">
        <v>61220.49</v>
      </c>
      <c r="M1820" s="1" t="str" cm="1">
        <f t="array" ref="M182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20" t="s">
        <v>117</v>
      </c>
      <c r="O1820" t="s">
        <v>150</v>
      </c>
      <c r="P1820" s="2" t="s">
        <v>389</v>
      </c>
      <c r="Q1820">
        <v>0</v>
      </c>
      <c r="R1820" t="s">
        <v>390</v>
      </c>
      <c r="S1820" s="1">
        <f>electric_vehicles_dataset[[#This Row],[Units_Sold_2024]]*electric_vehicles_dataset[[#This Row],[Price_USD]]</f>
        <v>487315100.39999998</v>
      </c>
      <c r="T1820">
        <v>3</v>
      </c>
      <c r="U1820">
        <v>7960</v>
      </c>
      <c r="V1820">
        <v>4</v>
      </c>
    </row>
    <row r="1821" spans="1:22" x14ac:dyDescent="0.35">
      <c r="A1821">
        <v>1820</v>
      </c>
      <c r="B1821" t="s">
        <v>122</v>
      </c>
      <c r="C1821" t="s">
        <v>186</v>
      </c>
      <c r="D1821">
        <v>2016</v>
      </c>
      <c r="E1821" t="s">
        <v>58</v>
      </c>
      <c r="F1821">
        <v>44</v>
      </c>
      <c r="G1821" t="s">
        <v>348</v>
      </c>
      <c r="H1821">
        <f>electric_vehicles_dataset[[#This Row],[Battery_Capacity_kWh]]/electric_vehicles_dataset[[#This Row],[Range_km]]</f>
        <v>0.23655913978494625</v>
      </c>
      <c r="I1821">
        <v>186</v>
      </c>
      <c r="J1821" t="s">
        <v>359</v>
      </c>
      <c r="K1821">
        <v>11</v>
      </c>
      <c r="L1821" s="1">
        <v>31370.15</v>
      </c>
      <c r="M1821" s="1" t="str" cm="1">
        <f t="array" ref="M182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21" t="s">
        <v>22</v>
      </c>
      <c r="O1821" t="s">
        <v>206</v>
      </c>
      <c r="P1821" s="2" t="s">
        <v>394</v>
      </c>
      <c r="Q1821">
        <v>3</v>
      </c>
      <c r="R1821" t="s">
        <v>397</v>
      </c>
      <c r="S1821" s="1">
        <f>electric_vehicles_dataset[[#This Row],[Units_Sold_2024]]*electric_vehicles_dataset[[#This Row],[Price_USD]]</f>
        <v>47494407.100000001</v>
      </c>
      <c r="T1821">
        <v>4</v>
      </c>
      <c r="U1821">
        <v>1514</v>
      </c>
      <c r="V1821">
        <v>5</v>
      </c>
    </row>
    <row r="1822" spans="1:22" x14ac:dyDescent="0.35">
      <c r="A1822">
        <v>1821</v>
      </c>
      <c r="B1822" t="s">
        <v>261</v>
      </c>
      <c r="C1822" t="s">
        <v>372</v>
      </c>
      <c r="D1822">
        <v>2021</v>
      </c>
      <c r="E1822" t="s">
        <v>73</v>
      </c>
      <c r="F1822">
        <v>106.5</v>
      </c>
      <c r="G1822" t="s">
        <v>361</v>
      </c>
      <c r="H1822">
        <f>electric_vehicles_dataset[[#This Row],[Battery_Capacity_kWh]]/electric_vehicles_dataset[[#This Row],[Range_km]]</f>
        <v>0.33074534161490682</v>
      </c>
      <c r="I1822">
        <v>322</v>
      </c>
      <c r="J1822" t="s">
        <v>48</v>
      </c>
      <c r="K1822">
        <v>12</v>
      </c>
      <c r="L1822" s="1">
        <v>58468.6</v>
      </c>
      <c r="M1822" s="1" t="str" cm="1">
        <f t="array" ref="M182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22" t="s">
        <v>32</v>
      </c>
      <c r="O1822" t="s">
        <v>110</v>
      </c>
      <c r="P1822" s="2" t="s">
        <v>394</v>
      </c>
      <c r="Q1822">
        <v>3</v>
      </c>
      <c r="R1822" t="s">
        <v>397</v>
      </c>
      <c r="S1822" s="1">
        <f>electric_vehicles_dataset[[#This Row],[Units_Sold_2024]]*electric_vehicles_dataset[[#This Row],[Price_USD]]</f>
        <v>806691274.19999993</v>
      </c>
      <c r="T1822">
        <v>4</v>
      </c>
      <c r="U1822">
        <v>13797</v>
      </c>
      <c r="V1822">
        <v>5</v>
      </c>
    </row>
    <row r="1823" spans="1:22" x14ac:dyDescent="0.35">
      <c r="A1823">
        <v>1822</v>
      </c>
      <c r="B1823" t="s">
        <v>173</v>
      </c>
      <c r="C1823" t="s">
        <v>306</v>
      </c>
      <c r="D1823">
        <v>2016</v>
      </c>
      <c r="E1823" t="s">
        <v>73</v>
      </c>
      <c r="F1823">
        <v>74.099999999999994</v>
      </c>
      <c r="G1823" t="s">
        <v>351</v>
      </c>
      <c r="H1823">
        <f>electric_vehicles_dataset[[#This Row],[Battery_Capacity_kWh]]/electric_vehicles_dataset[[#This Row],[Range_km]]</f>
        <v>0.12559322033898304</v>
      </c>
      <c r="I1823">
        <v>590</v>
      </c>
      <c r="J1823" t="s">
        <v>48</v>
      </c>
      <c r="K1823">
        <v>6</v>
      </c>
      <c r="L1823" s="1">
        <v>35015.599999999999</v>
      </c>
      <c r="M1823" s="1" t="str" cm="1">
        <f t="array" ref="M182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23" t="s">
        <v>19</v>
      </c>
      <c r="O1823" t="s">
        <v>121</v>
      </c>
      <c r="P1823" s="2" t="s">
        <v>398</v>
      </c>
      <c r="Q1823">
        <v>3</v>
      </c>
      <c r="R1823" t="s">
        <v>397</v>
      </c>
      <c r="S1823" s="1">
        <f>electric_vehicles_dataset[[#This Row],[Units_Sold_2024]]*electric_vehicles_dataset[[#This Row],[Price_USD]]</f>
        <v>574816089.60000002</v>
      </c>
      <c r="T1823">
        <v>3</v>
      </c>
      <c r="U1823">
        <v>16416</v>
      </c>
      <c r="V1823">
        <v>4</v>
      </c>
    </row>
    <row r="1824" spans="1:22" x14ac:dyDescent="0.35">
      <c r="A1824">
        <v>1823</v>
      </c>
      <c r="B1824" t="s">
        <v>241</v>
      </c>
      <c r="C1824" t="s">
        <v>247</v>
      </c>
      <c r="D1824">
        <v>2018</v>
      </c>
      <c r="E1824" t="s">
        <v>84</v>
      </c>
      <c r="F1824">
        <v>49.4</v>
      </c>
      <c r="G1824" t="s">
        <v>348</v>
      </c>
      <c r="H1824">
        <f>electric_vehicles_dataset[[#This Row],[Battery_Capacity_kWh]]/electric_vehicles_dataset[[#This Row],[Range_km]]</f>
        <v>9.4455066921606115E-2</v>
      </c>
      <c r="I1824">
        <v>523</v>
      </c>
      <c r="J1824" t="s">
        <v>85</v>
      </c>
      <c r="K1824">
        <v>5</v>
      </c>
      <c r="L1824" s="1">
        <v>65684.759999999995</v>
      </c>
      <c r="M1824" s="1" t="str" cm="1">
        <f t="array" ref="M182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24" t="s">
        <v>219</v>
      </c>
      <c r="O1824" t="s">
        <v>164</v>
      </c>
      <c r="P1824" s="2" t="s">
        <v>394</v>
      </c>
      <c r="Q1824">
        <v>3</v>
      </c>
      <c r="R1824" t="s">
        <v>397</v>
      </c>
      <c r="S1824" s="1">
        <f>electric_vehicles_dataset[[#This Row],[Units_Sold_2024]]*electric_vehicles_dataset[[#This Row],[Price_USD]]</f>
        <v>179319394.79999998</v>
      </c>
      <c r="T1824">
        <v>5</v>
      </c>
      <c r="U1824">
        <v>2730</v>
      </c>
      <c r="V1824">
        <v>4</v>
      </c>
    </row>
    <row r="1825" spans="1:22" x14ac:dyDescent="0.35">
      <c r="A1825">
        <v>1824</v>
      </c>
      <c r="B1825" t="s">
        <v>108</v>
      </c>
      <c r="C1825" t="s">
        <v>369</v>
      </c>
      <c r="D1825">
        <v>2025</v>
      </c>
      <c r="E1825" t="s">
        <v>183</v>
      </c>
      <c r="F1825">
        <v>50</v>
      </c>
      <c r="G1825" t="s">
        <v>348</v>
      </c>
      <c r="H1825">
        <f>electric_vehicles_dataset[[#This Row],[Battery_Capacity_kWh]]/electric_vehicles_dataset[[#This Row],[Range_km]]</f>
        <v>0.111358574610245</v>
      </c>
      <c r="I1825">
        <v>449</v>
      </c>
      <c r="J1825" t="s">
        <v>76</v>
      </c>
      <c r="K1825">
        <v>5</v>
      </c>
      <c r="L1825" s="1">
        <v>139406.73000000001</v>
      </c>
      <c r="M1825" s="1" t="str" cm="1">
        <f t="array" ref="M182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25" t="s">
        <v>81</v>
      </c>
      <c r="O1825" t="s">
        <v>182</v>
      </c>
      <c r="P1825" s="2" t="s">
        <v>394</v>
      </c>
      <c r="Q1825">
        <v>3</v>
      </c>
      <c r="R1825" t="s">
        <v>397</v>
      </c>
      <c r="S1825" s="1">
        <f>electric_vehicles_dataset[[#This Row],[Units_Sold_2024]]*electric_vehicles_dataset[[#This Row],[Price_USD]]</f>
        <v>70539805.38000001</v>
      </c>
      <c r="T1825">
        <v>4</v>
      </c>
      <c r="U1825">
        <v>506</v>
      </c>
      <c r="V1825">
        <v>3</v>
      </c>
    </row>
    <row r="1826" spans="1:22" x14ac:dyDescent="0.35">
      <c r="A1826">
        <v>1825</v>
      </c>
      <c r="B1826" t="s">
        <v>234</v>
      </c>
      <c r="C1826" t="s">
        <v>235</v>
      </c>
      <c r="D1826">
        <v>2020</v>
      </c>
      <c r="E1826" t="s">
        <v>26</v>
      </c>
      <c r="F1826">
        <v>106.1</v>
      </c>
      <c r="G1826" t="s">
        <v>361</v>
      </c>
      <c r="H1826">
        <f>electric_vehicles_dataset[[#This Row],[Battery_Capacity_kWh]]/electric_vehicles_dataset[[#This Row],[Range_km]]</f>
        <v>0.67151898734177207</v>
      </c>
      <c r="I1826">
        <v>158</v>
      </c>
      <c r="J1826" t="s">
        <v>345</v>
      </c>
      <c r="K1826">
        <v>8</v>
      </c>
      <c r="L1826" s="1">
        <v>44805.94</v>
      </c>
      <c r="M1826" s="1" t="str" cm="1">
        <f t="array" ref="M182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26" t="s">
        <v>228</v>
      </c>
      <c r="O1826" t="s">
        <v>33</v>
      </c>
      <c r="P1826" s="2" t="s">
        <v>393</v>
      </c>
      <c r="Q1826">
        <v>0</v>
      </c>
      <c r="R1826" t="s">
        <v>390</v>
      </c>
      <c r="S1826" s="1">
        <f>electric_vehicles_dataset[[#This Row],[Units_Sold_2024]]*electric_vehicles_dataset[[#This Row],[Price_USD]]</f>
        <v>850909606.54000008</v>
      </c>
      <c r="T1826">
        <v>3</v>
      </c>
      <c r="U1826">
        <v>18991</v>
      </c>
      <c r="V1826">
        <v>4</v>
      </c>
    </row>
    <row r="1827" spans="1:22" x14ac:dyDescent="0.35">
      <c r="A1827">
        <v>1826</v>
      </c>
      <c r="B1827" t="s">
        <v>45</v>
      </c>
      <c r="C1827" t="s">
        <v>132</v>
      </c>
      <c r="D1827">
        <v>2022</v>
      </c>
      <c r="E1827" t="s">
        <v>133</v>
      </c>
      <c r="F1827">
        <v>42.8</v>
      </c>
      <c r="G1827" t="s">
        <v>348</v>
      </c>
      <c r="H1827">
        <f>electric_vehicles_dataset[[#This Row],[Battery_Capacity_kWh]]/electric_vehicles_dataset[[#This Row],[Range_km]]</f>
        <v>7.2419627749576984E-2</v>
      </c>
      <c r="I1827">
        <v>591</v>
      </c>
      <c r="J1827" t="s">
        <v>38</v>
      </c>
      <c r="K1827">
        <v>11</v>
      </c>
      <c r="L1827" s="1">
        <v>38038.160000000003</v>
      </c>
      <c r="M1827" s="1" t="str" cm="1">
        <f t="array" ref="M182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27" t="s">
        <v>100</v>
      </c>
      <c r="O1827" t="s">
        <v>164</v>
      </c>
      <c r="P1827" s="2" t="s">
        <v>394</v>
      </c>
      <c r="Q1827">
        <v>2</v>
      </c>
      <c r="R1827" t="s">
        <v>391</v>
      </c>
      <c r="S1827" s="1">
        <f>electric_vehicles_dataset[[#This Row],[Units_Sold_2024]]*electric_vehicles_dataset[[#This Row],[Price_USD]]</f>
        <v>175241803.12</v>
      </c>
      <c r="T1827">
        <v>3</v>
      </c>
      <c r="U1827">
        <v>4607</v>
      </c>
      <c r="V1827">
        <v>3</v>
      </c>
    </row>
    <row r="1828" spans="1:22" x14ac:dyDescent="0.35">
      <c r="A1828">
        <v>1827</v>
      </c>
      <c r="B1828" t="s">
        <v>64</v>
      </c>
      <c r="C1828" t="s">
        <v>65</v>
      </c>
      <c r="D1828">
        <v>2024</v>
      </c>
      <c r="E1828" t="s">
        <v>17</v>
      </c>
      <c r="F1828">
        <v>140.80000000000001</v>
      </c>
      <c r="G1828" t="s">
        <v>386</v>
      </c>
      <c r="H1828">
        <f>electric_vehicles_dataset[[#This Row],[Battery_Capacity_kWh]]/electric_vehicles_dataset[[#This Row],[Range_km]]</f>
        <v>1.2571428571428573</v>
      </c>
      <c r="I1828">
        <v>112</v>
      </c>
      <c r="J1828" t="s">
        <v>345</v>
      </c>
      <c r="K1828">
        <v>5</v>
      </c>
      <c r="L1828" s="1">
        <v>63161.33</v>
      </c>
      <c r="M1828" s="1" t="str" cm="1">
        <f t="array" ref="M182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28" t="s">
        <v>22</v>
      </c>
      <c r="O1828" t="s">
        <v>44</v>
      </c>
      <c r="P1828" s="2" t="s">
        <v>389</v>
      </c>
      <c r="Q1828">
        <v>4</v>
      </c>
      <c r="R1828" t="s">
        <v>392</v>
      </c>
      <c r="S1828" s="1">
        <f>electric_vehicles_dataset[[#This Row],[Units_Sold_2024]]*electric_vehicles_dataset[[#This Row],[Price_USD]]</f>
        <v>1128440321.78</v>
      </c>
      <c r="T1828">
        <v>4</v>
      </c>
      <c r="U1828">
        <v>17866</v>
      </c>
      <c r="V1828">
        <v>3</v>
      </c>
    </row>
    <row r="1829" spans="1:22" x14ac:dyDescent="0.35">
      <c r="A1829">
        <v>1828</v>
      </c>
      <c r="B1829" t="s">
        <v>51</v>
      </c>
      <c r="C1829" t="s">
        <v>162</v>
      </c>
      <c r="D1829">
        <v>2019</v>
      </c>
      <c r="E1829" t="s">
        <v>31</v>
      </c>
      <c r="F1829">
        <v>108.7</v>
      </c>
      <c r="G1829" t="s">
        <v>361</v>
      </c>
      <c r="H1829">
        <f>electric_vehicles_dataset[[#This Row],[Battery_Capacity_kWh]]/electric_vehicles_dataset[[#This Row],[Range_km]]</f>
        <v>0.26004784688995214</v>
      </c>
      <c r="I1829">
        <v>418</v>
      </c>
      <c r="J1829" t="s">
        <v>364</v>
      </c>
      <c r="K1829">
        <v>1</v>
      </c>
      <c r="L1829" s="1">
        <v>73450.53</v>
      </c>
      <c r="M1829" s="1" t="str" cm="1">
        <f t="array" ref="M182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29" t="s">
        <v>100</v>
      </c>
      <c r="O1829" t="s">
        <v>89</v>
      </c>
      <c r="P1829" s="2" t="s">
        <v>389</v>
      </c>
      <c r="Q1829">
        <v>3</v>
      </c>
      <c r="R1829" t="s">
        <v>397</v>
      </c>
      <c r="S1829" s="1">
        <f>electric_vehicles_dataset[[#This Row],[Units_Sold_2024]]*electric_vehicles_dataset[[#This Row],[Price_USD]]</f>
        <v>1381237216.6500001</v>
      </c>
      <c r="T1829">
        <v>4</v>
      </c>
      <c r="U1829">
        <v>18805</v>
      </c>
      <c r="V1829">
        <v>3</v>
      </c>
    </row>
    <row r="1830" spans="1:22" x14ac:dyDescent="0.35">
      <c r="A1830">
        <v>1829</v>
      </c>
      <c r="B1830" t="s">
        <v>193</v>
      </c>
      <c r="C1830" t="s">
        <v>203</v>
      </c>
      <c r="D1830">
        <v>2020</v>
      </c>
      <c r="E1830" t="s">
        <v>58</v>
      </c>
      <c r="F1830">
        <v>23.4</v>
      </c>
      <c r="G1830" t="s">
        <v>357</v>
      </c>
      <c r="H1830">
        <f>electric_vehicles_dataset[[#This Row],[Battery_Capacity_kWh]]/electric_vehicles_dataset[[#This Row],[Range_km]]</f>
        <v>0.12786885245901639</v>
      </c>
      <c r="I1830">
        <v>183</v>
      </c>
      <c r="J1830" t="s">
        <v>364</v>
      </c>
      <c r="K1830">
        <v>4</v>
      </c>
      <c r="L1830" s="1">
        <v>138881.54</v>
      </c>
      <c r="M1830" s="1" t="str" cm="1">
        <f t="array" ref="M18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30" t="s">
        <v>62</v>
      </c>
      <c r="O1830" t="s">
        <v>20</v>
      </c>
      <c r="P1830" s="2" t="s">
        <v>389</v>
      </c>
      <c r="Q1830">
        <v>4</v>
      </c>
      <c r="R1830" t="s">
        <v>392</v>
      </c>
      <c r="S1830" s="1">
        <f>electric_vehicles_dataset[[#This Row],[Units_Sold_2024]]*electric_vehicles_dataset[[#This Row],[Price_USD]]</f>
        <v>1503670433.5800002</v>
      </c>
      <c r="T1830">
        <v>4</v>
      </c>
      <c r="U1830">
        <v>10827</v>
      </c>
      <c r="V1830">
        <v>4</v>
      </c>
    </row>
    <row r="1831" spans="1:22" x14ac:dyDescent="0.35">
      <c r="A1831">
        <v>1830</v>
      </c>
      <c r="B1831" t="s">
        <v>140</v>
      </c>
      <c r="C1831" t="s">
        <v>256</v>
      </c>
      <c r="D1831">
        <v>2024</v>
      </c>
      <c r="E1831" t="s">
        <v>90</v>
      </c>
      <c r="F1831">
        <v>21.6</v>
      </c>
      <c r="G1831" t="s">
        <v>357</v>
      </c>
      <c r="H1831">
        <f>electric_vehicles_dataset[[#This Row],[Battery_Capacity_kWh]]/electric_vehicles_dataset[[#This Row],[Range_km]]</f>
        <v>0.10188679245283019</v>
      </c>
      <c r="I1831">
        <v>212</v>
      </c>
      <c r="J1831" t="s">
        <v>38</v>
      </c>
      <c r="K1831">
        <v>10</v>
      </c>
      <c r="L1831" s="1">
        <v>133478.74</v>
      </c>
      <c r="M1831" s="1" t="str" cm="1">
        <f t="array" ref="M183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31" t="s">
        <v>32</v>
      </c>
      <c r="O1831" t="s">
        <v>93</v>
      </c>
      <c r="P1831" s="2" t="s">
        <v>389</v>
      </c>
      <c r="Q1831">
        <v>3</v>
      </c>
      <c r="R1831" t="s">
        <v>397</v>
      </c>
      <c r="S1831" s="1">
        <f>electric_vehicles_dataset[[#This Row],[Units_Sold_2024]]*electric_vehicles_dataset[[#This Row],[Price_USD]]</f>
        <v>840782583.25999999</v>
      </c>
      <c r="T1831">
        <v>3</v>
      </c>
      <c r="U1831">
        <v>6299</v>
      </c>
      <c r="V1831">
        <v>3</v>
      </c>
    </row>
    <row r="1832" spans="1:22" x14ac:dyDescent="0.35">
      <c r="A1832">
        <v>1831</v>
      </c>
      <c r="B1832" t="s">
        <v>243</v>
      </c>
      <c r="C1832" t="s">
        <v>371</v>
      </c>
      <c r="D1832">
        <v>2023</v>
      </c>
      <c r="E1832" t="s">
        <v>130</v>
      </c>
      <c r="F1832">
        <v>138</v>
      </c>
      <c r="G1832" t="s">
        <v>352</v>
      </c>
      <c r="H1832">
        <f>electric_vehicles_dataset[[#This Row],[Battery_Capacity_kWh]]/electric_vehicles_dataset[[#This Row],[Range_km]]</f>
        <v>0.24775583482944344</v>
      </c>
      <c r="I1832">
        <v>557</v>
      </c>
      <c r="J1832" t="s">
        <v>54</v>
      </c>
      <c r="K1832">
        <v>1</v>
      </c>
      <c r="L1832" s="1">
        <v>60437.9</v>
      </c>
      <c r="M1832" s="1" t="str" cm="1">
        <f t="array" ref="M183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32" t="s">
        <v>35</v>
      </c>
      <c r="O1832" t="s">
        <v>110</v>
      </c>
      <c r="P1832" s="2" t="s">
        <v>394</v>
      </c>
      <c r="Q1832">
        <v>3</v>
      </c>
      <c r="R1832" t="s">
        <v>397</v>
      </c>
      <c r="S1832" s="1">
        <f>electric_vehicles_dataset[[#This Row],[Units_Sold_2024]]*electric_vehicles_dataset[[#This Row],[Price_USD]]</f>
        <v>459146726.30000001</v>
      </c>
      <c r="T1832">
        <v>5</v>
      </c>
      <c r="U1832">
        <v>7597</v>
      </c>
      <c r="V1832">
        <v>5</v>
      </c>
    </row>
    <row r="1833" spans="1:22" x14ac:dyDescent="0.35">
      <c r="A1833">
        <v>1832</v>
      </c>
      <c r="B1833" t="s">
        <v>16</v>
      </c>
      <c r="C1833" t="s">
        <v>347</v>
      </c>
      <c r="D1833">
        <v>2018</v>
      </c>
      <c r="E1833" t="s">
        <v>31</v>
      </c>
      <c r="F1833">
        <v>78.3</v>
      </c>
      <c r="G1833" t="s">
        <v>351</v>
      </c>
      <c r="H1833">
        <f>electric_vehicles_dataset[[#This Row],[Battery_Capacity_kWh]]/electric_vehicles_dataset[[#This Row],[Range_km]]</f>
        <v>0.20284974093264249</v>
      </c>
      <c r="I1833">
        <v>386</v>
      </c>
      <c r="J1833" t="s">
        <v>105</v>
      </c>
      <c r="K1833">
        <v>2</v>
      </c>
      <c r="L1833" s="1">
        <v>96882.3</v>
      </c>
      <c r="M1833" s="1" t="str" cm="1">
        <f t="array" ref="M183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33" t="s">
        <v>62</v>
      </c>
      <c r="O1833" t="s">
        <v>164</v>
      </c>
      <c r="P1833" s="2" t="s">
        <v>394</v>
      </c>
      <c r="Q1833">
        <v>5</v>
      </c>
      <c r="R1833" t="s">
        <v>392</v>
      </c>
      <c r="S1833" s="1">
        <f>electric_vehicles_dataset[[#This Row],[Units_Sold_2024]]*electric_vehicles_dataset[[#This Row],[Price_USD]]</f>
        <v>1230986503.8</v>
      </c>
      <c r="T1833">
        <v>4</v>
      </c>
      <c r="U1833">
        <v>12706</v>
      </c>
      <c r="V1833">
        <v>4</v>
      </c>
    </row>
    <row r="1834" spans="1:22" x14ac:dyDescent="0.35">
      <c r="A1834">
        <v>1833</v>
      </c>
      <c r="B1834" t="s">
        <v>128</v>
      </c>
      <c r="C1834" t="s">
        <v>129</v>
      </c>
      <c r="D1834">
        <v>2020</v>
      </c>
      <c r="E1834" t="s">
        <v>73</v>
      </c>
      <c r="F1834">
        <v>129.6</v>
      </c>
      <c r="G1834" t="s">
        <v>352</v>
      </c>
      <c r="H1834">
        <f>electric_vehicles_dataset[[#This Row],[Battery_Capacity_kWh]]/electric_vehicles_dataset[[#This Row],[Range_km]]</f>
        <v>0.22499999999999998</v>
      </c>
      <c r="I1834">
        <v>576</v>
      </c>
      <c r="J1834" t="s">
        <v>345</v>
      </c>
      <c r="K1834">
        <v>8</v>
      </c>
      <c r="L1834" s="1">
        <v>110195.57</v>
      </c>
      <c r="M1834" s="1" t="str" cm="1">
        <f t="array" ref="M183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34" t="s">
        <v>102</v>
      </c>
      <c r="O1834" t="s">
        <v>20</v>
      </c>
      <c r="P1834" s="2" t="s">
        <v>389</v>
      </c>
      <c r="Q1834">
        <v>3</v>
      </c>
      <c r="R1834" t="s">
        <v>397</v>
      </c>
      <c r="S1834" s="1">
        <f>electric_vehicles_dataset[[#This Row],[Units_Sold_2024]]*electric_vehicles_dataset[[#This Row],[Price_USD]]</f>
        <v>815226826.86000001</v>
      </c>
      <c r="T1834">
        <v>4</v>
      </c>
      <c r="U1834">
        <v>7398</v>
      </c>
      <c r="V1834">
        <v>3</v>
      </c>
    </row>
    <row r="1835" spans="1:22" x14ac:dyDescent="0.35">
      <c r="A1835">
        <v>1834</v>
      </c>
      <c r="B1835" t="s">
        <v>180</v>
      </c>
      <c r="C1835" t="s">
        <v>379</v>
      </c>
      <c r="D1835">
        <v>2021</v>
      </c>
      <c r="E1835" t="s">
        <v>17</v>
      </c>
      <c r="F1835">
        <v>127.7</v>
      </c>
      <c r="G1835" t="s">
        <v>352</v>
      </c>
      <c r="H1835">
        <f>electric_vehicles_dataset[[#This Row],[Battery_Capacity_kWh]]/electric_vehicles_dataset[[#This Row],[Range_km]]</f>
        <v>0.27112526539278131</v>
      </c>
      <c r="I1835">
        <v>471</v>
      </c>
      <c r="J1835" t="s">
        <v>345</v>
      </c>
      <c r="K1835">
        <v>4</v>
      </c>
      <c r="L1835" s="1">
        <v>120591.61</v>
      </c>
      <c r="M1835" s="1" t="str" cm="1">
        <f t="array" ref="M183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35" t="s">
        <v>214</v>
      </c>
      <c r="O1835" t="s">
        <v>161</v>
      </c>
      <c r="P1835" s="2" t="s">
        <v>389</v>
      </c>
      <c r="Q1835">
        <v>2</v>
      </c>
      <c r="R1835" t="s">
        <v>391</v>
      </c>
      <c r="S1835" s="1">
        <f>electric_vehicles_dataset[[#This Row],[Units_Sold_2024]]*electric_vehicles_dataset[[#This Row],[Price_USD]]</f>
        <v>2144962967.0699999</v>
      </c>
      <c r="T1835">
        <v>4</v>
      </c>
      <c r="U1835">
        <v>17787</v>
      </c>
      <c r="V1835">
        <v>4</v>
      </c>
    </row>
    <row r="1836" spans="1:22" x14ac:dyDescent="0.35">
      <c r="A1836">
        <v>1835</v>
      </c>
      <c r="B1836" t="s">
        <v>82</v>
      </c>
      <c r="C1836" t="s">
        <v>83</v>
      </c>
      <c r="D1836">
        <v>2024</v>
      </c>
      <c r="E1836" t="s">
        <v>133</v>
      </c>
      <c r="F1836">
        <v>111.1</v>
      </c>
      <c r="G1836" t="s">
        <v>361</v>
      </c>
      <c r="H1836">
        <f>electric_vehicles_dataset[[#This Row],[Battery_Capacity_kWh]]/electric_vehicles_dataset[[#This Row],[Range_km]]</f>
        <v>0.34290123456790123</v>
      </c>
      <c r="I1836">
        <v>324</v>
      </c>
      <c r="J1836" t="s">
        <v>359</v>
      </c>
      <c r="K1836">
        <v>10</v>
      </c>
      <c r="L1836" s="1">
        <v>94968.16</v>
      </c>
      <c r="M1836" s="1" t="str" cm="1">
        <f t="array" ref="M183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36" t="s">
        <v>91</v>
      </c>
      <c r="O1836" t="s">
        <v>110</v>
      </c>
      <c r="P1836" s="2" t="s">
        <v>394</v>
      </c>
      <c r="Q1836">
        <v>2</v>
      </c>
      <c r="R1836" t="s">
        <v>391</v>
      </c>
      <c r="S1836" s="1">
        <f>electric_vehicles_dataset[[#This Row],[Units_Sold_2024]]*electric_vehicles_dataset[[#This Row],[Price_USD]]</f>
        <v>160116317.76000002</v>
      </c>
      <c r="T1836">
        <v>4</v>
      </c>
      <c r="U1836">
        <v>1686</v>
      </c>
      <c r="V1836">
        <v>4</v>
      </c>
    </row>
    <row r="1837" spans="1:22" x14ac:dyDescent="0.35">
      <c r="A1837">
        <v>1836</v>
      </c>
      <c r="B1837" t="s">
        <v>157</v>
      </c>
      <c r="C1837" t="s">
        <v>375</v>
      </c>
      <c r="D1837">
        <v>2020</v>
      </c>
      <c r="E1837" t="s">
        <v>26</v>
      </c>
      <c r="F1837">
        <v>95.4</v>
      </c>
      <c r="G1837" t="s">
        <v>350</v>
      </c>
      <c r="H1837">
        <f>electric_vehicles_dataset[[#This Row],[Battery_Capacity_kWh]]/electric_vehicles_dataset[[#This Row],[Range_km]]</f>
        <v>0.17189189189189191</v>
      </c>
      <c r="I1837">
        <v>555</v>
      </c>
      <c r="J1837" t="s">
        <v>54</v>
      </c>
      <c r="K1837">
        <v>10</v>
      </c>
      <c r="L1837" s="1">
        <v>79626.789999999994</v>
      </c>
      <c r="M1837" s="1" t="str" cm="1">
        <f t="array" ref="M183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37" t="s">
        <v>43</v>
      </c>
      <c r="O1837" t="s">
        <v>93</v>
      </c>
      <c r="P1837" s="2" t="s">
        <v>389</v>
      </c>
      <c r="Q1837">
        <v>2</v>
      </c>
      <c r="R1837" t="s">
        <v>391</v>
      </c>
      <c r="S1837" s="1">
        <f>electric_vehicles_dataset[[#This Row],[Units_Sold_2024]]*electric_vehicles_dataset[[#This Row],[Price_USD]]</f>
        <v>1023283878.29</v>
      </c>
      <c r="T1837">
        <v>4</v>
      </c>
      <c r="U1837">
        <v>12851</v>
      </c>
      <c r="V1837">
        <v>4</v>
      </c>
    </row>
    <row r="1838" spans="1:22" x14ac:dyDescent="0.35">
      <c r="A1838">
        <v>1837</v>
      </c>
      <c r="B1838" t="s">
        <v>96</v>
      </c>
      <c r="C1838" t="s">
        <v>116</v>
      </c>
      <c r="D1838">
        <v>2019</v>
      </c>
      <c r="E1838" t="s">
        <v>73</v>
      </c>
      <c r="F1838">
        <v>116.6</v>
      </c>
      <c r="G1838" t="s">
        <v>361</v>
      </c>
      <c r="H1838">
        <f>electric_vehicles_dataset[[#This Row],[Battery_Capacity_kWh]]/electric_vehicles_dataset[[#This Row],[Range_km]]</f>
        <v>0.37133757961783437</v>
      </c>
      <c r="I1838">
        <v>314</v>
      </c>
      <c r="J1838" t="s">
        <v>38</v>
      </c>
      <c r="K1838">
        <v>6</v>
      </c>
      <c r="L1838" s="1">
        <v>91408.33</v>
      </c>
      <c r="M1838" s="1" t="str" cm="1">
        <f t="array" ref="M183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38" t="s">
        <v>81</v>
      </c>
      <c r="O1838" t="s">
        <v>40</v>
      </c>
      <c r="P1838" s="2" t="s">
        <v>395</v>
      </c>
      <c r="Q1838">
        <v>3</v>
      </c>
      <c r="R1838" t="s">
        <v>397</v>
      </c>
      <c r="S1838" s="1">
        <f>electric_vehicles_dataset[[#This Row],[Units_Sold_2024]]*electric_vehicles_dataset[[#This Row],[Price_USD]]</f>
        <v>1011890213.1</v>
      </c>
      <c r="T1838">
        <v>5</v>
      </c>
      <c r="U1838">
        <v>11070</v>
      </c>
      <c r="V1838">
        <v>4</v>
      </c>
    </row>
    <row r="1839" spans="1:22" x14ac:dyDescent="0.35">
      <c r="A1839">
        <v>1838</v>
      </c>
      <c r="B1839" t="s">
        <v>94</v>
      </c>
      <c r="C1839" t="s">
        <v>99</v>
      </c>
      <c r="D1839">
        <v>2018</v>
      </c>
      <c r="E1839" t="s">
        <v>90</v>
      </c>
      <c r="F1839">
        <v>21.4</v>
      </c>
      <c r="G1839" t="s">
        <v>357</v>
      </c>
      <c r="H1839">
        <f>electric_vehicles_dataset[[#This Row],[Battery_Capacity_kWh]]/electric_vehicles_dataset[[#This Row],[Range_km]]</f>
        <v>5.9610027855153201E-2</v>
      </c>
      <c r="I1839">
        <v>359</v>
      </c>
      <c r="J1839" t="s">
        <v>105</v>
      </c>
      <c r="K1839">
        <v>12</v>
      </c>
      <c r="L1839" s="1">
        <v>75627.070000000007</v>
      </c>
      <c r="M1839" s="1" t="str" cm="1">
        <f t="array" ref="M183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39" t="s">
        <v>77</v>
      </c>
      <c r="O1839" t="s">
        <v>202</v>
      </c>
      <c r="P1839" s="2" t="s">
        <v>393</v>
      </c>
      <c r="Q1839">
        <v>0</v>
      </c>
      <c r="R1839" t="s">
        <v>390</v>
      </c>
      <c r="S1839" s="1">
        <f>electric_vehicles_dataset[[#This Row],[Units_Sold_2024]]*electric_vehicles_dataset[[#This Row],[Price_USD]]</f>
        <v>1480551149.3900001</v>
      </c>
      <c r="T1839">
        <v>5</v>
      </c>
      <c r="U1839">
        <v>19577</v>
      </c>
      <c r="V1839">
        <v>3</v>
      </c>
    </row>
    <row r="1840" spans="1:22" x14ac:dyDescent="0.35">
      <c r="A1840">
        <v>1839</v>
      </c>
      <c r="B1840" t="s">
        <v>224</v>
      </c>
      <c r="C1840" t="s">
        <v>303</v>
      </c>
      <c r="D1840">
        <v>2016</v>
      </c>
      <c r="E1840" t="s">
        <v>31</v>
      </c>
      <c r="F1840">
        <v>87.5</v>
      </c>
      <c r="G1840" t="s">
        <v>350</v>
      </c>
      <c r="H1840">
        <f>electric_vehicles_dataset[[#This Row],[Battery_Capacity_kWh]]/electric_vehicles_dataset[[#This Row],[Range_km]]</f>
        <v>0.15190972222222221</v>
      </c>
      <c r="I1840">
        <v>576</v>
      </c>
      <c r="J1840" t="s">
        <v>358</v>
      </c>
      <c r="K1840">
        <v>10</v>
      </c>
      <c r="L1840" s="1">
        <v>87162.94</v>
      </c>
      <c r="M1840" s="1" t="str" cm="1">
        <f t="array" ref="M184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40" t="s">
        <v>217</v>
      </c>
      <c r="O1840" t="s">
        <v>236</v>
      </c>
      <c r="P1840" s="2" t="s">
        <v>394</v>
      </c>
      <c r="Q1840">
        <v>3</v>
      </c>
      <c r="R1840" t="s">
        <v>397</v>
      </c>
      <c r="S1840" s="1">
        <f>electric_vehicles_dataset[[#This Row],[Units_Sold_2024]]*electric_vehicles_dataset[[#This Row],[Price_USD]]</f>
        <v>585822119.74000001</v>
      </c>
      <c r="T1840">
        <v>3</v>
      </c>
      <c r="U1840">
        <v>6721</v>
      </c>
      <c r="V1840">
        <v>5</v>
      </c>
    </row>
    <row r="1841" spans="1:22" x14ac:dyDescent="0.35">
      <c r="A1841">
        <v>1840</v>
      </c>
      <c r="B1841" t="s">
        <v>261</v>
      </c>
      <c r="C1841" t="s">
        <v>278</v>
      </c>
      <c r="D1841">
        <v>2017</v>
      </c>
      <c r="E1841" t="s">
        <v>42</v>
      </c>
      <c r="F1841">
        <v>49</v>
      </c>
      <c r="G1841" t="s">
        <v>348</v>
      </c>
      <c r="H1841">
        <f>electric_vehicles_dataset[[#This Row],[Battery_Capacity_kWh]]/electric_vehicles_dataset[[#This Row],[Range_km]]</f>
        <v>0.14454277286135694</v>
      </c>
      <c r="I1841">
        <v>339</v>
      </c>
      <c r="J1841" t="s">
        <v>85</v>
      </c>
      <c r="K1841">
        <v>11</v>
      </c>
      <c r="L1841" s="1">
        <v>126947.65</v>
      </c>
      <c r="M1841" s="1" t="str" cm="1">
        <f t="array" ref="M184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41" t="s">
        <v>172</v>
      </c>
      <c r="O1841" t="s">
        <v>92</v>
      </c>
      <c r="P1841" s="2" t="s">
        <v>394</v>
      </c>
      <c r="Q1841">
        <v>0</v>
      </c>
      <c r="R1841" t="s">
        <v>390</v>
      </c>
      <c r="S1841" s="1">
        <f>electric_vehicles_dataset[[#This Row],[Units_Sold_2024]]*electric_vehicles_dataset[[#This Row],[Price_USD]]</f>
        <v>1487445615.05</v>
      </c>
      <c r="T1841">
        <v>3</v>
      </c>
      <c r="U1841">
        <v>11717</v>
      </c>
      <c r="V1841">
        <v>3</v>
      </c>
    </row>
    <row r="1842" spans="1:22" x14ac:dyDescent="0.35">
      <c r="A1842">
        <v>1841</v>
      </c>
      <c r="B1842" t="s">
        <v>60</v>
      </c>
      <c r="C1842" t="s">
        <v>248</v>
      </c>
      <c r="D1842">
        <v>2024</v>
      </c>
      <c r="E1842" t="s">
        <v>42</v>
      </c>
      <c r="F1842">
        <v>42.4</v>
      </c>
      <c r="G1842" t="s">
        <v>348</v>
      </c>
      <c r="H1842">
        <f>electric_vehicles_dataset[[#This Row],[Battery_Capacity_kWh]]/electric_vehicles_dataset[[#This Row],[Range_km]]</f>
        <v>9.680365296803653E-2</v>
      </c>
      <c r="I1842">
        <v>438</v>
      </c>
      <c r="J1842" t="s">
        <v>27</v>
      </c>
      <c r="K1842">
        <v>5</v>
      </c>
      <c r="L1842" s="1">
        <v>146020.29</v>
      </c>
      <c r="M1842" s="1" t="str" cm="1">
        <f t="array" ref="M18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42" t="s">
        <v>39</v>
      </c>
      <c r="O1842" t="s">
        <v>23</v>
      </c>
      <c r="P1842" s="2" t="s">
        <v>389</v>
      </c>
      <c r="Q1842">
        <v>1</v>
      </c>
      <c r="R1842" t="s">
        <v>391</v>
      </c>
      <c r="S1842" s="1">
        <f>electric_vehicles_dataset[[#This Row],[Units_Sold_2024]]*electric_vehicles_dataset[[#This Row],[Price_USD]]</f>
        <v>248234493</v>
      </c>
      <c r="T1842">
        <v>3</v>
      </c>
      <c r="U1842">
        <v>1700</v>
      </c>
      <c r="V1842">
        <v>3</v>
      </c>
    </row>
    <row r="1843" spans="1:22" x14ac:dyDescent="0.35">
      <c r="A1843">
        <v>1842</v>
      </c>
      <c r="B1843" t="s">
        <v>192</v>
      </c>
      <c r="C1843" t="s">
        <v>366</v>
      </c>
      <c r="D1843">
        <v>2024</v>
      </c>
      <c r="E1843" t="s">
        <v>53</v>
      </c>
      <c r="F1843">
        <v>49.9</v>
      </c>
      <c r="G1843" t="s">
        <v>348</v>
      </c>
      <c r="H1843">
        <f>electric_vehicles_dataset[[#This Row],[Battery_Capacity_kWh]]/electric_vehicles_dataset[[#This Row],[Range_km]]</f>
        <v>0.20534979423868313</v>
      </c>
      <c r="I1843">
        <v>243</v>
      </c>
      <c r="J1843" t="s">
        <v>34</v>
      </c>
      <c r="K1843">
        <v>1</v>
      </c>
      <c r="L1843" s="1">
        <v>78136.27</v>
      </c>
      <c r="M1843" s="1" t="str" cm="1">
        <f t="array" ref="M184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43" t="s">
        <v>66</v>
      </c>
      <c r="O1843" t="s">
        <v>135</v>
      </c>
      <c r="P1843" s="2" t="s">
        <v>389</v>
      </c>
      <c r="Q1843">
        <v>3</v>
      </c>
      <c r="R1843" t="s">
        <v>397</v>
      </c>
      <c r="S1843" s="1">
        <f>electric_vehicles_dataset[[#This Row],[Units_Sold_2024]]*electric_vehicles_dataset[[#This Row],[Price_USD]]</f>
        <v>580083668.48000002</v>
      </c>
      <c r="T1843">
        <v>5</v>
      </c>
      <c r="U1843">
        <v>7424</v>
      </c>
      <c r="V1843">
        <v>5</v>
      </c>
    </row>
    <row r="1844" spans="1:22" x14ac:dyDescent="0.35">
      <c r="A1844">
        <v>1843</v>
      </c>
      <c r="B1844" t="s">
        <v>79</v>
      </c>
      <c r="C1844" t="s">
        <v>80</v>
      </c>
      <c r="D1844">
        <v>2024</v>
      </c>
      <c r="E1844" t="s">
        <v>104</v>
      </c>
      <c r="F1844">
        <v>105.1</v>
      </c>
      <c r="G1844" t="s">
        <v>361</v>
      </c>
      <c r="H1844">
        <f>electric_vehicles_dataset[[#This Row],[Battery_Capacity_kWh]]/electric_vehicles_dataset[[#This Row],[Range_km]]</f>
        <v>0.53350253807106596</v>
      </c>
      <c r="I1844">
        <v>197</v>
      </c>
      <c r="J1844" t="s">
        <v>38</v>
      </c>
      <c r="K1844">
        <v>6</v>
      </c>
      <c r="L1844" s="1">
        <v>135594.57</v>
      </c>
      <c r="M1844" s="1" t="str" cm="1">
        <f t="array" ref="M18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44" t="s">
        <v>146</v>
      </c>
      <c r="O1844" t="s">
        <v>150</v>
      </c>
      <c r="P1844" s="2" t="s">
        <v>389</v>
      </c>
      <c r="Q1844">
        <v>0</v>
      </c>
      <c r="R1844" t="s">
        <v>390</v>
      </c>
      <c r="S1844" s="1">
        <f>electric_vehicles_dataset[[#This Row],[Units_Sold_2024]]*electric_vehicles_dataset[[#This Row],[Price_USD]]</f>
        <v>215730960.87</v>
      </c>
      <c r="T1844">
        <v>4</v>
      </c>
      <c r="U1844">
        <v>1591</v>
      </c>
      <c r="V1844">
        <v>3</v>
      </c>
    </row>
    <row r="1845" spans="1:22" x14ac:dyDescent="0.35">
      <c r="A1845">
        <v>1844</v>
      </c>
      <c r="B1845" t="s">
        <v>170</v>
      </c>
      <c r="C1845" t="s">
        <v>275</v>
      </c>
      <c r="D1845">
        <v>2019</v>
      </c>
      <c r="E1845" t="s">
        <v>133</v>
      </c>
      <c r="F1845">
        <v>89</v>
      </c>
      <c r="G1845" t="s">
        <v>350</v>
      </c>
      <c r="H1845">
        <f>electric_vehicles_dataset[[#This Row],[Battery_Capacity_kWh]]/electric_vehicles_dataset[[#This Row],[Range_km]]</f>
        <v>0.17017208413001911</v>
      </c>
      <c r="I1845">
        <v>523</v>
      </c>
      <c r="J1845" t="s">
        <v>38</v>
      </c>
      <c r="K1845">
        <v>4</v>
      </c>
      <c r="L1845" s="1">
        <v>87465.18</v>
      </c>
      <c r="M1845" s="1" t="str" cm="1">
        <f t="array" ref="M184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45" t="s">
        <v>219</v>
      </c>
      <c r="O1845" t="s">
        <v>78</v>
      </c>
      <c r="P1845" s="2" t="s">
        <v>389</v>
      </c>
      <c r="Q1845">
        <v>0</v>
      </c>
      <c r="R1845" t="s">
        <v>390</v>
      </c>
      <c r="S1845" s="1">
        <f>electric_vehicles_dataset[[#This Row],[Units_Sold_2024]]*electric_vehicles_dataset[[#This Row],[Price_USD]]</f>
        <v>28076322.779999997</v>
      </c>
      <c r="T1845">
        <v>5</v>
      </c>
      <c r="U1845">
        <v>321</v>
      </c>
      <c r="V1845">
        <v>4</v>
      </c>
    </row>
    <row r="1846" spans="1:22" x14ac:dyDescent="0.35">
      <c r="A1846">
        <v>1845</v>
      </c>
      <c r="B1846" t="s">
        <v>220</v>
      </c>
      <c r="C1846" t="s">
        <v>336</v>
      </c>
      <c r="D1846">
        <v>2020</v>
      </c>
      <c r="E1846" t="s">
        <v>133</v>
      </c>
      <c r="F1846">
        <v>137.6</v>
      </c>
      <c r="G1846" t="s">
        <v>352</v>
      </c>
      <c r="H1846">
        <f>electric_vehicles_dataset[[#This Row],[Battery_Capacity_kWh]]/electric_vehicles_dataset[[#This Row],[Range_km]]</f>
        <v>0.37088948787061993</v>
      </c>
      <c r="I1846">
        <v>371</v>
      </c>
      <c r="J1846" t="s">
        <v>76</v>
      </c>
      <c r="K1846">
        <v>4</v>
      </c>
      <c r="L1846" s="1">
        <v>146931.18</v>
      </c>
      <c r="M1846" s="1" t="str" cm="1">
        <f t="array" ref="M184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46" t="s">
        <v>70</v>
      </c>
      <c r="O1846" t="s">
        <v>111</v>
      </c>
      <c r="P1846" s="2" t="s">
        <v>389</v>
      </c>
      <c r="Q1846">
        <v>2</v>
      </c>
      <c r="R1846" t="s">
        <v>391</v>
      </c>
      <c r="S1846" s="1">
        <f>electric_vehicles_dataset[[#This Row],[Units_Sold_2024]]*electric_vehicles_dataset[[#This Row],[Price_USD]]</f>
        <v>2682375622.0799999</v>
      </c>
      <c r="T1846">
        <v>4</v>
      </c>
      <c r="U1846">
        <v>18256</v>
      </c>
      <c r="V1846">
        <v>4</v>
      </c>
    </row>
    <row r="1847" spans="1:22" x14ac:dyDescent="0.35">
      <c r="A1847">
        <v>1846</v>
      </c>
      <c r="B1847" t="s">
        <v>21</v>
      </c>
      <c r="C1847" t="s">
        <v>363</v>
      </c>
      <c r="D1847">
        <v>2023</v>
      </c>
      <c r="E1847" t="s">
        <v>42</v>
      </c>
      <c r="F1847">
        <v>23.6</v>
      </c>
      <c r="G1847" t="s">
        <v>357</v>
      </c>
      <c r="H1847">
        <f>electric_vehicles_dataset[[#This Row],[Battery_Capacity_kWh]]/electric_vehicles_dataset[[#This Row],[Range_km]]</f>
        <v>0.12291666666666667</v>
      </c>
      <c r="I1847">
        <v>192</v>
      </c>
      <c r="J1847" t="s">
        <v>27</v>
      </c>
      <c r="K1847">
        <v>3</v>
      </c>
      <c r="L1847" s="1">
        <v>100811.01</v>
      </c>
      <c r="M1847" s="1" t="str" cm="1">
        <f t="array" ref="M18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47" t="s">
        <v>131</v>
      </c>
      <c r="O1847" t="s">
        <v>23</v>
      </c>
      <c r="P1847" s="2" t="s">
        <v>389</v>
      </c>
      <c r="Q1847">
        <v>2</v>
      </c>
      <c r="R1847" t="s">
        <v>391</v>
      </c>
      <c r="S1847" s="1">
        <f>electric_vehicles_dataset[[#This Row],[Units_Sold_2024]]*electric_vehicles_dataset[[#This Row],[Price_USD]]</f>
        <v>307271958.47999996</v>
      </c>
      <c r="T1847">
        <v>3</v>
      </c>
      <c r="U1847">
        <v>3048</v>
      </c>
      <c r="V1847">
        <v>5</v>
      </c>
    </row>
    <row r="1848" spans="1:22" x14ac:dyDescent="0.35">
      <c r="A1848">
        <v>1847</v>
      </c>
      <c r="B1848" t="s">
        <v>215</v>
      </c>
      <c r="C1848" t="s">
        <v>377</v>
      </c>
      <c r="D1848">
        <v>2023</v>
      </c>
      <c r="E1848" t="s">
        <v>42</v>
      </c>
      <c r="F1848">
        <v>145.4</v>
      </c>
      <c r="G1848" t="s">
        <v>386</v>
      </c>
      <c r="H1848">
        <f>electric_vehicles_dataset[[#This Row],[Battery_Capacity_kWh]]/electric_vehicles_dataset[[#This Row],[Range_km]]</f>
        <v>0.25419580419580423</v>
      </c>
      <c r="I1848">
        <v>572</v>
      </c>
      <c r="J1848" t="s">
        <v>359</v>
      </c>
      <c r="K1848">
        <v>11</v>
      </c>
      <c r="L1848" s="1">
        <v>123082.3</v>
      </c>
      <c r="M1848" s="1" t="str" cm="1">
        <f t="array" ref="M184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48" t="s">
        <v>117</v>
      </c>
      <c r="O1848" t="s">
        <v>150</v>
      </c>
      <c r="P1848" s="2" t="s">
        <v>389</v>
      </c>
      <c r="Q1848">
        <v>3</v>
      </c>
      <c r="R1848" t="s">
        <v>397</v>
      </c>
      <c r="S1848" s="1">
        <f>electric_vehicles_dataset[[#This Row],[Units_Sold_2024]]*electric_vehicles_dataset[[#This Row],[Price_USD]]</f>
        <v>2094737663.7</v>
      </c>
      <c r="T1848">
        <v>3</v>
      </c>
      <c r="U1848">
        <v>17019</v>
      </c>
      <c r="V1848">
        <v>4</v>
      </c>
    </row>
    <row r="1849" spans="1:22" x14ac:dyDescent="0.35">
      <c r="A1849">
        <v>1848</v>
      </c>
      <c r="B1849" t="s">
        <v>112</v>
      </c>
      <c r="C1849" t="s">
        <v>237</v>
      </c>
      <c r="D1849">
        <v>2016</v>
      </c>
      <c r="E1849" t="s">
        <v>133</v>
      </c>
      <c r="F1849">
        <v>124.2</v>
      </c>
      <c r="G1849" t="s">
        <v>352</v>
      </c>
      <c r="H1849">
        <f>electric_vehicles_dataset[[#This Row],[Battery_Capacity_kWh]]/electric_vehicles_dataset[[#This Row],[Range_km]]</f>
        <v>0.24257812500000001</v>
      </c>
      <c r="I1849">
        <v>512</v>
      </c>
      <c r="J1849" t="s">
        <v>54</v>
      </c>
      <c r="K1849">
        <v>7</v>
      </c>
      <c r="L1849" s="1">
        <v>125664.43</v>
      </c>
      <c r="M1849" s="1" t="str" cm="1">
        <f t="array" ref="M184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49" t="s">
        <v>229</v>
      </c>
      <c r="O1849" t="s">
        <v>182</v>
      </c>
      <c r="P1849" s="2" t="s">
        <v>394</v>
      </c>
      <c r="Q1849">
        <v>3</v>
      </c>
      <c r="R1849" t="s">
        <v>397</v>
      </c>
      <c r="S1849" s="1">
        <f>electric_vehicles_dataset[[#This Row],[Units_Sold_2024]]*electric_vehicles_dataset[[#This Row],[Price_USD]]</f>
        <v>1237040648.9199998</v>
      </c>
      <c r="T1849">
        <v>4</v>
      </c>
      <c r="U1849">
        <v>9844</v>
      </c>
      <c r="V1849">
        <v>3</v>
      </c>
    </row>
    <row r="1850" spans="1:22" x14ac:dyDescent="0.35">
      <c r="A1850">
        <v>1849</v>
      </c>
      <c r="B1850" t="s">
        <v>222</v>
      </c>
      <c r="C1850" t="s">
        <v>223</v>
      </c>
      <c r="D1850">
        <v>2018</v>
      </c>
      <c r="E1850" t="s">
        <v>31</v>
      </c>
      <c r="F1850">
        <v>118.8</v>
      </c>
      <c r="G1850" t="s">
        <v>361</v>
      </c>
      <c r="H1850">
        <f>electric_vehicles_dataset[[#This Row],[Battery_Capacity_kWh]]/electric_vehicles_dataset[[#This Row],[Range_km]]</f>
        <v>0.31511936339522545</v>
      </c>
      <c r="I1850">
        <v>377</v>
      </c>
      <c r="J1850" t="s">
        <v>76</v>
      </c>
      <c r="K1850">
        <v>6</v>
      </c>
      <c r="L1850" s="1">
        <v>32326.34</v>
      </c>
      <c r="M1850" s="1" t="str" cm="1">
        <f t="array" ref="M185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50" t="s">
        <v>143</v>
      </c>
      <c r="O1850" t="s">
        <v>95</v>
      </c>
      <c r="P1850" s="2" t="s">
        <v>394</v>
      </c>
      <c r="Q1850">
        <v>3</v>
      </c>
      <c r="R1850" t="s">
        <v>397</v>
      </c>
      <c r="S1850" s="1">
        <f>electric_vehicles_dataset[[#This Row],[Units_Sold_2024]]*electric_vehicles_dataset[[#This Row],[Price_USD]]</f>
        <v>22434479.960000001</v>
      </c>
      <c r="T1850">
        <v>3</v>
      </c>
      <c r="U1850">
        <v>694</v>
      </c>
      <c r="V1850">
        <v>3</v>
      </c>
    </row>
    <row r="1851" spans="1:22" x14ac:dyDescent="0.35">
      <c r="A1851">
        <v>1850</v>
      </c>
      <c r="B1851" t="s">
        <v>94</v>
      </c>
      <c r="C1851" t="s">
        <v>99</v>
      </c>
      <c r="D1851">
        <v>2025</v>
      </c>
      <c r="E1851" t="s">
        <v>183</v>
      </c>
      <c r="F1851">
        <v>20.5</v>
      </c>
      <c r="G1851" t="s">
        <v>357</v>
      </c>
      <c r="H1851">
        <f>electric_vehicles_dataset[[#This Row],[Battery_Capacity_kWh]]/electric_vehicles_dataset[[#This Row],[Range_km]]</f>
        <v>4.3617021276595745E-2</v>
      </c>
      <c r="I1851">
        <v>470</v>
      </c>
      <c r="J1851" t="s">
        <v>356</v>
      </c>
      <c r="K1851">
        <v>5</v>
      </c>
      <c r="L1851" s="1">
        <v>73988.88</v>
      </c>
      <c r="M1851" s="1" t="str" cm="1">
        <f t="array" ref="M185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51" t="s">
        <v>49</v>
      </c>
      <c r="O1851" t="s">
        <v>92</v>
      </c>
      <c r="P1851" s="2" t="s">
        <v>394</v>
      </c>
      <c r="Q1851">
        <v>4</v>
      </c>
      <c r="R1851" t="s">
        <v>392</v>
      </c>
      <c r="S1851" s="1">
        <f>electric_vehicles_dataset[[#This Row],[Units_Sold_2024]]*electric_vehicles_dataset[[#This Row],[Price_USD]]</f>
        <v>165217169.04000002</v>
      </c>
      <c r="T1851">
        <v>5</v>
      </c>
      <c r="U1851">
        <v>2233</v>
      </c>
      <c r="V1851">
        <v>3</v>
      </c>
    </row>
    <row r="1852" spans="1:22" x14ac:dyDescent="0.35">
      <c r="A1852">
        <v>1851</v>
      </c>
      <c r="B1852" t="s">
        <v>122</v>
      </c>
      <c r="C1852" t="s">
        <v>123</v>
      </c>
      <c r="D1852">
        <v>2021</v>
      </c>
      <c r="E1852" t="s">
        <v>101</v>
      </c>
      <c r="F1852">
        <v>133.69999999999999</v>
      </c>
      <c r="G1852" t="s">
        <v>352</v>
      </c>
      <c r="H1852">
        <f>electric_vehicles_dataset[[#This Row],[Battery_Capacity_kWh]]/electric_vehicles_dataset[[#This Row],[Range_km]]</f>
        <v>0.50836501901140685</v>
      </c>
      <c r="I1852">
        <v>263</v>
      </c>
      <c r="J1852" t="s">
        <v>76</v>
      </c>
      <c r="K1852">
        <v>10</v>
      </c>
      <c r="L1852" s="1">
        <v>72661.41</v>
      </c>
      <c r="M1852" s="1" t="str" cm="1">
        <f t="array" ref="M185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52" t="s">
        <v>253</v>
      </c>
      <c r="O1852" t="s">
        <v>182</v>
      </c>
      <c r="P1852" s="2" t="s">
        <v>394</v>
      </c>
      <c r="Q1852">
        <v>2</v>
      </c>
      <c r="R1852" t="s">
        <v>391</v>
      </c>
      <c r="S1852" s="1">
        <f>electric_vehicles_dataset[[#This Row],[Units_Sold_2024]]*electric_vehicles_dataset[[#This Row],[Price_USD]]</f>
        <v>948158739.09000003</v>
      </c>
      <c r="T1852">
        <v>4</v>
      </c>
      <c r="U1852">
        <v>13049</v>
      </c>
      <c r="V1852">
        <v>3</v>
      </c>
    </row>
    <row r="1853" spans="1:22" x14ac:dyDescent="0.35">
      <c r="A1853">
        <v>1852</v>
      </c>
      <c r="B1853" t="s">
        <v>173</v>
      </c>
      <c r="C1853" t="s">
        <v>306</v>
      </c>
      <c r="D1853">
        <v>2020</v>
      </c>
      <c r="E1853" t="s">
        <v>133</v>
      </c>
      <c r="F1853">
        <v>115.5</v>
      </c>
      <c r="G1853" t="s">
        <v>361</v>
      </c>
      <c r="H1853">
        <f>electric_vehicles_dataset[[#This Row],[Battery_Capacity_kWh]]/electric_vehicles_dataset[[#This Row],[Range_km]]</f>
        <v>0.2001733102253033</v>
      </c>
      <c r="I1853">
        <v>577</v>
      </c>
      <c r="J1853" t="s">
        <v>359</v>
      </c>
      <c r="K1853">
        <v>3</v>
      </c>
      <c r="L1853" s="1">
        <v>98743.79</v>
      </c>
      <c r="M1853" s="1" t="str" cm="1">
        <f t="array" ref="M185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53" t="s">
        <v>165</v>
      </c>
      <c r="O1853" t="s">
        <v>206</v>
      </c>
      <c r="P1853" s="2" t="s">
        <v>394</v>
      </c>
      <c r="Q1853">
        <v>1</v>
      </c>
      <c r="R1853" t="s">
        <v>391</v>
      </c>
      <c r="S1853" s="1">
        <f>electric_vehicles_dataset[[#This Row],[Units_Sold_2024]]*electric_vehicles_dataset[[#This Row],[Price_USD]]</f>
        <v>1287421534.02</v>
      </c>
      <c r="T1853">
        <v>3</v>
      </c>
      <c r="U1853">
        <v>13038</v>
      </c>
      <c r="V1853">
        <v>5</v>
      </c>
    </row>
    <row r="1854" spans="1:22" x14ac:dyDescent="0.35">
      <c r="A1854">
        <v>1853</v>
      </c>
      <c r="B1854" t="s">
        <v>215</v>
      </c>
      <c r="C1854" t="s">
        <v>216</v>
      </c>
      <c r="D1854">
        <v>2021</v>
      </c>
      <c r="E1854" t="s">
        <v>84</v>
      </c>
      <c r="F1854">
        <v>123.4</v>
      </c>
      <c r="G1854" t="s">
        <v>352</v>
      </c>
      <c r="H1854">
        <f>electric_vehicles_dataset[[#This Row],[Battery_Capacity_kWh]]/electric_vehicles_dataset[[#This Row],[Range_km]]</f>
        <v>0.22767527675276752</v>
      </c>
      <c r="I1854">
        <v>542</v>
      </c>
      <c r="J1854" t="s">
        <v>105</v>
      </c>
      <c r="K1854">
        <v>4</v>
      </c>
      <c r="L1854" s="1">
        <v>147338.79</v>
      </c>
      <c r="M1854" s="1" t="str" cm="1">
        <f t="array" ref="M185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54" t="s">
        <v>240</v>
      </c>
      <c r="O1854" t="s">
        <v>159</v>
      </c>
      <c r="P1854" s="2" t="s">
        <v>389</v>
      </c>
      <c r="Q1854">
        <v>1</v>
      </c>
      <c r="R1854" t="s">
        <v>391</v>
      </c>
      <c r="S1854" s="1">
        <f>electric_vehicles_dataset[[#This Row],[Units_Sold_2024]]*electric_vehicles_dataset[[#This Row],[Price_USD]]</f>
        <v>2566199705.4300003</v>
      </c>
      <c r="T1854">
        <v>5</v>
      </c>
      <c r="U1854">
        <v>17417</v>
      </c>
      <c r="V1854">
        <v>4</v>
      </c>
    </row>
    <row r="1855" spans="1:22" x14ac:dyDescent="0.35">
      <c r="A1855">
        <v>1854</v>
      </c>
      <c r="B1855" t="s">
        <v>140</v>
      </c>
      <c r="C1855" t="s">
        <v>339</v>
      </c>
      <c r="D1855">
        <v>2024</v>
      </c>
      <c r="E1855" t="s">
        <v>73</v>
      </c>
      <c r="F1855">
        <v>79.8</v>
      </c>
      <c r="G1855" t="s">
        <v>351</v>
      </c>
      <c r="H1855">
        <f>electric_vehicles_dataset[[#This Row],[Battery_Capacity_kWh]]/electric_vehicles_dataset[[#This Row],[Range_km]]</f>
        <v>0.53918918918918912</v>
      </c>
      <c r="I1855">
        <v>148</v>
      </c>
      <c r="J1855" t="s">
        <v>149</v>
      </c>
      <c r="K1855">
        <v>1</v>
      </c>
      <c r="L1855" s="1">
        <v>42822.89</v>
      </c>
      <c r="M1855" s="1" t="str" cm="1">
        <f t="array" ref="M185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55" t="s">
        <v>196</v>
      </c>
      <c r="O1855" t="s">
        <v>230</v>
      </c>
      <c r="P1855" s="2" t="s">
        <v>389</v>
      </c>
      <c r="Q1855">
        <v>3</v>
      </c>
      <c r="R1855" t="s">
        <v>397</v>
      </c>
      <c r="S1855" s="1">
        <f>electric_vehicles_dataset[[#This Row],[Units_Sold_2024]]*electric_vehicles_dataset[[#This Row],[Price_USD]]</f>
        <v>181183647.59</v>
      </c>
      <c r="T1855">
        <v>4</v>
      </c>
      <c r="U1855">
        <v>4231</v>
      </c>
      <c r="V1855">
        <v>4</v>
      </c>
    </row>
    <row r="1856" spans="1:22" x14ac:dyDescent="0.35">
      <c r="A1856">
        <v>1855</v>
      </c>
      <c r="B1856" t="s">
        <v>29</v>
      </c>
      <c r="C1856" t="s">
        <v>378</v>
      </c>
      <c r="D1856">
        <v>2017</v>
      </c>
      <c r="E1856" t="s">
        <v>84</v>
      </c>
      <c r="F1856">
        <v>35.5</v>
      </c>
      <c r="G1856" t="s">
        <v>357</v>
      </c>
      <c r="H1856">
        <f>electric_vehicles_dataset[[#This Row],[Battery_Capacity_kWh]]/electric_vehicles_dataset[[#This Row],[Range_km]]</f>
        <v>9.1731266149870802E-2</v>
      </c>
      <c r="I1856">
        <v>387</v>
      </c>
      <c r="J1856" t="s">
        <v>18</v>
      </c>
      <c r="K1856">
        <v>7</v>
      </c>
      <c r="L1856" s="1">
        <v>116504.46</v>
      </c>
      <c r="M1856" s="1" t="str" cm="1">
        <f t="array" ref="M185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56" t="s">
        <v>131</v>
      </c>
      <c r="O1856" t="s">
        <v>78</v>
      </c>
      <c r="P1856" s="2" t="s">
        <v>389</v>
      </c>
      <c r="Q1856">
        <v>1</v>
      </c>
      <c r="R1856" t="s">
        <v>391</v>
      </c>
      <c r="S1856" s="1">
        <f>electric_vehicles_dataset[[#This Row],[Units_Sold_2024]]*electric_vehicles_dataset[[#This Row],[Price_USD]]</f>
        <v>1025588761.3800001</v>
      </c>
      <c r="T1856">
        <v>3</v>
      </c>
      <c r="U1856">
        <v>8803</v>
      </c>
      <c r="V1856">
        <v>5</v>
      </c>
    </row>
    <row r="1857" spans="1:22" x14ac:dyDescent="0.35">
      <c r="A1857">
        <v>1856</v>
      </c>
      <c r="B1857" t="s">
        <v>224</v>
      </c>
      <c r="C1857" t="s">
        <v>297</v>
      </c>
      <c r="D1857">
        <v>2022</v>
      </c>
      <c r="E1857" t="s">
        <v>90</v>
      </c>
      <c r="F1857">
        <v>64.3</v>
      </c>
      <c r="G1857" t="s">
        <v>351</v>
      </c>
      <c r="H1857">
        <f>electric_vehicles_dataset[[#This Row],[Battery_Capacity_kWh]]/electric_vehicles_dataset[[#This Row],[Range_km]]</f>
        <v>0.35329670329670326</v>
      </c>
      <c r="I1857">
        <v>182</v>
      </c>
      <c r="J1857" t="s">
        <v>48</v>
      </c>
      <c r="K1857">
        <v>5</v>
      </c>
      <c r="L1857" s="1">
        <v>145759.98000000001</v>
      </c>
      <c r="M1857" s="1" t="str" cm="1">
        <f t="array" ref="M185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57" t="s">
        <v>238</v>
      </c>
      <c r="O1857" t="s">
        <v>33</v>
      </c>
      <c r="P1857" s="2" t="s">
        <v>393</v>
      </c>
      <c r="Q1857">
        <v>0</v>
      </c>
      <c r="R1857" t="s">
        <v>390</v>
      </c>
      <c r="S1857" s="1">
        <f>electric_vehicles_dataset[[#This Row],[Units_Sold_2024]]*electric_vehicles_dataset[[#This Row],[Price_USD]]</f>
        <v>2118767069.2800002</v>
      </c>
      <c r="T1857">
        <v>5</v>
      </c>
      <c r="U1857">
        <v>14536</v>
      </c>
      <c r="V1857">
        <v>3</v>
      </c>
    </row>
    <row r="1858" spans="1:22" x14ac:dyDescent="0.35">
      <c r="A1858">
        <v>1857</v>
      </c>
      <c r="B1858" t="s">
        <v>176</v>
      </c>
      <c r="C1858" t="s">
        <v>326</v>
      </c>
      <c r="D1858">
        <v>2015</v>
      </c>
      <c r="E1858" t="s">
        <v>53</v>
      </c>
      <c r="F1858">
        <v>122.4</v>
      </c>
      <c r="G1858" t="s">
        <v>352</v>
      </c>
      <c r="H1858">
        <f>electric_vehicles_dataset[[#This Row],[Battery_Capacity_kWh]]/electric_vehicles_dataset[[#This Row],[Range_km]]</f>
        <v>0.4516605166051661</v>
      </c>
      <c r="I1858">
        <v>271</v>
      </c>
      <c r="J1858" t="s">
        <v>345</v>
      </c>
      <c r="K1858">
        <v>4</v>
      </c>
      <c r="L1858" s="1">
        <v>133105.37</v>
      </c>
      <c r="M1858" s="1" t="str" cm="1">
        <f t="array" ref="M185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58" t="s">
        <v>81</v>
      </c>
      <c r="O1858" t="s">
        <v>111</v>
      </c>
      <c r="P1858" s="2" t="s">
        <v>389</v>
      </c>
      <c r="Q1858">
        <v>2</v>
      </c>
      <c r="R1858" t="s">
        <v>391</v>
      </c>
      <c r="S1858" s="1">
        <f>electric_vehicles_dataset[[#This Row],[Units_Sold_2024]]*electric_vehicles_dataset[[#This Row],[Price_USD]]</f>
        <v>2541913250.8899999</v>
      </c>
      <c r="T1858">
        <v>3</v>
      </c>
      <c r="U1858">
        <v>19097</v>
      </c>
      <c r="V1858">
        <v>4</v>
      </c>
    </row>
    <row r="1859" spans="1:22" x14ac:dyDescent="0.35">
      <c r="A1859">
        <v>1858</v>
      </c>
      <c r="B1859" t="s">
        <v>220</v>
      </c>
      <c r="C1859" t="s">
        <v>274</v>
      </c>
      <c r="D1859">
        <v>2017</v>
      </c>
      <c r="E1859" t="s">
        <v>104</v>
      </c>
      <c r="F1859">
        <v>98.2</v>
      </c>
      <c r="G1859" t="s">
        <v>350</v>
      </c>
      <c r="H1859">
        <f>electric_vehicles_dataset[[#This Row],[Battery_Capacity_kWh]]/electric_vehicles_dataset[[#This Row],[Range_km]]</f>
        <v>0.26978021978021977</v>
      </c>
      <c r="I1859">
        <v>364</v>
      </c>
      <c r="J1859" t="s">
        <v>353</v>
      </c>
      <c r="K1859">
        <v>9</v>
      </c>
      <c r="L1859" s="1">
        <v>51338.07</v>
      </c>
      <c r="M1859" s="1" t="str" cm="1">
        <f t="array" ref="M185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59" t="s">
        <v>39</v>
      </c>
      <c r="O1859" t="s">
        <v>182</v>
      </c>
      <c r="P1859" s="2" t="s">
        <v>394</v>
      </c>
      <c r="Q1859">
        <v>3</v>
      </c>
      <c r="R1859" t="s">
        <v>397</v>
      </c>
      <c r="S1859" s="1">
        <f>electric_vehicles_dataset[[#This Row],[Units_Sold_2024]]*electric_vehicles_dataset[[#This Row],[Price_USD]]</f>
        <v>730489398.02999997</v>
      </c>
      <c r="T1859">
        <v>5</v>
      </c>
      <c r="U1859">
        <v>14229</v>
      </c>
      <c r="V1859">
        <v>5</v>
      </c>
    </row>
    <row r="1860" spans="1:22" x14ac:dyDescent="0.35">
      <c r="A1860">
        <v>1859</v>
      </c>
      <c r="B1860" t="s">
        <v>170</v>
      </c>
      <c r="C1860" t="s">
        <v>275</v>
      </c>
      <c r="D1860">
        <v>2022</v>
      </c>
      <c r="E1860" t="s">
        <v>101</v>
      </c>
      <c r="F1860">
        <v>134.6</v>
      </c>
      <c r="G1860" t="s">
        <v>352</v>
      </c>
      <c r="H1860">
        <f>electric_vehicles_dataset[[#This Row],[Battery_Capacity_kWh]]/electric_vehicles_dataset[[#This Row],[Range_km]]</f>
        <v>0.58017241379310347</v>
      </c>
      <c r="I1860">
        <v>232</v>
      </c>
      <c r="J1860" t="s">
        <v>54</v>
      </c>
      <c r="K1860">
        <v>3</v>
      </c>
      <c r="L1860" s="1">
        <v>66685.990000000005</v>
      </c>
      <c r="M1860" s="1" t="str" cm="1">
        <f t="array" ref="M186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60" t="s">
        <v>238</v>
      </c>
      <c r="O1860" t="s">
        <v>50</v>
      </c>
      <c r="P1860" s="2" t="s">
        <v>396</v>
      </c>
      <c r="Q1860">
        <v>4</v>
      </c>
      <c r="R1860" t="s">
        <v>392</v>
      </c>
      <c r="S1860" s="1">
        <f>electric_vehicles_dataset[[#This Row],[Units_Sold_2024]]*electric_vehicles_dataset[[#This Row],[Price_USD]]</f>
        <v>1318915510.22</v>
      </c>
      <c r="T1860">
        <v>3</v>
      </c>
      <c r="U1860">
        <v>19778</v>
      </c>
      <c r="V1860">
        <v>4</v>
      </c>
    </row>
    <row r="1861" spans="1:22" x14ac:dyDescent="0.35">
      <c r="A1861">
        <v>1860</v>
      </c>
      <c r="B1861" t="s">
        <v>187</v>
      </c>
      <c r="C1861" t="s">
        <v>293</v>
      </c>
      <c r="D1861">
        <v>2016</v>
      </c>
      <c r="E1861" t="s">
        <v>104</v>
      </c>
      <c r="F1861">
        <v>137.5</v>
      </c>
      <c r="G1861" t="s">
        <v>352</v>
      </c>
      <c r="H1861">
        <f>electric_vehicles_dataset[[#This Row],[Battery_Capacity_kWh]]/electric_vehicles_dataset[[#This Row],[Range_km]]</f>
        <v>0.28350515463917525</v>
      </c>
      <c r="I1861">
        <v>485</v>
      </c>
      <c r="J1861" t="s">
        <v>54</v>
      </c>
      <c r="K1861">
        <v>3</v>
      </c>
      <c r="L1861" s="1">
        <v>92223.29</v>
      </c>
      <c r="M1861" s="1" t="str" cm="1">
        <f t="array" ref="M186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61" t="s">
        <v>106</v>
      </c>
      <c r="O1861" t="s">
        <v>95</v>
      </c>
      <c r="P1861" s="2" t="s">
        <v>394</v>
      </c>
      <c r="Q1861">
        <v>4</v>
      </c>
      <c r="R1861" t="s">
        <v>392</v>
      </c>
      <c r="S1861" s="1">
        <f>electric_vehicles_dataset[[#This Row],[Units_Sold_2024]]*electric_vehicles_dataset[[#This Row],[Price_USD]]</f>
        <v>684112365.21999991</v>
      </c>
      <c r="T1861">
        <v>4</v>
      </c>
      <c r="U1861">
        <v>7418</v>
      </c>
      <c r="V1861">
        <v>4</v>
      </c>
    </row>
    <row r="1862" spans="1:22" x14ac:dyDescent="0.35">
      <c r="A1862">
        <v>1861</v>
      </c>
      <c r="B1862" t="s">
        <v>82</v>
      </c>
      <c r="C1862" t="s">
        <v>83</v>
      </c>
      <c r="D1862">
        <v>2025</v>
      </c>
      <c r="E1862" t="s">
        <v>133</v>
      </c>
      <c r="F1862">
        <v>36.299999999999997</v>
      </c>
      <c r="G1862" t="s">
        <v>357</v>
      </c>
      <c r="H1862">
        <f>electric_vehicles_dataset[[#This Row],[Battery_Capacity_kWh]]/electric_vehicles_dataset[[#This Row],[Range_km]]</f>
        <v>0.1064516129032258</v>
      </c>
      <c r="I1862">
        <v>341</v>
      </c>
      <c r="J1862" t="s">
        <v>358</v>
      </c>
      <c r="K1862">
        <v>12</v>
      </c>
      <c r="L1862" s="1">
        <v>105178.11</v>
      </c>
      <c r="M1862" s="1" t="str" cm="1">
        <f t="array" ref="M18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62" t="s">
        <v>254</v>
      </c>
      <c r="O1862" t="s">
        <v>67</v>
      </c>
      <c r="P1862" s="2" t="s">
        <v>394</v>
      </c>
      <c r="Q1862">
        <v>0</v>
      </c>
      <c r="R1862" t="s">
        <v>390</v>
      </c>
      <c r="S1862" s="1">
        <f>electric_vehicles_dataset[[#This Row],[Units_Sold_2024]]*electric_vehicles_dataset[[#This Row],[Price_USD]]</f>
        <v>1664338412.6400001</v>
      </c>
      <c r="T1862">
        <v>4</v>
      </c>
      <c r="U1862">
        <v>15824</v>
      </c>
      <c r="V1862">
        <v>3</v>
      </c>
    </row>
    <row r="1863" spans="1:22" x14ac:dyDescent="0.35">
      <c r="A1863">
        <v>1862</v>
      </c>
      <c r="B1863" t="s">
        <v>173</v>
      </c>
      <c r="C1863" t="s">
        <v>174</v>
      </c>
      <c r="D1863">
        <v>2017</v>
      </c>
      <c r="E1863" t="s">
        <v>133</v>
      </c>
      <c r="F1863">
        <v>134.30000000000001</v>
      </c>
      <c r="G1863" t="s">
        <v>352</v>
      </c>
      <c r="H1863">
        <f>electric_vehicles_dataset[[#This Row],[Battery_Capacity_kWh]]/electric_vehicles_dataset[[#This Row],[Range_km]]</f>
        <v>0.43745928338762219</v>
      </c>
      <c r="I1863">
        <v>307</v>
      </c>
      <c r="J1863" t="s">
        <v>34</v>
      </c>
      <c r="K1863">
        <v>9</v>
      </c>
      <c r="L1863" s="1">
        <v>146280.66</v>
      </c>
      <c r="M1863" s="1" t="str" cm="1">
        <f t="array" ref="M18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63" t="s">
        <v>142</v>
      </c>
      <c r="O1863" t="s">
        <v>150</v>
      </c>
      <c r="P1863" s="2" t="s">
        <v>389</v>
      </c>
      <c r="Q1863">
        <v>0</v>
      </c>
      <c r="R1863" t="s">
        <v>390</v>
      </c>
      <c r="S1863" s="1">
        <f>electric_vehicles_dataset[[#This Row],[Units_Sold_2024]]*electric_vehicles_dataset[[#This Row],[Price_USD]]</f>
        <v>1058340575.1</v>
      </c>
      <c r="T1863">
        <v>3</v>
      </c>
      <c r="U1863">
        <v>7235</v>
      </c>
      <c r="V1863">
        <v>4</v>
      </c>
    </row>
    <row r="1864" spans="1:22" x14ac:dyDescent="0.35">
      <c r="A1864">
        <v>1863</v>
      </c>
      <c r="B1864" t="s">
        <v>170</v>
      </c>
      <c r="C1864" t="s">
        <v>367</v>
      </c>
      <c r="D1864">
        <v>2018</v>
      </c>
      <c r="E1864" t="s">
        <v>84</v>
      </c>
      <c r="F1864">
        <v>97.4</v>
      </c>
      <c r="G1864" t="s">
        <v>350</v>
      </c>
      <c r="H1864">
        <f>electric_vehicles_dataset[[#This Row],[Battery_Capacity_kWh]]/electric_vehicles_dataset[[#This Row],[Range_km]]</f>
        <v>0.68111888111888119</v>
      </c>
      <c r="I1864">
        <v>143</v>
      </c>
      <c r="J1864" t="s">
        <v>105</v>
      </c>
      <c r="K1864">
        <v>11</v>
      </c>
      <c r="L1864" s="1">
        <v>105543.49</v>
      </c>
      <c r="M1864" s="1" t="str" cm="1">
        <f t="array" ref="M186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64" t="s">
        <v>279</v>
      </c>
      <c r="O1864" t="s">
        <v>93</v>
      </c>
      <c r="P1864" s="2" t="s">
        <v>389</v>
      </c>
      <c r="Q1864">
        <v>1</v>
      </c>
      <c r="R1864" t="s">
        <v>391</v>
      </c>
      <c r="S1864" s="1">
        <f>electric_vehicles_dataset[[#This Row],[Units_Sold_2024]]*electric_vehicles_dataset[[#This Row],[Price_USD]]</f>
        <v>393043956.75999999</v>
      </c>
      <c r="T1864">
        <v>5</v>
      </c>
      <c r="U1864">
        <v>3724</v>
      </c>
      <c r="V1864">
        <v>4</v>
      </c>
    </row>
    <row r="1865" spans="1:22" x14ac:dyDescent="0.35">
      <c r="A1865">
        <v>1864</v>
      </c>
      <c r="B1865" t="s">
        <v>120</v>
      </c>
      <c r="C1865" t="s">
        <v>288</v>
      </c>
      <c r="D1865">
        <v>2021</v>
      </c>
      <c r="E1865" t="s">
        <v>133</v>
      </c>
      <c r="F1865">
        <v>138.5</v>
      </c>
      <c r="G1865" t="s">
        <v>352</v>
      </c>
      <c r="H1865">
        <f>electric_vehicles_dataset[[#This Row],[Battery_Capacity_kWh]]/electric_vehicles_dataset[[#This Row],[Range_km]]</f>
        <v>0.59698275862068961</v>
      </c>
      <c r="I1865">
        <v>232</v>
      </c>
      <c r="J1865" t="s">
        <v>356</v>
      </c>
      <c r="K1865">
        <v>12</v>
      </c>
      <c r="L1865" s="1">
        <v>69391.06</v>
      </c>
      <c r="M1865" s="1" t="str" cm="1">
        <f t="array" ref="M186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65" t="s">
        <v>59</v>
      </c>
      <c r="O1865" t="s">
        <v>115</v>
      </c>
      <c r="P1865" s="2" t="s">
        <v>396</v>
      </c>
      <c r="Q1865">
        <v>5</v>
      </c>
      <c r="R1865" t="s">
        <v>392</v>
      </c>
      <c r="S1865" s="1">
        <f>electric_vehicles_dataset[[#This Row],[Units_Sold_2024]]*electric_vehicles_dataset[[#This Row],[Price_USD]]</f>
        <v>506485346.94</v>
      </c>
      <c r="T1865">
        <v>5</v>
      </c>
      <c r="U1865">
        <v>7299</v>
      </c>
      <c r="V1865">
        <v>3</v>
      </c>
    </row>
    <row r="1866" spans="1:22" x14ac:dyDescent="0.35">
      <c r="A1866">
        <v>1865</v>
      </c>
      <c r="B1866" t="s">
        <v>313</v>
      </c>
      <c r="C1866" t="s">
        <v>314</v>
      </c>
      <c r="D1866">
        <v>2022</v>
      </c>
      <c r="E1866" t="s">
        <v>183</v>
      </c>
      <c r="F1866">
        <v>59.8</v>
      </c>
      <c r="G1866" t="s">
        <v>348</v>
      </c>
      <c r="H1866">
        <f>electric_vehicles_dataset[[#This Row],[Battery_Capacity_kWh]]/electric_vehicles_dataset[[#This Row],[Range_km]]</f>
        <v>0.3322222222222222</v>
      </c>
      <c r="I1866">
        <v>180</v>
      </c>
      <c r="J1866" t="s">
        <v>353</v>
      </c>
      <c r="K1866">
        <v>10</v>
      </c>
      <c r="L1866" s="1">
        <v>145539.26</v>
      </c>
      <c r="M1866" s="1" t="str" cm="1">
        <f t="array" ref="M18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66" t="s">
        <v>39</v>
      </c>
      <c r="O1866" t="s">
        <v>89</v>
      </c>
      <c r="P1866" s="2" t="s">
        <v>389</v>
      </c>
      <c r="Q1866">
        <v>5</v>
      </c>
      <c r="R1866" t="s">
        <v>392</v>
      </c>
      <c r="S1866" s="1">
        <f>electric_vehicles_dataset[[#This Row],[Units_Sold_2024]]*electric_vehicles_dataset[[#This Row],[Price_USD]]</f>
        <v>392956002</v>
      </c>
      <c r="T1866">
        <v>4</v>
      </c>
      <c r="U1866">
        <v>2700</v>
      </c>
      <c r="V1866">
        <v>4</v>
      </c>
    </row>
    <row r="1867" spans="1:22" x14ac:dyDescent="0.35">
      <c r="A1867">
        <v>1866</v>
      </c>
      <c r="B1867" t="s">
        <v>87</v>
      </c>
      <c r="C1867" t="s">
        <v>88</v>
      </c>
      <c r="D1867">
        <v>2017</v>
      </c>
      <c r="E1867" t="s">
        <v>101</v>
      </c>
      <c r="F1867">
        <v>76.099999999999994</v>
      </c>
      <c r="G1867" t="s">
        <v>351</v>
      </c>
      <c r="H1867">
        <f>electric_vehicles_dataset[[#This Row],[Battery_Capacity_kWh]]/electric_vehicles_dataset[[#This Row],[Range_km]]</f>
        <v>0.13421516754850088</v>
      </c>
      <c r="I1867">
        <v>567</v>
      </c>
      <c r="J1867" t="s">
        <v>85</v>
      </c>
      <c r="K1867">
        <v>9</v>
      </c>
      <c r="L1867" s="1">
        <v>85796.800000000003</v>
      </c>
      <c r="M1867" s="1" t="str" cm="1">
        <f t="array" ref="M186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67" t="s">
        <v>168</v>
      </c>
      <c r="O1867" t="s">
        <v>78</v>
      </c>
      <c r="P1867" s="2" t="s">
        <v>389</v>
      </c>
      <c r="Q1867">
        <v>0</v>
      </c>
      <c r="R1867" t="s">
        <v>390</v>
      </c>
      <c r="S1867" s="1">
        <f>electric_vehicles_dataset[[#This Row],[Units_Sold_2024]]*electric_vehicles_dataset[[#This Row],[Price_USD]]</f>
        <v>1582092992</v>
      </c>
      <c r="T1867">
        <v>5</v>
      </c>
      <c r="U1867">
        <v>18440</v>
      </c>
      <c r="V1867">
        <v>3</v>
      </c>
    </row>
    <row r="1868" spans="1:22" x14ac:dyDescent="0.35">
      <c r="A1868">
        <v>1867</v>
      </c>
      <c r="B1868" t="s">
        <v>261</v>
      </c>
      <c r="C1868" t="s">
        <v>372</v>
      </c>
      <c r="D1868">
        <v>2025</v>
      </c>
      <c r="E1868" t="s">
        <v>84</v>
      </c>
      <c r="F1868">
        <v>76.2</v>
      </c>
      <c r="G1868" t="s">
        <v>351</v>
      </c>
      <c r="H1868">
        <f>electric_vehicles_dataset[[#This Row],[Battery_Capacity_kWh]]/electric_vehicles_dataset[[#This Row],[Range_km]]</f>
        <v>0.14350282485875707</v>
      </c>
      <c r="I1868">
        <v>531</v>
      </c>
      <c r="J1868" t="s">
        <v>345</v>
      </c>
      <c r="K1868">
        <v>5</v>
      </c>
      <c r="L1868" s="1">
        <v>133759.82999999999</v>
      </c>
      <c r="M1868" s="1" t="str" cm="1">
        <f t="array" ref="M186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68" t="s">
        <v>39</v>
      </c>
      <c r="O1868" t="s">
        <v>111</v>
      </c>
      <c r="P1868" s="2" t="s">
        <v>389</v>
      </c>
      <c r="Q1868">
        <v>3</v>
      </c>
      <c r="R1868" t="s">
        <v>397</v>
      </c>
      <c r="S1868" s="1">
        <f>electric_vehicles_dataset[[#This Row],[Units_Sold_2024]]*electric_vehicles_dataset[[#This Row],[Price_USD]]</f>
        <v>1423873390.3499999</v>
      </c>
      <c r="T1868">
        <v>5</v>
      </c>
      <c r="U1868">
        <v>10645</v>
      </c>
      <c r="V1868">
        <v>4</v>
      </c>
    </row>
    <row r="1869" spans="1:22" x14ac:dyDescent="0.35">
      <c r="A1869">
        <v>1868</v>
      </c>
      <c r="B1869" t="s">
        <v>180</v>
      </c>
      <c r="C1869" t="s">
        <v>379</v>
      </c>
      <c r="D1869">
        <v>2015</v>
      </c>
      <c r="E1869" t="s">
        <v>17</v>
      </c>
      <c r="F1869">
        <v>139.69999999999999</v>
      </c>
      <c r="G1869" t="s">
        <v>352</v>
      </c>
      <c r="H1869">
        <f>electric_vehicles_dataset[[#This Row],[Battery_Capacity_kWh]]/electric_vehicles_dataset[[#This Row],[Range_km]]</f>
        <v>0.73526315789473673</v>
      </c>
      <c r="I1869">
        <v>190</v>
      </c>
      <c r="J1869" t="s">
        <v>353</v>
      </c>
      <c r="K1869">
        <v>2</v>
      </c>
      <c r="L1869" s="1">
        <v>104309.18</v>
      </c>
      <c r="M1869" s="1" t="str" cm="1">
        <f t="array" ref="M18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69" t="s">
        <v>160</v>
      </c>
      <c r="O1869" t="s">
        <v>44</v>
      </c>
      <c r="P1869" s="2" t="s">
        <v>389</v>
      </c>
      <c r="Q1869">
        <v>5</v>
      </c>
      <c r="R1869" t="s">
        <v>392</v>
      </c>
      <c r="S1869" s="1">
        <f>electric_vehicles_dataset[[#This Row],[Units_Sold_2024]]*electric_vehicles_dataset[[#This Row],[Price_USD]]</f>
        <v>914791508.5999999</v>
      </c>
      <c r="T1869">
        <v>4</v>
      </c>
      <c r="U1869">
        <v>8770</v>
      </c>
      <c r="V1869">
        <v>5</v>
      </c>
    </row>
    <row r="1870" spans="1:22" x14ac:dyDescent="0.35">
      <c r="A1870">
        <v>1869</v>
      </c>
      <c r="B1870" t="s">
        <v>128</v>
      </c>
      <c r="C1870" t="s">
        <v>268</v>
      </c>
      <c r="D1870">
        <v>2019</v>
      </c>
      <c r="E1870" t="s">
        <v>31</v>
      </c>
      <c r="F1870">
        <v>108.9</v>
      </c>
      <c r="G1870" t="s">
        <v>361</v>
      </c>
      <c r="H1870">
        <f>electric_vehicles_dataset[[#This Row],[Battery_Capacity_kWh]]/electric_vehicles_dataset[[#This Row],[Range_km]]</f>
        <v>0.35822368421052636</v>
      </c>
      <c r="I1870">
        <v>304</v>
      </c>
      <c r="J1870" t="s">
        <v>76</v>
      </c>
      <c r="K1870">
        <v>4</v>
      </c>
      <c r="L1870" s="1">
        <v>132440.6</v>
      </c>
      <c r="M1870" s="1" t="str" cm="1">
        <f t="array" ref="M187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70" t="s">
        <v>277</v>
      </c>
      <c r="O1870" t="s">
        <v>167</v>
      </c>
      <c r="P1870" s="2" t="s">
        <v>394</v>
      </c>
      <c r="Q1870">
        <v>5</v>
      </c>
      <c r="R1870" t="s">
        <v>392</v>
      </c>
      <c r="S1870" s="1">
        <f>electric_vehicles_dataset[[#This Row],[Units_Sold_2024]]*electric_vehicles_dataset[[#This Row],[Price_USD]]</f>
        <v>965227092.80000007</v>
      </c>
      <c r="T1870">
        <v>5</v>
      </c>
      <c r="U1870">
        <v>7288</v>
      </c>
      <c r="V1870">
        <v>4</v>
      </c>
    </row>
    <row r="1871" spans="1:22" x14ac:dyDescent="0.35">
      <c r="A1871">
        <v>1870</v>
      </c>
      <c r="B1871" t="s">
        <v>45</v>
      </c>
      <c r="C1871" t="s">
        <v>132</v>
      </c>
      <c r="D1871">
        <v>2018</v>
      </c>
      <c r="E1871" t="s">
        <v>26</v>
      </c>
      <c r="F1871">
        <v>123.8</v>
      </c>
      <c r="G1871" t="s">
        <v>352</v>
      </c>
      <c r="H1871">
        <f>electric_vehicles_dataset[[#This Row],[Battery_Capacity_kWh]]/electric_vehicles_dataset[[#This Row],[Range_km]]</f>
        <v>0.34293628808864263</v>
      </c>
      <c r="I1871">
        <v>361</v>
      </c>
      <c r="J1871" t="s">
        <v>48</v>
      </c>
      <c r="K1871">
        <v>11</v>
      </c>
      <c r="L1871" s="1">
        <v>59552.800000000003</v>
      </c>
      <c r="M1871" s="1" t="str" cm="1">
        <f t="array" ref="M187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71" t="s">
        <v>152</v>
      </c>
      <c r="O1871" t="s">
        <v>159</v>
      </c>
      <c r="P1871" s="2" t="s">
        <v>389</v>
      </c>
      <c r="Q1871">
        <v>1</v>
      </c>
      <c r="R1871" t="s">
        <v>391</v>
      </c>
      <c r="S1871" s="1">
        <f>electric_vehicles_dataset[[#This Row],[Units_Sold_2024]]*electric_vehicles_dataset[[#This Row],[Price_USD]]</f>
        <v>98440778.400000006</v>
      </c>
      <c r="T1871">
        <v>3</v>
      </c>
      <c r="U1871">
        <v>1653</v>
      </c>
      <c r="V1871">
        <v>3</v>
      </c>
    </row>
    <row r="1872" spans="1:22" x14ac:dyDescent="0.35">
      <c r="A1872">
        <v>1871</v>
      </c>
      <c r="B1872" t="s">
        <v>128</v>
      </c>
      <c r="C1872" t="s">
        <v>332</v>
      </c>
      <c r="D1872">
        <v>2019</v>
      </c>
      <c r="E1872" t="s">
        <v>58</v>
      </c>
      <c r="F1872">
        <v>129.9</v>
      </c>
      <c r="G1872" t="s">
        <v>352</v>
      </c>
      <c r="H1872">
        <f>electric_vehicles_dataset[[#This Row],[Battery_Capacity_kWh]]/electric_vehicles_dataset[[#This Row],[Range_km]]</f>
        <v>0.72977528089887644</v>
      </c>
      <c r="I1872">
        <v>178</v>
      </c>
      <c r="J1872" t="s">
        <v>54</v>
      </c>
      <c r="K1872">
        <v>9</v>
      </c>
      <c r="L1872" s="1">
        <v>142008.56</v>
      </c>
      <c r="M1872" s="1" t="str" cm="1">
        <f t="array" ref="M187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72" t="s">
        <v>301</v>
      </c>
      <c r="O1872" t="s">
        <v>182</v>
      </c>
      <c r="P1872" s="2" t="s">
        <v>394</v>
      </c>
      <c r="Q1872">
        <v>1</v>
      </c>
      <c r="R1872" t="s">
        <v>391</v>
      </c>
      <c r="S1872" s="1">
        <f>electric_vehicles_dataset[[#This Row],[Units_Sold_2024]]*electric_vehicles_dataset[[#This Row],[Price_USD]]</f>
        <v>1124707795.2</v>
      </c>
      <c r="T1872">
        <v>3</v>
      </c>
      <c r="U1872">
        <v>7920</v>
      </c>
      <c r="V1872">
        <v>3</v>
      </c>
    </row>
    <row r="1873" spans="1:22" x14ac:dyDescent="0.35">
      <c r="A1873">
        <v>1872</v>
      </c>
      <c r="B1873" t="s">
        <v>243</v>
      </c>
      <c r="C1873" t="s">
        <v>244</v>
      </c>
      <c r="D1873">
        <v>2020</v>
      </c>
      <c r="E1873" t="s">
        <v>53</v>
      </c>
      <c r="F1873">
        <v>29.4</v>
      </c>
      <c r="G1873" t="s">
        <v>357</v>
      </c>
      <c r="H1873">
        <f>electric_vehicles_dataset[[#This Row],[Battery_Capacity_kWh]]/electric_vehicles_dataset[[#This Row],[Range_km]]</f>
        <v>0.23709677419354838</v>
      </c>
      <c r="I1873">
        <v>124</v>
      </c>
      <c r="J1873" t="s">
        <v>18</v>
      </c>
      <c r="K1873">
        <v>3</v>
      </c>
      <c r="L1873" s="1">
        <v>45848.28</v>
      </c>
      <c r="M1873" s="1" t="str" cm="1">
        <f t="array" ref="M187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73" t="s">
        <v>175</v>
      </c>
      <c r="O1873" t="s">
        <v>135</v>
      </c>
      <c r="P1873" s="2" t="s">
        <v>389</v>
      </c>
      <c r="Q1873">
        <v>0</v>
      </c>
      <c r="R1873" t="s">
        <v>390</v>
      </c>
      <c r="S1873" s="1">
        <f>electric_vehicles_dataset[[#This Row],[Units_Sold_2024]]*electric_vehicles_dataset[[#This Row],[Price_USD]]</f>
        <v>749115046.91999996</v>
      </c>
      <c r="T1873">
        <v>5</v>
      </c>
      <c r="U1873">
        <v>16339</v>
      </c>
      <c r="V1873">
        <v>3</v>
      </c>
    </row>
    <row r="1874" spans="1:22" x14ac:dyDescent="0.35">
      <c r="A1874">
        <v>1873</v>
      </c>
      <c r="B1874" t="s">
        <v>74</v>
      </c>
      <c r="C1874" t="s">
        <v>75</v>
      </c>
      <c r="D1874">
        <v>2025</v>
      </c>
      <c r="E1874" t="s">
        <v>17</v>
      </c>
      <c r="F1874">
        <v>26.8</v>
      </c>
      <c r="G1874" t="s">
        <v>357</v>
      </c>
      <c r="H1874">
        <f>electric_vehicles_dataset[[#This Row],[Battery_Capacity_kWh]]/electric_vehicles_dataset[[#This Row],[Range_km]]</f>
        <v>0.15141242937853108</v>
      </c>
      <c r="I1874">
        <v>177</v>
      </c>
      <c r="J1874" t="s">
        <v>18</v>
      </c>
      <c r="K1874">
        <v>11</v>
      </c>
      <c r="L1874" s="1">
        <v>128138.36</v>
      </c>
      <c r="M1874" s="1" t="str" cm="1">
        <f t="array" ref="M187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74" t="s">
        <v>106</v>
      </c>
      <c r="O1874" t="s">
        <v>111</v>
      </c>
      <c r="P1874" s="2" t="s">
        <v>389</v>
      </c>
      <c r="Q1874">
        <v>3</v>
      </c>
      <c r="R1874" t="s">
        <v>397</v>
      </c>
      <c r="S1874" s="1">
        <f>electric_vehicles_dataset[[#This Row],[Units_Sold_2024]]*electric_vehicles_dataset[[#This Row],[Price_USD]]</f>
        <v>656068403.20000005</v>
      </c>
      <c r="T1874">
        <v>4</v>
      </c>
      <c r="U1874">
        <v>5120</v>
      </c>
      <c r="V1874">
        <v>4</v>
      </c>
    </row>
    <row r="1875" spans="1:22" x14ac:dyDescent="0.35">
      <c r="A1875">
        <v>1874</v>
      </c>
      <c r="B1875" t="s">
        <v>241</v>
      </c>
      <c r="C1875" t="s">
        <v>242</v>
      </c>
      <c r="D1875">
        <v>2016</v>
      </c>
      <c r="E1875" t="s">
        <v>101</v>
      </c>
      <c r="F1875">
        <v>61.7</v>
      </c>
      <c r="G1875" t="s">
        <v>351</v>
      </c>
      <c r="H1875">
        <f>electric_vehicles_dataset[[#This Row],[Battery_Capacity_kWh]]/electric_vehicles_dataset[[#This Row],[Range_km]]</f>
        <v>0.17091412742382273</v>
      </c>
      <c r="I1875">
        <v>361</v>
      </c>
      <c r="J1875" t="s">
        <v>27</v>
      </c>
      <c r="K1875">
        <v>11</v>
      </c>
      <c r="L1875" s="1">
        <v>122483.37</v>
      </c>
      <c r="M1875" s="1" t="str" cm="1">
        <f t="array" ref="M18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75" t="s">
        <v>228</v>
      </c>
      <c r="O1875" t="s">
        <v>167</v>
      </c>
      <c r="P1875" s="2" t="s">
        <v>394</v>
      </c>
      <c r="Q1875">
        <v>3</v>
      </c>
      <c r="R1875" t="s">
        <v>397</v>
      </c>
      <c r="S1875" s="1">
        <f>electric_vehicles_dataset[[#This Row],[Units_Sold_2024]]*electric_vehicles_dataset[[#This Row],[Price_USD]]</f>
        <v>85493392.25999999</v>
      </c>
      <c r="T1875">
        <v>4</v>
      </c>
      <c r="U1875">
        <v>698</v>
      </c>
      <c r="V1875">
        <v>4</v>
      </c>
    </row>
    <row r="1876" spans="1:22" x14ac:dyDescent="0.35">
      <c r="A1876">
        <v>1875</v>
      </c>
      <c r="B1876" t="s">
        <v>215</v>
      </c>
      <c r="C1876" t="s">
        <v>216</v>
      </c>
      <c r="D1876">
        <v>2019</v>
      </c>
      <c r="E1876" t="s">
        <v>90</v>
      </c>
      <c r="F1876">
        <v>144.9</v>
      </c>
      <c r="G1876" t="s">
        <v>386</v>
      </c>
      <c r="H1876">
        <f>electric_vehicles_dataset[[#This Row],[Battery_Capacity_kWh]]/electric_vehicles_dataset[[#This Row],[Range_km]]</f>
        <v>0.25156250000000002</v>
      </c>
      <c r="I1876">
        <v>576</v>
      </c>
      <c r="J1876" t="s">
        <v>364</v>
      </c>
      <c r="K1876">
        <v>8</v>
      </c>
      <c r="L1876" s="1">
        <v>134938.34</v>
      </c>
      <c r="M1876" s="1" t="str" cm="1">
        <f t="array" ref="M187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76" t="s">
        <v>43</v>
      </c>
      <c r="O1876" t="s">
        <v>50</v>
      </c>
      <c r="P1876" s="2" t="s">
        <v>396</v>
      </c>
      <c r="Q1876">
        <v>2</v>
      </c>
      <c r="R1876" t="s">
        <v>391</v>
      </c>
      <c r="S1876" s="1">
        <f>electric_vehicles_dataset[[#This Row],[Units_Sold_2024]]*electric_vehicles_dataset[[#This Row],[Price_USD]]</f>
        <v>1911131709.4199998</v>
      </c>
      <c r="T1876">
        <v>4</v>
      </c>
      <c r="U1876">
        <v>14163</v>
      </c>
      <c r="V1876">
        <v>3</v>
      </c>
    </row>
    <row r="1877" spans="1:22" x14ac:dyDescent="0.35">
      <c r="A1877">
        <v>1876</v>
      </c>
      <c r="B1877" t="s">
        <v>120</v>
      </c>
      <c r="C1877" t="s">
        <v>288</v>
      </c>
      <c r="D1877">
        <v>2019</v>
      </c>
      <c r="E1877" t="s">
        <v>42</v>
      </c>
      <c r="F1877">
        <v>52</v>
      </c>
      <c r="G1877" t="s">
        <v>348</v>
      </c>
      <c r="H1877">
        <f>electric_vehicles_dataset[[#This Row],[Battery_Capacity_kWh]]/electric_vehicles_dataset[[#This Row],[Range_km]]</f>
        <v>9.8113207547169817E-2</v>
      </c>
      <c r="I1877">
        <v>530</v>
      </c>
      <c r="J1877" t="s">
        <v>358</v>
      </c>
      <c r="K1877">
        <v>2</v>
      </c>
      <c r="L1877" s="1">
        <v>79262.080000000002</v>
      </c>
      <c r="M1877" s="1" t="str" cm="1">
        <f t="array" ref="M187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77" t="s">
        <v>77</v>
      </c>
      <c r="O1877" t="s">
        <v>92</v>
      </c>
      <c r="P1877" s="2" t="s">
        <v>394</v>
      </c>
      <c r="Q1877">
        <v>4</v>
      </c>
      <c r="R1877" t="s">
        <v>392</v>
      </c>
      <c r="S1877" s="1">
        <f>electric_vehicles_dataset[[#This Row],[Units_Sold_2024]]*electric_vehicles_dataset[[#This Row],[Price_USD]]</f>
        <v>1123460721.9200001</v>
      </c>
      <c r="T1877">
        <v>5</v>
      </c>
      <c r="U1877">
        <v>14174</v>
      </c>
      <c r="V1877">
        <v>3</v>
      </c>
    </row>
    <row r="1878" spans="1:22" x14ac:dyDescent="0.35">
      <c r="A1878">
        <v>1877</v>
      </c>
      <c r="B1878" t="s">
        <v>56</v>
      </c>
      <c r="C1878" t="s">
        <v>57</v>
      </c>
      <c r="D1878">
        <v>2015</v>
      </c>
      <c r="E1878" t="s">
        <v>26</v>
      </c>
      <c r="F1878">
        <v>121.3</v>
      </c>
      <c r="G1878" t="s">
        <v>352</v>
      </c>
      <c r="H1878">
        <f>electric_vehicles_dataset[[#This Row],[Battery_Capacity_kWh]]/electric_vehicles_dataset[[#This Row],[Range_km]]</f>
        <v>0.36317365269461077</v>
      </c>
      <c r="I1878">
        <v>334</v>
      </c>
      <c r="J1878" t="s">
        <v>358</v>
      </c>
      <c r="K1878">
        <v>11</v>
      </c>
      <c r="L1878" s="1">
        <v>67519.3</v>
      </c>
      <c r="M1878" s="1" t="str" cm="1">
        <f t="array" ref="M187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78" t="s">
        <v>179</v>
      </c>
      <c r="O1878" t="s">
        <v>44</v>
      </c>
      <c r="P1878" s="2" t="s">
        <v>389</v>
      </c>
      <c r="Q1878">
        <v>4</v>
      </c>
      <c r="R1878" t="s">
        <v>392</v>
      </c>
      <c r="S1878" s="1">
        <f>electric_vehicles_dataset[[#This Row],[Units_Sold_2024]]*electric_vehicles_dataset[[#This Row],[Price_USD]]</f>
        <v>793149217.10000002</v>
      </c>
      <c r="T1878">
        <v>5</v>
      </c>
      <c r="U1878">
        <v>11747</v>
      </c>
      <c r="V1878">
        <v>5</v>
      </c>
    </row>
    <row r="1879" spans="1:22" x14ac:dyDescent="0.35">
      <c r="A1879">
        <v>1878</v>
      </c>
      <c r="B1879" t="s">
        <v>224</v>
      </c>
      <c r="C1879" t="s">
        <v>303</v>
      </c>
      <c r="D1879">
        <v>2024</v>
      </c>
      <c r="E1879" t="s">
        <v>130</v>
      </c>
      <c r="F1879">
        <v>79.900000000000006</v>
      </c>
      <c r="G1879" t="s">
        <v>351</v>
      </c>
      <c r="H1879">
        <f>electric_vehicles_dataset[[#This Row],[Battery_Capacity_kWh]]/electric_vehicles_dataset[[#This Row],[Range_km]]</f>
        <v>0.57482014388489211</v>
      </c>
      <c r="I1879">
        <v>139</v>
      </c>
      <c r="J1879" t="s">
        <v>54</v>
      </c>
      <c r="K1879">
        <v>3</v>
      </c>
      <c r="L1879" s="1">
        <v>55892.63</v>
      </c>
      <c r="M1879" s="1" t="str" cm="1">
        <f t="array" ref="M187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79" t="s">
        <v>196</v>
      </c>
      <c r="O1879" t="s">
        <v>135</v>
      </c>
      <c r="P1879" s="2" t="s">
        <v>389</v>
      </c>
      <c r="Q1879">
        <v>4</v>
      </c>
      <c r="R1879" t="s">
        <v>392</v>
      </c>
      <c r="S1879" s="1">
        <f>electric_vehicles_dataset[[#This Row],[Units_Sold_2024]]*electric_vehicles_dataset[[#This Row],[Price_USD]]</f>
        <v>200151508.03</v>
      </c>
      <c r="T1879">
        <v>3</v>
      </c>
      <c r="U1879">
        <v>3581</v>
      </c>
      <c r="V1879">
        <v>3</v>
      </c>
    </row>
    <row r="1880" spans="1:22" x14ac:dyDescent="0.35">
      <c r="A1880">
        <v>1879</v>
      </c>
      <c r="B1880" t="s">
        <v>200</v>
      </c>
      <c r="C1880" t="s">
        <v>327</v>
      </c>
      <c r="D1880">
        <v>2021</v>
      </c>
      <c r="E1880" t="s">
        <v>17</v>
      </c>
      <c r="F1880">
        <v>32.5</v>
      </c>
      <c r="G1880" t="s">
        <v>357</v>
      </c>
      <c r="H1880">
        <f>electric_vehicles_dataset[[#This Row],[Battery_Capacity_kWh]]/electric_vehicles_dataset[[#This Row],[Range_km]]</f>
        <v>0.26</v>
      </c>
      <c r="I1880">
        <v>125</v>
      </c>
      <c r="J1880" t="s">
        <v>359</v>
      </c>
      <c r="K1880">
        <v>7</v>
      </c>
      <c r="L1880" s="1">
        <v>88271.06</v>
      </c>
      <c r="M1880" s="1" t="str" cm="1">
        <f t="array" ref="M188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80" t="s">
        <v>246</v>
      </c>
      <c r="O1880" t="s">
        <v>121</v>
      </c>
      <c r="P1880" s="2" t="s">
        <v>398</v>
      </c>
      <c r="Q1880">
        <v>0</v>
      </c>
      <c r="R1880" t="s">
        <v>390</v>
      </c>
      <c r="S1880" s="1">
        <f>electric_vehicles_dataset[[#This Row],[Units_Sold_2024]]*electric_vehicles_dataset[[#This Row],[Price_USD]]</f>
        <v>1130134381.1800001</v>
      </c>
      <c r="T1880">
        <v>4</v>
      </c>
      <c r="U1880">
        <v>12803</v>
      </c>
      <c r="V1880">
        <v>5</v>
      </c>
    </row>
    <row r="1881" spans="1:22" x14ac:dyDescent="0.35">
      <c r="A1881">
        <v>1880</v>
      </c>
      <c r="B1881" t="s">
        <v>64</v>
      </c>
      <c r="C1881" t="s">
        <v>65</v>
      </c>
      <c r="D1881">
        <v>2018</v>
      </c>
      <c r="E1881" t="s">
        <v>47</v>
      </c>
      <c r="F1881">
        <v>88</v>
      </c>
      <c r="G1881" t="s">
        <v>350</v>
      </c>
      <c r="H1881">
        <f>electric_vehicles_dataset[[#This Row],[Battery_Capacity_kWh]]/electric_vehicles_dataset[[#This Row],[Range_km]]</f>
        <v>0.2857142857142857</v>
      </c>
      <c r="I1881">
        <v>308</v>
      </c>
      <c r="J1881" t="s">
        <v>356</v>
      </c>
      <c r="K1881">
        <v>9</v>
      </c>
      <c r="L1881" s="1">
        <v>118063.09</v>
      </c>
      <c r="M1881" s="1" t="str" cm="1">
        <f t="array" ref="M188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81" t="s">
        <v>143</v>
      </c>
      <c r="O1881" t="s">
        <v>121</v>
      </c>
      <c r="P1881" s="2" t="s">
        <v>398</v>
      </c>
      <c r="Q1881">
        <v>2</v>
      </c>
      <c r="R1881" t="s">
        <v>391</v>
      </c>
      <c r="S1881" s="1">
        <f>electric_vehicles_dataset[[#This Row],[Units_Sold_2024]]*electric_vehicles_dataset[[#This Row],[Price_USD]]</f>
        <v>1355954588.6499999</v>
      </c>
      <c r="T1881">
        <v>3</v>
      </c>
      <c r="U1881">
        <v>11485</v>
      </c>
      <c r="V1881">
        <v>5</v>
      </c>
    </row>
    <row r="1882" spans="1:22" x14ac:dyDescent="0.35">
      <c r="A1882">
        <v>1881</v>
      </c>
      <c r="B1882" t="s">
        <v>108</v>
      </c>
      <c r="C1882" t="s">
        <v>308</v>
      </c>
      <c r="D1882">
        <v>2021</v>
      </c>
      <c r="E1882" t="s">
        <v>104</v>
      </c>
      <c r="F1882">
        <v>149.1</v>
      </c>
      <c r="G1882" t="s">
        <v>386</v>
      </c>
      <c r="H1882">
        <f>electric_vehicles_dataset[[#This Row],[Battery_Capacity_kWh]]/electric_vehicles_dataset[[#This Row],[Range_km]]</f>
        <v>0.30553278688524588</v>
      </c>
      <c r="I1882">
        <v>488</v>
      </c>
      <c r="J1882" t="s">
        <v>85</v>
      </c>
      <c r="K1882">
        <v>5</v>
      </c>
      <c r="L1882" s="1">
        <v>51131.67</v>
      </c>
      <c r="M1882" s="1" t="str" cm="1">
        <f t="array" ref="M18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82" t="s">
        <v>210</v>
      </c>
      <c r="O1882" t="s">
        <v>115</v>
      </c>
      <c r="P1882" s="2" t="s">
        <v>396</v>
      </c>
      <c r="Q1882">
        <v>1</v>
      </c>
      <c r="R1882" t="s">
        <v>391</v>
      </c>
      <c r="S1882" s="1">
        <f>electric_vehicles_dataset[[#This Row],[Units_Sold_2024]]*electric_vehicles_dataset[[#This Row],[Price_USD]]</f>
        <v>928142073.83999991</v>
      </c>
      <c r="T1882">
        <v>3</v>
      </c>
      <c r="U1882">
        <v>18152</v>
      </c>
      <c r="V1882">
        <v>3</v>
      </c>
    </row>
    <row r="1883" spans="1:22" x14ac:dyDescent="0.35">
      <c r="A1883">
        <v>1882</v>
      </c>
      <c r="B1883" t="s">
        <v>94</v>
      </c>
      <c r="C1883" t="s">
        <v>360</v>
      </c>
      <c r="D1883">
        <v>2019</v>
      </c>
      <c r="E1883" t="s">
        <v>130</v>
      </c>
      <c r="F1883">
        <v>40.1</v>
      </c>
      <c r="G1883" t="s">
        <v>348</v>
      </c>
      <c r="H1883">
        <f>electric_vehicles_dataset[[#This Row],[Battery_Capacity_kWh]]/electric_vehicles_dataset[[#This Row],[Range_km]]</f>
        <v>0.20252525252525252</v>
      </c>
      <c r="I1883">
        <v>198</v>
      </c>
      <c r="J1883" t="s">
        <v>345</v>
      </c>
      <c r="K1883">
        <v>3</v>
      </c>
      <c r="L1883" s="1">
        <v>80397</v>
      </c>
      <c r="M1883" s="1" t="str" cm="1">
        <f t="array" ref="M188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83" t="s">
        <v>301</v>
      </c>
      <c r="O1883" t="s">
        <v>40</v>
      </c>
      <c r="P1883" s="2" t="s">
        <v>395</v>
      </c>
      <c r="Q1883">
        <v>5</v>
      </c>
      <c r="R1883" t="s">
        <v>392</v>
      </c>
      <c r="S1883" s="1">
        <f>electric_vehicles_dataset[[#This Row],[Units_Sold_2024]]*electric_vehicles_dataset[[#This Row],[Price_USD]]</f>
        <v>584646984</v>
      </c>
      <c r="T1883">
        <v>5</v>
      </c>
      <c r="U1883">
        <v>7272</v>
      </c>
      <c r="V1883">
        <v>3</v>
      </c>
    </row>
    <row r="1884" spans="1:22" x14ac:dyDescent="0.35">
      <c r="A1884">
        <v>1883</v>
      </c>
      <c r="B1884" t="s">
        <v>193</v>
      </c>
      <c r="C1884" t="s">
        <v>312</v>
      </c>
      <c r="D1884">
        <v>2024</v>
      </c>
      <c r="E1884" t="s">
        <v>130</v>
      </c>
      <c r="F1884">
        <v>143.80000000000001</v>
      </c>
      <c r="G1884" t="s">
        <v>386</v>
      </c>
      <c r="H1884">
        <f>electric_vehicles_dataset[[#This Row],[Battery_Capacity_kWh]]/electric_vehicles_dataset[[#This Row],[Range_km]]</f>
        <v>0.39289617486338801</v>
      </c>
      <c r="I1884">
        <v>366</v>
      </c>
      <c r="J1884" t="s">
        <v>149</v>
      </c>
      <c r="K1884">
        <v>2</v>
      </c>
      <c r="L1884" s="1">
        <v>60636.39</v>
      </c>
      <c r="M1884" s="1" t="str" cm="1">
        <f t="array" ref="M188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84" t="s">
        <v>179</v>
      </c>
      <c r="O1884" t="s">
        <v>139</v>
      </c>
      <c r="P1884" s="2" t="s">
        <v>389</v>
      </c>
      <c r="Q1884">
        <v>3</v>
      </c>
      <c r="R1884" t="s">
        <v>397</v>
      </c>
      <c r="S1884" s="1">
        <f>electric_vehicles_dataset[[#This Row],[Units_Sold_2024]]*electric_vehicles_dataset[[#This Row],[Price_USD]]</f>
        <v>769960880.22000003</v>
      </c>
      <c r="T1884">
        <v>4</v>
      </c>
      <c r="U1884">
        <v>12698</v>
      </c>
      <c r="V1884">
        <v>4</v>
      </c>
    </row>
    <row r="1885" spans="1:22" x14ac:dyDescent="0.35">
      <c r="A1885">
        <v>1884</v>
      </c>
      <c r="B1885" t="s">
        <v>180</v>
      </c>
      <c r="C1885" t="s">
        <v>379</v>
      </c>
      <c r="D1885">
        <v>2015</v>
      </c>
      <c r="E1885" t="s">
        <v>42</v>
      </c>
      <c r="F1885">
        <v>69.3</v>
      </c>
      <c r="G1885" t="s">
        <v>351</v>
      </c>
      <c r="H1885">
        <f>electric_vehicles_dataset[[#This Row],[Battery_Capacity_kWh]]/electric_vehicles_dataset[[#This Row],[Range_km]]</f>
        <v>0.19090909090909089</v>
      </c>
      <c r="I1885">
        <v>363</v>
      </c>
      <c r="J1885" t="s">
        <v>358</v>
      </c>
      <c r="K1885">
        <v>6</v>
      </c>
      <c r="L1885" s="1">
        <v>38205.370000000003</v>
      </c>
      <c r="M1885" s="1" t="str" cm="1">
        <f t="array" ref="M188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85" t="s">
        <v>114</v>
      </c>
      <c r="O1885" t="s">
        <v>50</v>
      </c>
      <c r="P1885" s="2" t="s">
        <v>396</v>
      </c>
      <c r="Q1885">
        <v>0</v>
      </c>
      <c r="R1885" t="s">
        <v>390</v>
      </c>
      <c r="S1885" s="1">
        <f>electric_vehicles_dataset[[#This Row],[Units_Sold_2024]]*electric_vehicles_dataset[[#This Row],[Price_USD]]</f>
        <v>56849590.560000002</v>
      </c>
      <c r="T1885">
        <v>4</v>
      </c>
      <c r="U1885">
        <v>1488</v>
      </c>
      <c r="V1885">
        <v>4</v>
      </c>
    </row>
    <row r="1886" spans="1:22" x14ac:dyDescent="0.35">
      <c r="A1886">
        <v>1885</v>
      </c>
      <c r="B1886" t="s">
        <v>68</v>
      </c>
      <c r="C1886" t="s">
        <v>289</v>
      </c>
      <c r="D1886">
        <v>2020</v>
      </c>
      <c r="E1886" t="s">
        <v>26</v>
      </c>
      <c r="F1886">
        <v>72.3</v>
      </c>
      <c r="G1886" t="s">
        <v>351</v>
      </c>
      <c r="H1886">
        <f>electric_vehicles_dataset[[#This Row],[Battery_Capacity_kWh]]/electric_vehicles_dataset[[#This Row],[Range_km]]</f>
        <v>0.28352941176470586</v>
      </c>
      <c r="I1886">
        <v>255</v>
      </c>
      <c r="J1886" t="s">
        <v>353</v>
      </c>
      <c r="K1886">
        <v>11</v>
      </c>
      <c r="L1886" s="1">
        <v>40728.58</v>
      </c>
      <c r="M1886" s="1" t="str" cm="1">
        <f t="array" ref="M188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86" t="s">
        <v>279</v>
      </c>
      <c r="O1886" t="s">
        <v>236</v>
      </c>
      <c r="P1886" s="2" t="s">
        <v>394</v>
      </c>
      <c r="Q1886">
        <v>1</v>
      </c>
      <c r="R1886" t="s">
        <v>391</v>
      </c>
      <c r="S1886" s="1">
        <f>electric_vehicles_dataset[[#This Row],[Units_Sold_2024]]*electric_vehicles_dataset[[#This Row],[Price_USD]]</f>
        <v>466423698.16000003</v>
      </c>
      <c r="T1886">
        <v>4</v>
      </c>
      <c r="U1886">
        <v>11452</v>
      </c>
      <c r="V1886">
        <v>5</v>
      </c>
    </row>
    <row r="1887" spans="1:22" x14ac:dyDescent="0.35">
      <c r="A1887">
        <v>1886</v>
      </c>
      <c r="B1887" t="s">
        <v>243</v>
      </c>
      <c r="C1887" t="s">
        <v>371</v>
      </c>
      <c r="D1887">
        <v>2020</v>
      </c>
      <c r="E1887" t="s">
        <v>183</v>
      </c>
      <c r="F1887">
        <v>122.8</v>
      </c>
      <c r="G1887" t="s">
        <v>352</v>
      </c>
      <c r="H1887">
        <f>electric_vehicles_dataset[[#This Row],[Battery_Capacity_kWh]]/electric_vehicles_dataset[[#This Row],[Range_km]]</f>
        <v>0.55315315315315317</v>
      </c>
      <c r="I1887">
        <v>222</v>
      </c>
      <c r="J1887" t="s">
        <v>356</v>
      </c>
      <c r="K1887">
        <v>9</v>
      </c>
      <c r="L1887" s="1">
        <v>87853.32</v>
      </c>
      <c r="M1887" s="1" t="str" cm="1">
        <f t="array" ref="M188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87" t="s">
        <v>100</v>
      </c>
      <c r="O1887" t="s">
        <v>135</v>
      </c>
      <c r="P1887" s="2" t="s">
        <v>389</v>
      </c>
      <c r="Q1887">
        <v>0</v>
      </c>
      <c r="R1887" t="s">
        <v>390</v>
      </c>
      <c r="S1887" s="1">
        <f>electric_vehicles_dataset[[#This Row],[Units_Sold_2024]]*electric_vehicles_dataset[[#This Row],[Price_USD]]</f>
        <v>311615726.04000002</v>
      </c>
      <c r="T1887">
        <v>4</v>
      </c>
      <c r="U1887">
        <v>3547</v>
      </c>
      <c r="V1887">
        <v>5</v>
      </c>
    </row>
    <row r="1888" spans="1:22" x14ac:dyDescent="0.35">
      <c r="A1888">
        <v>1887</v>
      </c>
      <c r="B1888" t="s">
        <v>170</v>
      </c>
      <c r="C1888" t="s">
        <v>171</v>
      </c>
      <c r="D1888">
        <v>2021</v>
      </c>
      <c r="E1888" t="s">
        <v>58</v>
      </c>
      <c r="F1888">
        <v>68.3</v>
      </c>
      <c r="G1888" t="s">
        <v>351</v>
      </c>
      <c r="H1888">
        <f>electric_vehicles_dataset[[#This Row],[Battery_Capacity_kWh]]/electric_vehicles_dataset[[#This Row],[Range_km]]</f>
        <v>0.17973684210526314</v>
      </c>
      <c r="I1888">
        <v>380</v>
      </c>
      <c r="J1888" t="s">
        <v>356</v>
      </c>
      <c r="K1888">
        <v>8</v>
      </c>
      <c r="L1888" s="1">
        <v>31513.83</v>
      </c>
      <c r="M1888" s="1" t="str" cm="1">
        <f t="array" ref="M18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88" t="s">
        <v>175</v>
      </c>
      <c r="O1888" t="s">
        <v>44</v>
      </c>
      <c r="P1888" s="2" t="s">
        <v>389</v>
      </c>
      <c r="Q1888">
        <v>0</v>
      </c>
      <c r="R1888" t="s">
        <v>390</v>
      </c>
      <c r="S1888" s="1">
        <f>electric_vehicles_dataset[[#This Row],[Units_Sold_2024]]*electric_vehicles_dataset[[#This Row],[Price_USD]]</f>
        <v>348007224.69</v>
      </c>
      <c r="T1888">
        <v>4</v>
      </c>
      <c r="U1888">
        <v>11043</v>
      </c>
      <c r="V1888">
        <v>4</v>
      </c>
    </row>
    <row r="1889" spans="1:22" x14ac:dyDescent="0.35">
      <c r="A1889">
        <v>1888</v>
      </c>
      <c r="B1889" t="s">
        <v>144</v>
      </c>
      <c r="C1889" t="s">
        <v>273</v>
      </c>
      <c r="D1889">
        <v>2020</v>
      </c>
      <c r="E1889" t="s">
        <v>133</v>
      </c>
      <c r="F1889">
        <v>96.7</v>
      </c>
      <c r="G1889" t="s">
        <v>350</v>
      </c>
      <c r="H1889">
        <f>electric_vehicles_dataset[[#This Row],[Battery_Capacity_kWh]]/electric_vehicles_dataset[[#This Row],[Range_km]]</f>
        <v>0.83362068965517244</v>
      </c>
      <c r="I1889">
        <v>116</v>
      </c>
      <c r="J1889" t="s">
        <v>27</v>
      </c>
      <c r="K1889">
        <v>8</v>
      </c>
      <c r="L1889" s="1">
        <v>100337.9</v>
      </c>
      <c r="M1889" s="1" t="str" cm="1">
        <f t="array" ref="M18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89" t="s">
        <v>114</v>
      </c>
      <c r="O1889" t="s">
        <v>124</v>
      </c>
      <c r="P1889" s="2" t="s">
        <v>389</v>
      </c>
      <c r="Q1889">
        <v>3</v>
      </c>
      <c r="R1889" t="s">
        <v>397</v>
      </c>
      <c r="S1889" s="1">
        <f>electric_vehicles_dataset[[#This Row],[Units_Sold_2024]]*electric_vehicles_dataset[[#This Row],[Price_USD]]</f>
        <v>1676746646.8999999</v>
      </c>
      <c r="T1889">
        <v>5</v>
      </c>
      <c r="U1889">
        <v>16711</v>
      </c>
      <c r="V1889">
        <v>4</v>
      </c>
    </row>
    <row r="1890" spans="1:22" x14ac:dyDescent="0.35">
      <c r="A1890">
        <v>1889</v>
      </c>
      <c r="B1890" t="s">
        <v>60</v>
      </c>
      <c r="C1890" t="s">
        <v>166</v>
      </c>
      <c r="D1890">
        <v>2021</v>
      </c>
      <c r="E1890" t="s">
        <v>58</v>
      </c>
      <c r="F1890">
        <v>70.900000000000006</v>
      </c>
      <c r="G1890" t="s">
        <v>351</v>
      </c>
      <c r="H1890">
        <f>electric_vehicles_dataset[[#This Row],[Battery_Capacity_kWh]]/electric_vehicles_dataset[[#This Row],[Range_km]]</f>
        <v>0.6688679245283019</v>
      </c>
      <c r="I1890">
        <v>106</v>
      </c>
      <c r="J1890" t="s">
        <v>359</v>
      </c>
      <c r="K1890">
        <v>10</v>
      </c>
      <c r="L1890" s="1">
        <v>122632.69</v>
      </c>
      <c r="M1890" s="1" t="str" cm="1">
        <f t="array" ref="M189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90" t="s">
        <v>100</v>
      </c>
      <c r="O1890" t="s">
        <v>121</v>
      </c>
      <c r="P1890" s="2" t="s">
        <v>398</v>
      </c>
      <c r="Q1890">
        <v>5</v>
      </c>
      <c r="R1890" t="s">
        <v>392</v>
      </c>
      <c r="S1890" s="1">
        <f>electric_vehicles_dataset[[#This Row],[Units_Sold_2024]]*electric_vehicles_dataset[[#This Row],[Price_USD]]</f>
        <v>319335524.75999999</v>
      </c>
      <c r="T1890">
        <v>4</v>
      </c>
      <c r="U1890">
        <v>2604</v>
      </c>
      <c r="V1890">
        <v>4</v>
      </c>
    </row>
    <row r="1891" spans="1:22" x14ac:dyDescent="0.35">
      <c r="A1891">
        <v>1890</v>
      </c>
      <c r="B1891" t="s">
        <v>128</v>
      </c>
      <c r="C1891" t="s">
        <v>129</v>
      </c>
      <c r="D1891">
        <v>2017</v>
      </c>
      <c r="E1891" t="s">
        <v>90</v>
      </c>
      <c r="F1891">
        <v>59.9</v>
      </c>
      <c r="G1891" t="s">
        <v>348</v>
      </c>
      <c r="H1891">
        <f>electric_vehicles_dataset[[#This Row],[Battery_Capacity_kWh]]/electric_vehicles_dataset[[#This Row],[Range_km]]</f>
        <v>0.10345423143350604</v>
      </c>
      <c r="I1891">
        <v>579</v>
      </c>
      <c r="J1891" t="s">
        <v>353</v>
      </c>
      <c r="K1891">
        <v>12</v>
      </c>
      <c r="L1891" s="1">
        <v>89006.23</v>
      </c>
      <c r="M1891" s="1" t="str" cm="1">
        <f t="array" ref="M189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91" t="s">
        <v>66</v>
      </c>
      <c r="O1891" t="s">
        <v>134</v>
      </c>
      <c r="P1891" s="2" t="s">
        <v>389</v>
      </c>
      <c r="Q1891">
        <v>5</v>
      </c>
      <c r="R1891" t="s">
        <v>392</v>
      </c>
      <c r="S1891" s="1">
        <f>electric_vehicles_dataset[[#This Row],[Units_Sold_2024]]*electric_vehicles_dataset[[#This Row],[Price_USD]]</f>
        <v>1203809260.75</v>
      </c>
      <c r="T1891">
        <v>5</v>
      </c>
      <c r="U1891">
        <v>13525</v>
      </c>
      <c r="V1891">
        <v>4</v>
      </c>
    </row>
    <row r="1892" spans="1:22" x14ac:dyDescent="0.35">
      <c r="A1892">
        <v>1891</v>
      </c>
      <c r="B1892" t="s">
        <v>122</v>
      </c>
      <c r="C1892" t="s">
        <v>123</v>
      </c>
      <c r="D1892">
        <v>2021</v>
      </c>
      <c r="E1892" t="s">
        <v>101</v>
      </c>
      <c r="F1892">
        <v>86.6</v>
      </c>
      <c r="G1892" t="s">
        <v>350</v>
      </c>
      <c r="H1892">
        <f>electric_vehicles_dataset[[#This Row],[Battery_Capacity_kWh]]/electric_vehicles_dataset[[#This Row],[Range_km]]</f>
        <v>0.2446327683615819</v>
      </c>
      <c r="I1892">
        <v>354</v>
      </c>
      <c r="J1892" t="s">
        <v>359</v>
      </c>
      <c r="K1892">
        <v>5</v>
      </c>
      <c r="L1892" s="1">
        <v>92624.27</v>
      </c>
      <c r="M1892" s="1" t="str" cm="1">
        <f t="array" ref="M189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92" t="s">
        <v>271</v>
      </c>
      <c r="O1892" t="s">
        <v>110</v>
      </c>
      <c r="P1892" s="2" t="s">
        <v>394</v>
      </c>
      <c r="Q1892">
        <v>2</v>
      </c>
      <c r="R1892" t="s">
        <v>391</v>
      </c>
      <c r="S1892" s="1">
        <f>electric_vehicles_dataset[[#This Row],[Units_Sold_2024]]*electric_vehicles_dataset[[#This Row],[Price_USD]]</f>
        <v>1226808456.1500001</v>
      </c>
      <c r="T1892">
        <v>5</v>
      </c>
      <c r="U1892">
        <v>13245</v>
      </c>
      <c r="V1892">
        <v>3</v>
      </c>
    </row>
    <row r="1893" spans="1:22" x14ac:dyDescent="0.35">
      <c r="A1893">
        <v>1892</v>
      </c>
      <c r="B1893" t="s">
        <v>79</v>
      </c>
      <c r="C1893" t="s">
        <v>333</v>
      </c>
      <c r="D1893">
        <v>2017</v>
      </c>
      <c r="E1893" t="s">
        <v>31</v>
      </c>
      <c r="F1893">
        <v>24.9</v>
      </c>
      <c r="G1893" t="s">
        <v>357</v>
      </c>
      <c r="H1893">
        <f>electric_vehicles_dataset[[#This Row],[Battery_Capacity_kWh]]/electric_vehicles_dataset[[#This Row],[Range_km]]</f>
        <v>0.11635514018691588</v>
      </c>
      <c r="I1893">
        <v>214</v>
      </c>
      <c r="J1893" t="s">
        <v>54</v>
      </c>
      <c r="K1893">
        <v>1</v>
      </c>
      <c r="L1893" s="1">
        <v>75869</v>
      </c>
      <c r="M1893" s="1" t="str" cm="1">
        <f t="array" ref="M189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93" t="s">
        <v>32</v>
      </c>
      <c r="O1893" t="s">
        <v>236</v>
      </c>
      <c r="P1893" s="2" t="s">
        <v>394</v>
      </c>
      <c r="Q1893">
        <v>0</v>
      </c>
      <c r="R1893" t="s">
        <v>390</v>
      </c>
      <c r="S1893" s="1">
        <f>electric_vehicles_dataset[[#This Row],[Units_Sold_2024]]*electric_vehicles_dataset[[#This Row],[Price_USD]]</f>
        <v>917256210</v>
      </c>
      <c r="T1893">
        <v>4</v>
      </c>
      <c r="U1893">
        <v>12090</v>
      </c>
      <c r="V1893">
        <v>5</v>
      </c>
    </row>
    <row r="1894" spans="1:22" x14ac:dyDescent="0.35">
      <c r="A1894">
        <v>1893</v>
      </c>
      <c r="B1894" t="s">
        <v>261</v>
      </c>
      <c r="C1894" t="s">
        <v>370</v>
      </c>
      <c r="D1894">
        <v>2015</v>
      </c>
      <c r="E1894" t="s">
        <v>26</v>
      </c>
      <c r="F1894">
        <v>54.1</v>
      </c>
      <c r="G1894" t="s">
        <v>348</v>
      </c>
      <c r="H1894">
        <f>electric_vehicles_dataset[[#This Row],[Battery_Capacity_kWh]]/electric_vehicles_dataset[[#This Row],[Range_km]]</f>
        <v>9.4580419580419586E-2</v>
      </c>
      <c r="I1894">
        <v>572</v>
      </c>
      <c r="J1894" t="s">
        <v>85</v>
      </c>
      <c r="K1894">
        <v>9</v>
      </c>
      <c r="L1894" s="1">
        <v>90820.92</v>
      </c>
      <c r="M1894" s="1" t="str" cm="1">
        <f t="array" ref="M189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94" t="s">
        <v>22</v>
      </c>
      <c r="O1894" t="s">
        <v>50</v>
      </c>
      <c r="P1894" s="2" t="s">
        <v>396</v>
      </c>
      <c r="Q1894">
        <v>0</v>
      </c>
      <c r="R1894" t="s">
        <v>390</v>
      </c>
      <c r="S1894" s="1">
        <f>electric_vehicles_dataset[[#This Row],[Units_Sold_2024]]*electric_vehicles_dataset[[#This Row],[Price_USD]]</f>
        <v>1613706106.5599999</v>
      </c>
      <c r="T1894">
        <v>4</v>
      </c>
      <c r="U1894">
        <v>17768</v>
      </c>
      <c r="V1894">
        <v>3</v>
      </c>
    </row>
    <row r="1895" spans="1:22" x14ac:dyDescent="0.35">
      <c r="A1895">
        <v>1894</v>
      </c>
      <c r="B1895" t="s">
        <v>120</v>
      </c>
      <c r="C1895" t="s">
        <v>288</v>
      </c>
      <c r="D1895">
        <v>2024</v>
      </c>
      <c r="E1895" t="s">
        <v>101</v>
      </c>
      <c r="F1895">
        <v>83.4</v>
      </c>
      <c r="G1895" t="s">
        <v>350</v>
      </c>
      <c r="H1895">
        <f>electric_vehicles_dataset[[#This Row],[Battery_Capacity_kWh]]/electric_vehicles_dataset[[#This Row],[Range_km]]</f>
        <v>0.21775456919060054</v>
      </c>
      <c r="I1895">
        <v>383</v>
      </c>
      <c r="J1895" t="s">
        <v>54</v>
      </c>
      <c r="K1895">
        <v>9</v>
      </c>
      <c r="L1895" s="1">
        <v>88309.7</v>
      </c>
      <c r="M1895" s="1" t="str" cm="1">
        <f t="array" ref="M18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95" t="s">
        <v>217</v>
      </c>
      <c r="O1895" t="s">
        <v>95</v>
      </c>
      <c r="P1895" s="2" t="s">
        <v>394</v>
      </c>
      <c r="Q1895">
        <v>3</v>
      </c>
      <c r="R1895" t="s">
        <v>397</v>
      </c>
      <c r="S1895" s="1">
        <f>electric_vehicles_dataset[[#This Row],[Units_Sold_2024]]*electric_vehicles_dataset[[#This Row],[Price_USD]]</f>
        <v>406666168.5</v>
      </c>
      <c r="T1895">
        <v>4</v>
      </c>
      <c r="U1895">
        <v>4605</v>
      </c>
      <c r="V1895">
        <v>4</v>
      </c>
    </row>
    <row r="1896" spans="1:22" x14ac:dyDescent="0.35">
      <c r="A1896">
        <v>1895</v>
      </c>
      <c r="B1896" t="s">
        <v>36</v>
      </c>
      <c r="C1896" t="s">
        <v>324</v>
      </c>
      <c r="D1896">
        <v>2020</v>
      </c>
      <c r="E1896" t="s">
        <v>26</v>
      </c>
      <c r="F1896">
        <v>91.7</v>
      </c>
      <c r="G1896" t="s">
        <v>350</v>
      </c>
      <c r="H1896">
        <f>electric_vehicles_dataset[[#This Row],[Battery_Capacity_kWh]]/electric_vehicles_dataset[[#This Row],[Range_km]]</f>
        <v>0.17805825242718448</v>
      </c>
      <c r="I1896">
        <v>515</v>
      </c>
      <c r="J1896" t="s">
        <v>54</v>
      </c>
      <c r="K1896">
        <v>4</v>
      </c>
      <c r="L1896" s="1">
        <v>48635.13</v>
      </c>
      <c r="M1896" s="1" t="str" cm="1">
        <f t="array" ref="M189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896" t="s">
        <v>240</v>
      </c>
      <c r="O1896" t="s">
        <v>23</v>
      </c>
      <c r="P1896" s="2" t="s">
        <v>389</v>
      </c>
      <c r="Q1896">
        <v>2</v>
      </c>
      <c r="R1896" t="s">
        <v>391</v>
      </c>
      <c r="S1896" s="1">
        <f>electric_vehicles_dataset[[#This Row],[Units_Sold_2024]]*electric_vehicles_dataset[[#This Row],[Price_USD]]</f>
        <v>867261638.15999997</v>
      </c>
      <c r="T1896">
        <v>5</v>
      </c>
      <c r="U1896">
        <v>17832</v>
      </c>
      <c r="V1896">
        <v>4</v>
      </c>
    </row>
    <row r="1897" spans="1:22" x14ac:dyDescent="0.35">
      <c r="A1897">
        <v>1896</v>
      </c>
      <c r="B1897" t="s">
        <v>112</v>
      </c>
      <c r="C1897" t="s">
        <v>237</v>
      </c>
      <c r="D1897">
        <v>2016</v>
      </c>
      <c r="E1897" t="s">
        <v>31</v>
      </c>
      <c r="F1897">
        <v>132.9</v>
      </c>
      <c r="G1897" t="s">
        <v>352</v>
      </c>
      <c r="H1897">
        <f>electric_vehicles_dataset[[#This Row],[Battery_Capacity_kWh]]/electric_vehicles_dataset[[#This Row],[Range_km]]</f>
        <v>0.60409090909090912</v>
      </c>
      <c r="I1897">
        <v>220</v>
      </c>
      <c r="J1897" t="s">
        <v>345</v>
      </c>
      <c r="K1897">
        <v>1</v>
      </c>
      <c r="L1897" s="1">
        <v>74038.95</v>
      </c>
      <c r="M1897" s="1" t="str" cm="1">
        <f t="array" ref="M189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97" t="s">
        <v>102</v>
      </c>
      <c r="O1897" t="s">
        <v>92</v>
      </c>
      <c r="P1897" s="2" t="s">
        <v>394</v>
      </c>
      <c r="Q1897">
        <v>0</v>
      </c>
      <c r="R1897" t="s">
        <v>390</v>
      </c>
      <c r="S1897" s="1">
        <f>electric_vehicles_dataset[[#This Row],[Units_Sold_2024]]*electric_vehicles_dataset[[#This Row],[Price_USD]]</f>
        <v>369972633.14999998</v>
      </c>
      <c r="T1897">
        <v>4</v>
      </c>
      <c r="U1897">
        <v>4997</v>
      </c>
      <c r="V1897">
        <v>4</v>
      </c>
    </row>
    <row r="1898" spans="1:22" x14ac:dyDescent="0.35">
      <c r="A1898">
        <v>1897</v>
      </c>
      <c r="B1898" t="s">
        <v>94</v>
      </c>
      <c r="C1898" t="s">
        <v>294</v>
      </c>
      <c r="D1898">
        <v>2025</v>
      </c>
      <c r="E1898" t="s">
        <v>90</v>
      </c>
      <c r="F1898">
        <v>125.6</v>
      </c>
      <c r="G1898" t="s">
        <v>352</v>
      </c>
      <c r="H1898">
        <f>electric_vehicles_dataset[[#This Row],[Battery_Capacity_kWh]]/electric_vehicles_dataset[[#This Row],[Range_km]]</f>
        <v>0.21996497373029772</v>
      </c>
      <c r="I1898">
        <v>571</v>
      </c>
      <c r="J1898" t="s">
        <v>105</v>
      </c>
      <c r="K1898">
        <v>10</v>
      </c>
      <c r="L1898" s="1">
        <v>102513.93</v>
      </c>
      <c r="M1898" s="1" t="str" cm="1">
        <f t="array" ref="M189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898" t="s">
        <v>100</v>
      </c>
      <c r="O1898" t="s">
        <v>182</v>
      </c>
      <c r="P1898" s="2" t="s">
        <v>394</v>
      </c>
      <c r="Q1898">
        <v>3</v>
      </c>
      <c r="R1898" t="s">
        <v>397</v>
      </c>
      <c r="S1898" s="1">
        <f>electric_vehicles_dataset[[#This Row],[Units_Sold_2024]]*electric_vehicles_dataset[[#This Row],[Price_USD]]</f>
        <v>1684098842.04</v>
      </c>
      <c r="T1898">
        <v>3</v>
      </c>
      <c r="U1898">
        <v>16428</v>
      </c>
      <c r="V1898">
        <v>5</v>
      </c>
    </row>
    <row r="1899" spans="1:22" x14ac:dyDescent="0.35">
      <c r="A1899">
        <v>1898</v>
      </c>
      <c r="B1899" t="s">
        <v>269</v>
      </c>
      <c r="C1899" t="s">
        <v>307</v>
      </c>
      <c r="D1899">
        <v>2016</v>
      </c>
      <c r="E1899" t="s">
        <v>26</v>
      </c>
      <c r="F1899">
        <v>95.4</v>
      </c>
      <c r="G1899" t="s">
        <v>350</v>
      </c>
      <c r="H1899">
        <f>electric_vehicles_dataset[[#This Row],[Battery_Capacity_kWh]]/electric_vehicles_dataset[[#This Row],[Range_km]]</f>
        <v>0.18742632612966603</v>
      </c>
      <c r="I1899">
        <v>509</v>
      </c>
      <c r="J1899" t="s">
        <v>18</v>
      </c>
      <c r="K1899">
        <v>9</v>
      </c>
      <c r="L1899" s="1">
        <v>131639.87</v>
      </c>
      <c r="M1899" s="1" t="str" cm="1">
        <f t="array" ref="M189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899" t="s">
        <v>28</v>
      </c>
      <c r="O1899" t="s">
        <v>139</v>
      </c>
      <c r="P1899" s="2" t="s">
        <v>389</v>
      </c>
      <c r="Q1899">
        <v>3</v>
      </c>
      <c r="R1899" t="s">
        <v>397</v>
      </c>
      <c r="S1899" s="1">
        <f>electric_vehicles_dataset[[#This Row],[Units_Sold_2024]]*electric_vehicles_dataset[[#This Row],[Price_USD]]</f>
        <v>2381891807.7799997</v>
      </c>
      <c r="T1899">
        <v>5</v>
      </c>
      <c r="U1899">
        <v>18094</v>
      </c>
      <c r="V1899">
        <v>5</v>
      </c>
    </row>
    <row r="1900" spans="1:22" x14ac:dyDescent="0.35">
      <c r="A1900">
        <v>1899</v>
      </c>
      <c r="B1900" t="s">
        <v>193</v>
      </c>
      <c r="C1900" t="s">
        <v>194</v>
      </c>
      <c r="D1900">
        <v>2019</v>
      </c>
      <c r="E1900" t="s">
        <v>58</v>
      </c>
      <c r="F1900">
        <v>145.9</v>
      </c>
      <c r="G1900" t="s">
        <v>386</v>
      </c>
      <c r="H1900">
        <f>electric_vehicles_dataset[[#This Row],[Battery_Capacity_kWh]]/electric_vehicles_dataset[[#This Row],[Range_km]]</f>
        <v>0.68820754716981136</v>
      </c>
      <c r="I1900">
        <v>212</v>
      </c>
      <c r="J1900" t="s">
        <v>105</v>
      </c>
      <c r="K1900">
        <v>1</v>
      </c>
      <c r="L1900" s="1">
        <v>41188.36</v>
      </c>
      <c r="M1900" s="1" t="str" cm="1">
        <f t="array" ref="M190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00" t="s">
        <v>62</v>
      </c>
      <c r="O1900" t="s">
        <v>92</v>
      </c>
      <c r="P1900" s="2" t="s">
        <v>394</v>
      </c>
      <c r="Q1900">
        <v>0</v>
      </c>
      <c r="R1900" t="s">
        <v>390</v>
      </c>
      <c r="S1900" s="1">
        <f>electric_vehicles_dataset[[#This Row],[Units_Sold_2024]]*electric_vehicles_dataset[[#This Row],[Price_USD]]</f>
        <v>139752105.47999999</v>
      </c>
      <c r="T1900">
        <v>5</v>
      </c>
      <c r="U1900">
        <v>3393</v>
      </c>
      <c r="V1900">
        <v>4</v>
      </c>
    </row>
    <row r="1901" spans="1:22" x14ac:dyDescent="0.35">
      <c r="A1901">
        <v>1900</v>
      </c>
      <c r="B1901" t="s">
        <v>79</v>
      </c>
      <c r="C1901" t="s">
        <v>299</v>
      </c>
      <c r="D1901">
        <v>2016</v>
      </c>
      <c r="E1901" t="s">
        <v>17</v>
      </c>
      <c r="F1901">
        <v>111.5</v>
      </c>
      <c r="G1901" t="s">
        <v>361</v>
      </c>
      <c r="H1901">
        <f>electric_vehicles_dataset[[#This Row],[Battery_Capacity_kWh]]/electric_vehicles_dataset[[#This Row],[Range_km]]</f>
        <v>0.61944444444444446</v>
      </c>
      <c r="I1901">
        <v>180</v>
      </c>
      <c r="J1901" t="s">
        <v>38</v>
      </c>
      <c r="K1901">
        <v>8</v>
      </c>
      <c r="L1901" s="1">
        <v>83392.11</v>
      </c>
      <c r="M1901" s="1" t="str" cm="1">
        <f t="array" ref="M190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01" t="s">
        <v>98</v>
      </c>
      <c r="O1901" t="s">
        <v>115</v>
      </c>
      <c r="P1901" s="2" t="s">
        <v>396</v>
      </c>
      <c r="Q1901">
        <v>3</v>
      </c>
      <c r="R1901" t="s">
        <v>397</v>
      </c>
      <c r="S1901" s="1">
        <f>electric_vehicles_dataset[[#This Row],[Units_Sold_2024]]*electric_vehicles_dataset[[#This Row],[Price_USD]]</f>
        <v>1564435983.5999999</v>
      </c>
      <c r="T1901">
        <v>3</v>
      </c>
      <c r="U1901">
        <v>18760</v>
      </c>
      <c r="V1901">
        <v>5</v>
      </c>
    </row>
    <row r="1902" spans="1:22" x14ac:dyDescent="0.35">
      <c r="A1902">
        <v>1901</v>
      </c>
      <c r="B1902" t="s">
        <v>122</v>
      </c>
      <c r="C1902" t="s">
        <v>186</v>
      </c>
      <c r="D1902">
        <v>2021</v>
      </c>
      <c r="E1902" t="s">
        <v>130</v>
      </c>
      <c r="F1902">
        <v>33</v>
      </c>
      <c r="G1902" t="s">
        <v>357</v>
      </c>
      <c r="H1902">
        <f>electric_vehicles_dataset[[#This Row],[Battery_Capacity_kWh]]/electric_vehicles_dataset[[#This Row],[Range_km]]</f>
        <v>7.5342465753424653E-2</v>
      </c>
      <c r="I1902">
        <v>438</v>
      </c>
      <c r="J1902" t="s">
        <v>345</v>
      </c>
      <c r="K1902">
        <v>7</v>
      </c>
      <c r="L1902" s="1">
        <v>38305.08</v>
      </c>
      <c r="M1902" s="1" t="str" cm="1">
        <f t="array" ref="M190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02" t="s">
        <v>55</v>
      </c>
      <c r="O1902" t="s">
        <v>93</v>
      </c>
      <c r="P1902" s="2" t="s">
        <v>389</v>
      </c>
      <c r="Q1902">
        <v>2</v>
      </c>
      <c r="R1902" t="s">
        <v>391</v>
      </c>
      <c r="S1902" s="1">
        <f>electric_vehicles_dataset[[#This Row],[Units_Sold_2024]]*electric_vehicles_dataset[[#This Row],[Price_USD]]</f>
        <v>594686367</v>
      </c>
      <c r="T1902">
        <v>4</v>
      </c>
      <c r="U1902">
        <v>15525</v>
      </c>
      <c r="V1902">
        <v>3</v>
      </c>
    </row>
    <row r="1903" spans="1:22" x14ac:dyDescent="0.35">
      <c r="A1903">
        <v>1902</v>
      </c>
      <c r="B1903" t="s">
        <v>51</v>
      </c>
      <c r="C1903" t="s">
        <v>52</v>
      </c>
      <c r="D1903">
        <v>2022</v>
      </c>
      <c r="E1903" t="s">
        <v>104</v>
      </c>
      <c r="F1903">
        <v>106</v>
      </c>
      <c r="G1903" t="s">
        <v>361</v>
      </c>
      <c r="H1903">
        <f>electric_vehicles_dataset[[#This Row],[Battery_Capacity_kWh]]/electric_vehicles_dataset[[#This Row],[Range_km]]</f>
        <v>0.31085043988269795</v>
      </c>
      <c r="I1903">
        <v>341</v>
      </c>
      <c r="J1903" t="s">
        <v>105</v>
      </c>
      <c r="K1903">
        <v>10</v>
      </c>
      <c r="L1903" s="1">
        <v>84599.27</v>
      </c>
      <c r="M1903" s="1" t="str" cm="1">
        <f t="array" ref="M190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03" t="s">
        <v>49</v>
      </c>
      <c r="O1903" t="s">
        <v>135</v>
      </c>
      <c r="P1903" s="2" t="s">
        <v>389</v>
      </c>
      <c r="Q1903">
        <v>3</v>
      </c>
      <c r="R1903" t="s">
        <v>397</v>
      </c>
      <c r="S1903" s="1">
        <f>electric_vehicles_dataset[[#This Row],[Units_Sold_2024]]*electric_vehicles_dataset[[#This Row],[Price_USD]]</f>
        <v>1456038035.97</v>
      </c>
      <c r="T1903">
        <v>5</v>
      </c>
      <c r="U1903">
        <v>17211</v>
      </c>
      <c r="V1903">
        <v>4</v>
      </c>
    </row>
    <row r="1904" spans="1:22" x14ac:dyDescent="0.35">
      <c r="A1904">
        <v>1903</v>
      </c>
      <c r="B1904" t="s">
        <v>79</v>
      </c>
      <c r="C1904" t="s">
        <v>151</v>
      </c>
      <c r="D1904">
        <v>2018</v>
      </c>
      <c r="E1904" t="s">
        <v>31</v>
      </c>
      <c r="F1904">
        <v>99.1</v>
      </c>
      <c r="G1904" t="s">
        <v>350</v>
      </c>
      <c r="H1904">
        <f>electric_vehicles_dataset[[#This Row],[Battery_Capacity_kWh]]/electric_vehicles_dataset[[#This Row],[Range_km]]</f>
        <v>0.2145021645021645</v>
      </c>
      <c r="I1904">
        <v>462</v>
      </c>
      <c r="J1904" t="s">
        <v>353</v>
      </c>
      <c r="K1904">
        <v>5</v>
      </c>
      <c r="L1904" s="1">
        <v>146360.46</v>
      </c>
      <c r="M1904" s="1" t="str" cm="1">
        <f t="array" ref="M190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04" t="s">
        <v>217</v>
      </c>
      <c r="O1904" t="s">
        <v>265</v>
      </c>
      <c r="P1904" s="2" t="s">
        <v>389</v>
      </c>
      <c r="Q1904">
        <v>3</v>
      </c>
      <c r="R1904" t="s">
        <v>397</v>
      </c>
      <c r="S1904" s="1">
        <f>electric_vehicles_dataset[[#This Row],[Units_Sold_2024]]*electric_vehicles_dataset[[#This Row],[Price_USD]]</f>
        <v>339556267.19999999</v>
      </c>
      <c r="T1904">
        <v>4</v>
      </c>
      <c r="U1904">
        <v>2320</v>
      </c>
      <c r="V1904">
        <v>3</v>
      </c>
    </row>
    <row r="1905" spans="1:22" x14ac:dyDescent="0.35">
      <c r="A1905">
        <v>1904</v>
      </c>
      <c r="B1905" t="s">
        <v>24</v>
      </c>
      <c r="C1905" t="s">
        <v>264</v>
      </c>
      <c r="D1905">
        <v>2018</v>
      </c>
      <c r="E1905" t="s">
        <v>101</v>
      </c>
      <c r="F1905">
        <v>75.5</v>
      </c>
      <c r="G1905" t="s">
        <v>351</v>
      </c>
      <c r="H1905">
        <f>electric_vehicles_dataset[[#This Row],[Battery_Capacity_kWh]]/electric_vehicles_dataset[[#This Row],[Range_km]]</f>
        <v>0.14688715953307394</v>
      </c>
      <c r="I1905">
        <v>514</v>
      </c>
      <c r="J1905" t="s">
        <v>345</v>
      </c>
      <c r="K1905">
        <v>5</v>
      </c>
      <c r="L1905" s="1">
        <v>142836.38</v>
      </c>
      <c r="M1905" s="1" t="str" cm="1">
        <f t="array" ref="M190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05" t="s">
        <v>35</v>
      </c>
      <c r="O1905" t="s">
        <v>354</v>
      </c>
      <c r="P1905" s="2" t="s">
        <v>394</v>
      </c>
      <c r="Q1905">
        <v>3</v>
      </c>
      <c r="R1905" t="s">
        <v>397</v>
      </c>
      <c r="S1905" s="1">
        <f>electric_vehicles_dataset[[#This Row],[Units_Sold_2024]]*electric_vehicles_dataset[[#This Row],[Price_USD]]</f>
        <v>409940410.60000002</v>
      </c>
      <c r="T1905">
        <v>3</v>
      </c>
      <c r="U1905">
        <v>2870</v>
      </c>
      <c r="V1905">
        <v>5</v>
      </c>
    </row>
    <row r="1906" spans="1:22" x14ac:dyDescent="0.35">
      <c r="A1906">
        <v>1905</v>
      </c>
      <c r="B1906" t="s">
        <v>108</v>
      </c>
      <c r="C1906" t="s">
        <v>109</v>
      </c>
      <c r="D1906">
        <v>2015</v>
      </c>
      <c r="E1906" t="s">
        <v>47</v>
      </c>
      <c r="F1906">
        <v>98.3</v>
      </c>
      <c r="G1906" t="s">
        <v>350</v>
      </c>
      <c r="H1906">
        <f>electric_vehicles_dataset[[#This Row],[Battery_Capacity_kWh]]/electric_vehicles_dataset[[#This Row],[Range_km]]</f>
        <v>0.22913752913752913</v>
      </c>
      <c r="I1906">
        <v>429</v>
      </c>
      <c r="J1906" t="s">
        <v>38</v>
      </c>
      <c r="K1906">
        <v>4</v>
      </c>
      <c r="L1906" s="1">
        <v>124416.65</v>
      </c>
      <c r="M1906" s="1" t="str" cm="1">
        <f t="array" ref="M190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06" t="s">
        <v>177</v>
      </c>
      <c r="O1906" t="s">
        <v>89</v>
      </c>
      <c r="P1906" s="2" t="s">
        <v>389</v>
      </c>
      <c r="Q1906">
        <v>0</v>
      </c>
      <c r="R1906" t="s">
        <v>390</v>
      </c>
      <c r="S1906" s="1">
        <f>electric_vehicles_dataset[[#This Row],[Units_Sold_2024]]*electric_vehicles_dataset[[#This Row],[Price_USD]]</f>
        <v>1145130846.5999999</v>
      </c>
      <c r="T1906">
        <v>3</v>
      </c>
      <c r="U1906">
        <v>9204</v>
      </c>
      <c r="V1906">
        <v>4</v>
      </c>
    </row>
    <row r="1907" spans="1:22" x14ac:dyDescent="0.35">
      <c r="A1907">
        <v>1906</v>
      </c>
      <c r="B1907" t="s">
        <v>176</v>
      </c>
      <c r="C1907" t="s">
        <v>365</v>
      </c>
      <c r="D1907">
        <v>2022</v>
      </c>
      <c r="E1907" t="s">
        <v>90</v>
      </c>
      <c r="F1907">
        <v>59</v>
      </c>
      <c r="G1907" t="s">
        <v>348</v>
      </c>
      <c r="H1907">
        <f>electric_vehicles_dataset[[#This Row],[Battery_Capacity_kWh]]/electric_vehicles_dataset[[#This Row],[Range_km]]</f>
        <v>0.15245478036175711</v>
      </c>
      <c r="I1907">
        <v>387</v>
      </c>
      <c r="J1907" t="s">
        <v>34</v>
      </c>
      <c r="K1907">
        <v>9</v>
      </c>
      <c r="L1907" s="1">
        <v>106337.96</v>
      </c>
      <c r="M1907" s="1" t="str" cm="1">
        <f t="array" ref="M19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07" t="s">
        <v>257</v>
      </c>
      <c r="O1907" t="s">
        <v>121</v>
      </c>
      <c r="P1907" s="2" t="s">
        <v>398</v>
      </c>
      <c r="Q1907">
        <v>4</v>
      </c>
      <c r="R1907" t="s">
        <v>392</v>
      </c>
      <c r="S1907" s="1">
        <f>electric_vehicles_dataset[[#This Row],[Units_Sold_2024]]*electric_vehicles_dataset[[#This Row],[Price_USD]]</f>
        <v>42216170.120000005</v>
      </c>
      <c r="T1907">
        <v>4</v>
      </c>
      <c r="U1907">
        <v>397</v>
      </c>
      <c r="V1907">
        <v>5</v>
      </c>
    </row>
    <row r="1908" spans="1:22" x14ac:dyDescent="0.35">
      <c r="A1908">
        <v>1907</v>
      </c>
      <c r="B1908" t="s">
        <v>87</v>
      </c>
      <c r="C1908" t="s">
        <v>381</v>
      </c>
      <c r="D1908">
        <v>2016</v>
      </c>
      <c r="E1908" t="s">
        <v>84</v>
      </c>
      <c r="F1908">
        <v>148.5</v>
      </c>
      <c r="G1908" t="s">
        <v>386</v>
      </c>
      <c r="H1908">
        <f>electric_vehicles_dataset[[#This Row],[Battery_Capacity_kWh]]/electric_vehicles_dataset[[#This Row],[Range_km]]</f>
        <v>0.26007005253940457</v>
      </c>
      <c r="I1908">
        <v>571</v>
      </c>
      <c r="J1908" t="s">
        <v>345</v>
      </c>
      <c r="K1908">
        <v>10</v>
      </c>
      <c r="L1908" s="1">
        <v>30471.45</v>
      </c>
      <c r="M1908" s="1" t="str" cm="1">
        <f t="array" ref="M190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08" t="s">
        <v>228</v>
      </c>
      <c r="O1908" t="s">
        <v>236</v>
      </c>
      <c r="P1908" s="2" t="s">
        <v>394</v>
      </c>
      <c r="Q1908">
        <v>1</v>
      </c>
      <c r="R1908" t="s">
        <v>391</v>
      </c>
      <c r="S1908" s="1">
        <f>electric_vehicles_dataset[[#This Row],[Units_Sold_2024]]*electric_vehicles_dataset[[#This Row],[Price_USD]]</f>
        <v>594589403.85000002</v>
      </c>
      <c r="T1908">
        <v>4</v>
      </c>
      <c r="U1908">
        <v>19513</v>
      </c>
      <c r="V1908">
        <v>3</v>
      </c>
    </row>
    <row r="1909" spans="1:22" x14ac:dyDescent="0.35">
      <c r="A1909">
        <v>1908</v>
      </c>
      <c r="B1909" t="s">
        <v>74</v>
      </c>
      <c r="C1909" t="s">
        <v>75</v>
      </c>
      <c r="D1909">
        <v>2015</v>
      </c>
      <c r="E1909" t="s">
        <v>130</v>
      </c>
      <c r="F1909">
        <v>88.6</v>
      </c>
      <c r="G1909" t="s">
        <v>350</v>
      </c>
      <c r="H1909">
        <f>electric_vehicles_dataset[[#This Row],[Battery_Capacity_kWh]]/electric_vehicles_dataset[[#This Row],[Range_km]]</f>
        <v>0.56794871794871793</v>
      </c>
      <c r="I1909">
        <v>156</v>
      </c>
      <c r="J1909" t="s">
        <v>364</v>
      </c>
      <c r="K1909">
        <v>6</v>
      </c>
      <c r="L1909" s="1">
        <v>98848.13</v>
      </c>
      <c r="M1909" s="1" t="str" cm="1">
        <f t="array" ref="M190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09" t="s">
        <v>62</v>
      </c>
      <c r="O1909" t="s">
        <v>199</v>
      </c>
      <c r="P1909" s="2" t="s">
        <v>394</v>
      </c>
      <c r="Q1909">
        <v>0</v>
      </c>
      <c r="R1909" t="s">
        <v>390</v>
      </c>
      <c r="S1909" s="1">
        <f>electric_vehicles_dataset[[#This Row],[Units_Sold_2024]]*electric_vehicles_dataset[[#This Row],[Price_USD]]</f>
        <v>300597163.33000004</v>
      </c>
      <c r="T1909">
        <v>4</v>
      </c>
      <c r="U1909">
        <v>3041</v>
      </c>
      <c r="V1909">
        <v>4</v>
      </c>
    </row>
    <row r="1910" spans="1:22" x14ac:dyDescent="0.35">
      <c r="A1910">
        <v>1909</v>
      </c>
      <c r="B1910" t="s">
        <v>176</v>
      </c>
      <c r="C1910" t="s">
        <v>365</v>
      </c>
      <c r="D1910">
        <v>2016</v>
      </c>
      <c r="E1910" t="s">
        <v>183</v>
      </c>
      <c r="F1910">
        <v>66.400000000000006</v>
      </c>
      <c r="G1910" t="s">
        <v>351</v>
      </c>
      <c r="H1910">
        <f>electric_vehicles_dataset[[#This Row],[Battery_Capacity_kWh]]/electric_vehicles_dataset[[#This Row],[Range_km]]</f>
        <v>0.12434456928838952</v>
      </c>
      <c r="I1910">
        <v>534</v>
      </c>
      <c r="J1910" t="s">
        <v>358</v>
      </c>
      <c r="K1910">
        <v>6</v>
      </c>
      <c r="L1910" s="1">
        <v>57293.95</v>
      </c>
      <c r="M1910" s="1" t="str" cm="1">
        <f t="array" ref="M191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10" t="s">
        <v>102</v>
      </c>
      <c r="O1910" t="s">
        <v>121</v>
      </c>
      <c r="P1910" s="2" t="s">
        <v>398</v>
      </c>
      <c r="Q1910">
        <v>4</v>
      </c>
      <c r="R1910" t="s">
        <v>392</v>
      </c>
      <c r="S1910" s="1">
        <f>electric_vehicles_dataset[[#This Row],[Units_Sold_2024]]*electric_vehicles_dataset[[#This Row],[Price_USD]]</f>
        <v>702194651.19999993</v>
      </c>
      <c r="T1910">
        <v>4</v>
      </c>
      <c r="U1910">
        <v>12256</v>
      </c>
      <c r="V1910">
        <v>3</v>
      </c>
    </row>
    <row r="1911" spans="1:22" x14ac:dyDescent="0.35">
      <c r="A1911">
        <v>1910</v>
      </c>
      <c r="B1911" t="s">
        <v>128</v>
      </c>
      <c r="C1911" t="s">
        <v>284</v>
      </c>
      <c r="D1911">
        <v>2022</v>
      </c>
      <c r="E1911" t="s">
        <v>183</v>
      </c>
      <c r="F1911">
        <v>108.4</v>
      </c>
      <c r="G1911" t="s">
        <v>361</v>
      </c>
      <c r="H1911">
        <f>electric_vehicles_dataset[[#This Row],[Battery_Capacity_kWh]]/electric_vehicles_dataset[[#This Row],[Range_km]]</f>
        <v>0.20886319845857418</v>
      </c>
      <c r="I1911">
        <v>519</v>
      </c>
      <c r="J1911" t="s">
        <v>359</v>
      </c>
      <c r="K1911">
        <v>9</v>
      </c>
      <c r="L1911" s="1">
        <v>73223.17</v>
      </c>
      <c r="M1911" s="1" t="str" cm="1">
        <f t="array" ref="M19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11" t="s">
        <v>22</v>
      </c>
      <c r="O1911" t="s">
        <v>67</v>
      </c>
      <c r="P1911" s="2" t="s">
        <v>394</v>
      </c>
      <c r="Q1911">
        <v>5</v>
      </c>
      <c r="R1911" t="s">
        <v>392</v>
      </c>
      <c r="S1911" s="1">
        <f>electric_vehicles_dataset[[#This Row],[Units_Sold_2024]]*electric_vehicles_dataset[[#This Row],[Price_USD]]</f>
        <v>969840886.64999998</v>
      </c>
      <c r="T1911">
        <v>4</v>
      </c>
      <c r="U1911">
        <v>13245</v>
      </c>
      <c r="V1911">
        <v>4</v>
      </c>
    </row>
    <row r="1912" spans="1:22" x14ac:dyDescent="0.35">
      <c r="A1912">
        <v>1911</v>
      </c>
      <c r="B1912" t="s">
        <v>192</v>
      </c>
      <c r="C1912" t="s">
        <v>366</v>
      </c>
      <c r="D1912">
        <v>2021</v>
      </c>
      <c r="E1912" t="s">
        <v>17</v>
      </c>
      <c r="F1912">
        <v>34.5</v>
      </c>
      <c r="G1912" t="s">
        <v>357</v>
      </c>
      <c r="H1912">
        <f>electric_vehicles_dataset[[#This Row],[Battery_Capacity_kWh]]/electric_vehicles_dataset[[#This Row],[Range_km]]</f>
        <v>7.2175732217573216E-2</v>
      </c>
      <c r="I1912">
        <v>478</v>
      </c>
      <c r="J1912" t="s">
        <v>356</v>
      </c>
      <c r="K1912">
        <v>8</v>
      </c>
      <c r="L1912" s="1">
        <v>84763.44</v>
      </c>
      <c r="M1912" s="1" t="str" cm="1">
        <f t="array" ref="M191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12" t="s">
        <v>175</v>
      </c>
      <c r="O1912" t="s">
        <v>40</v>
      </c>
      <c r="P1912" s="2" t="s">
        <v>395</v>
      </c>
      <c r="Q1912">
        <v>4</v>
      </c>
      <c r="R1912" t="s">
        <v>392</v>
      </c>
      <c r="S1912" s="1">
        <f>electric_vehicles_dataset[[#This Row],[Units_Sold_2024]]*electric_vehicles_dataset[[#This Row],[Price_USD]]</f>
        <v>429835404.24000001</v>
      </c>
      <c r="T1912">
        <v>5</v>
      </c>
      <c r="U1912">
        <v>5071</v>
      </c>
      <c r="V1912">
        <v>4</v>
      </c>
    </row>
    <row r="1913" spans="1:22" x14ac:dyDescent="0.35">
      <c r="A1913">
        <v>1912</v>
      </c>
      <c r="B1913" t="s">
        <v>140</v>
      </c>
      <c r="C1913" t="s">
        <v>256</v>
      </c>
      <c r="D1913">
        <v>2017</v>
      </c>
      <c r="E1913" t="s">
        <v>53</v>
      </c>
      <c r="F1913">
        <v>139.4</v>
      </c>
      <c r="G1913" t="s">
        <v>352</v>
      </c>
      <c r="H1913">
        <f>electric_vehicles_dataset[[#This Row],[Battery_Capacity_kWh]]/electric_vehicles_dataset[[#This Row],[Range_km]]</f>
        <v>0.27603960396039606</v>
      </c>
      <c r="I1913">
        <v>505</v>
      </c>
      <c r="J1913" t="s">
        <v>149</v>
      </c>
      <c r="K1913">
        <v>10</v>
      </c>
      <c r="L1913" s="1">
        <v>75133.899999999994</v>
      </c>
      <c r="M1913" s="1" t="str" cm="1">
        <f t="array" ref="M191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13" t="s">
        <v>219</v>
      </c>
      <c r="O1913" t="s">
        <v>78</v>
      </c>
      <c r="P1913" s="2" t="s">
        <v>389</v>
      </c>
      <c r="Q1913">
        <v>1</v>
      </c>
      <c r="R1913" t="s">
        <v>391</v>
      </c>
      <c r="S1913" s="1">
        <f>electric_vehicles_dataset[[#This Row],[Units_Sold_2024]]*electric_vehicles_dataset[[#This Row],[Price_USD]]</f>
        <v>1362478142.5999999</v>
      </c>
      <c r="T1913">
        <v>4</v>
      </c>
      <c r="U1913">
        <v>18134</v>
      </c>
      <c r="V1913">
        <v>4</v>
      </c>
    </row>
    <row r="1914" spans="1:22" x14ac:dyDescent="0.35">
      <c r="A1914">
        <v>1913</v>
      </c>
      <c r="B1914" t="s">
        <v>68</v>
      </c>
      <c r="C1914" t="s">
        <v>103</v>
      </c>
      <c r="D1914">
        <v>2019</v>
      </c>
      <c r="E1914" t="s">
        <v>17</v>
      </c>
      <c r="F1914">
        <v>30.2</v>
      </c>
      <c r="G1914" t="s">
        <v>357</v>
      </c>
      <c r="H1914">
        <f>electric_vehicles_dataset[[#This Row],[Battery_Capacity_kWh]]/electric_vehicles_dataset[[#This Row],[Range_km]]</f>
        <v>5.2705061082024433E-2</v>
      </c>
      <c r="I1914">
        <v>573</v>
      </c>
      <c r="J1914" t="s">
        <v>353</v>
      </c>
      <c r="K1914">
        <v>4</v>
      </c>
      <c r="L1914" s="1">
        <v>54090.98</v>
      </c>
      <c r="M1914" s="1" t="str" cm="1">
        <f t="array" ref="M191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14" t="s">
        <v>43</v>
      </c>
      <c r="O1914" t="s">
        <v>226</v>
      </c>
      <c r="P1914" s="2" t="s">
        <v>395</v>
      </c>
      <c r="Q1914">
        <v>3</v>
      </c>
      <c r="R1914" t="s">
        <v>397</v>
      </c>
      <c r="S1914" s="1">
        <f>electric_vehicles_dataset[[#This Row],[Units_Sold_2024]]*electric_vehicles_dataset[[#This Row],[Price_USD]]</f>
        <v>10385468.16</v>
      </c>
      <c r="T1914">
        <v>4</v>
      </c>
      <c r="U1914">
        <v>192</v>
      </c>
      <c r="V1914">
        <v>4</v>
      </c>
    </row>
    <row r="1915" spans="1:22" x14ac:dyDescent="0.35">
      <c r="A1915">
        <v>1914</v>
      </c>
      <c r="B1915" t="s">
        <v>187</v>
      </c>
      <c r="C1915" t="s">
        <v>318</v>
      </c>
      <c r="D1915">
        <v>2025</v>
      </c>
      <c r="E1915" t="s">
        <v>58</v>
      </c>
      <c r="F1915">
        <v>82.1</v>
      </c>
      <c r="G1915" t="s">
        <v>350</v>
      </c>
      <c r="H1915">
        <f>electric_vehicles_dataset[[#This Row],[Battery_Capacity_kWh]]/electric_vehicles_dataset[[#This Row],[Range_km]]</f>
        <v>0.37834101382488478</v>
      </c>
      <c r="I1915">
        <v>217</v>
      </c>
      <c r="J1915" t="s">
        <v>38</v>
      </c>
      <c r="K1915">
        <v>6</v>
      </c>
      <c r="L1915" s="1">
        <v>45035.45</v>
      </c>
      <c r="M1915" s="1" t="str" cm="1">
        <f t="array" ref="M191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15" t="s">
        <v>66</v>
      </c>
      <c r="O1915" t="s">
        <v>147</v>
      </c>
      <c r="P1915" s="2" t="s">
        <v>396</v>
      </c>
      <c r="Q1915">
        <v>2</v>
      </c>
      <c r="R1915" t="s">
        <v>391</v>
      </c>
      <c r="S1915" s="1">
        <f>electric_vehicles_dataset[[#This Row],[Units_Sold_2024]]*electric_vehicles_dataset[[#This Row],[Price_USD]]</f>
        <v>822392352.44999993</v>
      </c>
      <c r="T1915">
        <v>5</v>
      </c>
      <c r="U1915">
        <v>18261</v>
      </c>
      <c r="V1915">
        <v>5</v>
      </c>
    </row>
    <row r="1916" spans="1:22" x14ac:dyDescent="0.35">
      <c r="A1916">
        <v>1915</v>
      </c>
      <c r="B1916" t="s">
        <v>112</v>
      </c>
      <c r="C1916" t="s">
        <v>113</v>
      </c>
      <c r="D1916">
        <v>2019</v>
      </c>
      <c r="E1916" t="s">
        <v>42</v>
      </c>
      <c r="F1916">
        <v>59.3</v>
      </c>
      <c r="G1916" t="s">
        <v>348</v>
      </c>
      <c r="H1916">
        <f>electric_vehicles_dataset[[#This Row],[Battery_Capacity_kWh]]/electric_vehicles_dataset[[#This Row],[Range_km]]</f>
        <v>0.28786407766990291</v>
      </c>
      <c r="I1916">
        <v>206</v>
      </c>
      <c r="J1916" t="s">
        <v>345</v>
      </c>
      <c r="K1916">
        <v>1</v>
      </c>
      <c r="L1916" s="1">
        <v>142640.57999999999</v>
      </c>
      <c r="M1916" s="1" t="str" cm="1">
        <f t="array" ref="M191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16" t="s">
        <v>117</v>
      </c>
      <c r="O1916" t="s">
        <v>89</v>
      </c>
      <c r="P1916" s="2" t="s">
        <v>389</v>
      </c>
      <c r="Q1916">
        <v>0</v>
      </c>
      <c r="R1916" t="s">
        <v>390</v>
      </c>
      <c r="S1916" s="1">
        <f>electric_vehicles_dataset[[#This Row],[Units_Sold_2024]]*electric_vehicles_dataset[[#This Row],[Price_USD]]</f>
        <v>1109315790.6599998</v>
      </c>
      <c r="T1916">
        <v>5</v>
      </c>
      <c r="U1916">
        <v>7777</v>
      </c>
      <c r="V1916">
        <v>4</v>
      </c>
    </row>
    <row r="1917" spans="1:22" x14ac:dyDescent="0.35">
      <c r="A1917">
        <v>1916</v>
      </c>
      <c r="B1917" t="s">
        <v>68</v>
      </c>
      <c r="C1917" t="s">
        <v>103</v>
      </c>
      <c r="D1917">
        <v>2022</v>
      </c>
      <c r="E1917" t="s">
        <v>17</v>
      </c>
      <c r="F1917">
        <v>129.19999999999999</v>
      </c>
      <c r="G1917" t="s">
        <v>352</v>
      </c>
      <c r="H1917">
        <f>electric_vehicles_dataset[[#This Row],[Battery_Capacity_kWh]]/electric_vehicles_dataset[[#This Row],[Range_km]]</f>
        <v>0.86133333333333328</v>
      </c>
      <c r="I1917">
        <v>150</v>
      </c>
      <c r="J1917" t="s">
        <v>34</v>
      </c>
      <c r="K1917">
        <v>5</v>
      </c>
      <c r="L1917" s="1">
        <v>119683.58</v>
      </c>
      <c r="M1917" s="1" t="str" cm="1">
        <f t="array" ref="M191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17" t="s">
        <v>240</v>
      </c>
      <c r="O1917" t="s">
        <v>33</v>
      </c>
      <c r="P1917" s="2" t="s">
        <v>393</v>
      </c>
      <c r="Q1917">
        <v>4</v>
      </c>
      <c r="R1917" t="s">
        <v>392</v>
      </c>
      <c r="S1917" s="1">
        <f>electric_vehicles_dataset[[#This Row],[Units_Sold_2024]]*electric_vehicles_dataset[[#This Row],[Price_USD]]</f>
        <v>93472875.980000004</v>
      </c>
      <c r="T1917">
        <v>4</v>
      </c>
      <c r="U1917">
        <v>781</v>
      </c>
      <c r="V1917">
        <v>5</v>
      </c>
    </row>
    <row r="1918" spans="1:22" x14ac:dyDescent="0.35">
      <c r="A1918">
        <v>1917</v>
      </c>
      <c r="B1918" t="s">
        <v>120</v>
      </c>
      <c r="C1918" t="s">
        <v>362</v>
      </c>
      <c r="D1918">
        <v>2015</v>
      </c>
      <c r="E1918" t="s">
        <v>84</v>
      </c>
      <c r="F1918">
        <v>26.2</v>
      </c>
      <c r="G1918" t="s">
        <v>357</v>
      </c>
      <c r="H1918">
        <f>electric_vehicles_dataset[[#This Row],[Battery_Capacity_kWh]]/electric_vehicles_dataset[[#This Row],[Range_km]]</f>
        <v>0.18581560283687942</v>
      </c>
      <c r="I1918">
        <v>141</v>
      </c>
      <c r="J1918" t="s">
        <v>48</v>
      </c>
      <c r="K1918">
        <v>8</v>
      </c>
      <c r="L1918" s="1">
        <v>119981.51</v>
      </c>
      <c r="M1918" s="1" t="str" cm="1">
        <f t="array" ref="M19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18" t="s">
        <v>143</v>
      </c>
      <c r="O1918" t="s">
        <v>89</v>
      </c>
      <c r="P1918" s="2" t="s">
        <v>389</v>
      </c>
      <c r="Q1918">
        <v>3</v>
      </c>
      <c r="R1918" t="s">
        <v>397</v>
      </c>
      <c r="S1918" s="1">
        <f>electric_vehicles_dataset[[#This Row],[Units_Sold_2024]]*electric_vehicles_dataset[[#This Row],[Price_USD]]</f>
        <v>2208859599.0999999</v>
      </c>
      <c r="T1918">
        <v>3</v>
      </c>
      <c r="U1918">
        <v>18410</v>
      </c>
      <c r="V1918">
        <v>4</v>
      </c>
    </row>
    <row r="1919" spans="1:22" x14ac:dyDescent="0.35">
      <c r="A1919">
        <v>1918</v>
      </c>
      <c r="B1919" t="s">
        <v>170</v>
      </c>
      <c r="C1919" t="s">
        <v>218</v>
      </c>
      <c r="D1919">
        <v>2024</v>
      </c>
      <c r="E1919" t="s">
        <v>73</v>
      </c>
      <c r="F1919">
        <v>86.9</v>
      </c>
      <c r="G1919" t="s">
        <v>350</v>
      </c>
      <c r="H1919">
        <f>electric_vehicles_dataset[[#This Row],[Battery_Capacity_kWh]]/electric_vehicles_dataset[[#This Row],[Range_km]]</f>
        <v>0.50818713450292397</v>
      </c>
      <c r="I1919">
        <v>171</v>
      </c>
      <c r="J1919" t="s">
        <v>364</v>
      </c>
      <c r="K1919">
        <v>10</v>
      </c>
      <c r="L1919" s="1">
        <v>30144.880000000001</v>
      </c>
      <c r="M1919" s="1" t="str" cm="1">
        <f t="array" ref="M19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19" t="s">
        <v>106</v>
      </c>
      <c r="O1919" t="s">
        <v>354</v>
      </c>
      <c r="P1919" s="2" t="s">
        <v>394</v>
      </c>
      <c r="Q1919">
        <v>5</v>
      </c>
      <c r="R1919" t="s">
        <v>392</v>
      </c>
      <c r="S1919" s="1">
        <f>electric_vehicles_dataset[[#This Row],[Units_Sold_2024]]*electric_vehicles_dataset[[#This Row],[Price_USD]]</f>
        <v>370872458.63999999</v>
      </c>
      <c r="T1919">
        <v>4</v>
      </c>
      <c r="U1919">
        <v>12303</v>
      </c>
      <c r="V1919">
        <v>5</v>
      </c>
    </row>
    <row r="1920" spans="1:22" x14ac:dyDescent="0.35">
      <c r="A1920">
        <v>1919</v>
      </c>
      <c r="B1920" t="s">
        <v>155</v>
      </c>
      <c r="C1920" t="s">
        <v>156</v>
      </c>
      <c r="D1920">
        <v>2025</v>
      </c>
      <c r="E1920" t="s">
        <v>73</v>
      </c>
      <c r="F1920">
        <v>143.5</v>
      </c>
      <c r="G1920" t="s">
        <v>386</v>
      </c>
      <c r="H1920">
        <f>electric_vehicles_dataset[[#This Row],[Battery_Capacity_kWh]]/electric_vehicles_dataset[[#This Row],[Range_km]]</f>
        <v>0.25308641975308643</v>
      </c>
      <c r="I1920">
        <v>567</v>
      </c>
      <c r="J1920" t="s">
        <v>34</v>
      </c>
      <c r="K1920">
        <v>6</v>
      </c>
      <c r="L1920" s="1">
        <v>53597.06</v>
      </c>
      <c r="M1920" s="1" t="str" cm="1">
        <f t="array" ref="M192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20" t="s">
        <v>205</v>
      </c>
      <c r="O1920" t="s">
        <v>92</v>
      </c>
      <c r="P1920" s="2" t="s">
        <v>394</v>
      </c>
      <c r="Q1920">
        <v>5</v>
      </c>
      <c r="R1920" t="s">
        <v>392</v>
      </c>
      <c r="S1920" s="1">
        <f>electric_vehicles_dataset[[#This Row],[Units_Sold_2024]]*electric_vehicles_dataset[[#This Row],[Price_USD]]</f>
        <v>818748688.55999994</v>
      </c>
      <c r="T1920">
        <v>4</v>
      </c>
      <c r="U1920">
        <v>15276</v>
      </c>
      <c r="V1920">
        <v>5</v>
      </c>
    </row>
    <row r="1921" spans="1:22" x14ac:dyDescent="0.35">
      <c r="A1921">
        <v>1920</v>
      </c>
      <c r="B1921" t="s">
        <v>87</v>
      </c>
      <c r="C1921" t="s">
        <v>381</v>
      </c>
      <c r="D1921">
        <v>2020</v>
      </c>
      <c r="E1921" t="s">
        <v>104</v>
      </c>
      <c r="F1921">
        <v>114.2</v>
      </c>
      <c r="G1921" t="s">
        <v>361</v>
      </c>
      <c r="H1921">
        <f>electric_vehicles_dataset[[#This Row],[Battery_Capacity_kWh]]/electric_vehicles_dataset[[#This Row],[Range_km]]</f>
        <v>0.84592592592592597</v>
      </c>
      <c r="I1921">
        <v>135</v>
      </c>
      <c r="J1921" t="s">
        <v>18</v>
      </c>
      <c r="K1921">
        <v>2</v>
      </c>
      <c r="L1921" s="1">
        <v>38618.6</v>
      </c>
      <c r="M1921" s="1" t="str" cm="1">
        <f t="array" ref="M192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21" t="s">
        <v>212</v>
      </c>
      <c r="O1921" t="s">
        <v>354</v>
      </c>
      <c r="P1921" s="2" t="s">
        <v>394</v>
      </c>
      <c r="Q1921">
        <v>5</v>
      </c>
      <c r="R1921" t="s">
        <v>392</v>
      </c>
      <c r="S1921" s="1">
        <f>electric_vehicles_dataset[[#This Row],[Units_Sold_2024]]*electric_vehicles_dataset[[#This Row],[Price_USD]]</f>
        <v>665939138.39999998</v>
      </c>
      <c r="T1921">
        <v>3</v>
      </c>
      <c r="U1921">
        <v>17244</v>
      </c>
      <c r="V1921">
        <v>5</v>
      </c>
    </row>
    <row r="1922" spans="1:22" x14ac:dyDescent="0.35">
      <c r="A1922">
        <v>1921</v>
      </c>
      <c r="B1922" t="s">
        <v>36</v>
      </c>
      <c r="C1922" t="s">
        <v>37</v>
      </c>
      <c r="D1922">
        <v>2016</v>
      </c>
      <c r="E1922" t="s">
        <v>130</v>
      </c>
      <c r="F1922">
        <v>70</v>
      </c>
      <c r="G1922" t="s">
        <v>351</v>
      </c>
      <c r="H1922">
        <f>electric_vehicles_dataset[[#This Row],[Battery_Capacity_kWh]]/electric_vehicles_dataset[[#This Row],[Range_km]]</f>
        <v>0.16431924882629109</v>
      </c>
      <c r="I1922">
        <v>426</v>
      </c>
      <c r="J1922" t="s">
        <v>353</v>
      </c>
      <c r="K1922">
        <v>10</v>
      </c>
      <c r="L1922" s="1">
        <v>48664.88</v>
      </c>
      <c r="M1922" s="1" t="str" cm="1">
        <f t="array" ref="M192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22" t="s">
        <v>70</v>
      </c>
      <c r="O1922" t="s">
        <v>161</v>
      </c>
      <c r="P1922" s="2" t="s">
        <v>389</v>
      </c>
      <c r="Q1922">
        <v>5</v>
      </c>
      <c r="R1922" t="s">
        <v>392</v>
      </c>
      <c r="S1922" s="1">
        <f>electric_vehicles_dataset[[#This Row],[Units_Sold_2024]]*electric_vehicles_dataset[[#This Row],[Price_USD]]</f>
        <v>808031667.51999998</v>
      </c>
      <c r="T1922">
        <v>4</v>
      </c>
      <c r="U1922">
        <v>16604</v>
      </c>
      <c r="V1922">
        <v>3</v>
      </c>
    </row>
    <row r="1923" spans="1:22" x14ac:dyDescent="0.35">
      <c r="A1923">
        <v>1922</v>
      </c>
      <c r="B1923" t="s">
        <v>56</v>
      </c>
      <c r="C1923" t="s">
        <v>57</v>
      </c>
      <c r="D1923">
        <v>2021</v>
      </c>
      <c r="E1923" t="s">
        <v>26</v>
      </c>
      <c r="F1923">
        <v>80.099999999999994</v>
      </c>
      <c r="G1923" t="s">
        <v>350</v>
      </c>
      <c r="H1923">
        <f>electric_vehicles_dataset[[#This Row],[Battery_Capacity_kWh]]/electric_vehicles_dataset[[#This Row],[Range_km]]</f>
        <v>0.33374999999999999</v>
      </c>
      <c r="I1923">
        <v>240</v>
      </c>
      <c r="J1923" t="s">
        <v>76</v>
      </c>
      <c r="K1923">
        <v>10</v>
      </c>
      <c r="L1923" s="1">
        <v>47681.03</v>
      </c>
      <c r="M1923" s="1" t="str" cm="1">
        <f t="array" ref="M192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23" t="s">
        <v>81</v>
      </c>
      <c r="O1923" t="s">
        <v>182</v>
      </c>
      <c r="P1923" s="2" t="s">
        <v>394</v>
      </c>
      <c r="Q1923">
        <v>5</v>
      </c>
      <c r="R1923" t="s">
        <v>392</v>
      </c>
      <c r="S1923" s="1">
        <f>electric_vehicles_dataset[[#This Row],[Units_Sold_2024]]*electric_vehicles_dataset[[#This Row],[Price_USD]]</f>
        <v>536316225.44</v>
      </c>
      <c r="T1923">
        <v>3</v>
      </c>
      <c r="U1923">
        <v>11248</v>
      </c>
      <c r="V1923">
        <v>3</v>
      </c>
    </row>
    <row r="1924" spans="1:22" x14ac:dyDescent="0.35">
      <c r="A1924">
        <v>1923</v>
      </c>
      <c r="B1924" t="s">
        <v>170</v>
      </c>
      <c r="C1924" t="s">
        <v>367</v>
      </c>
      <c r="D1924">
        <v>2017</v>
      </c>
      <c r="E1924" t="s">
        <v>53</v>
      </c>
      <c r="F1924">
        <v>135.30000000000001</v>
      </c>
      <c r="G1924" t="s">
        <v>352</v>
      </c>
      <c r="H1924">
        <f>electric_vehicles_dataset[[#This Row],[Battery_Capacity_kWh]]/electric_vehicles_dataset[[#This Row],[Range_km]]</f>
        <v>0.26425781250000002</v>
      </c>
      <c r="I1924">
        <v>512</v>
      </c>
      <c r="J1924" t="s">
        <v>34</v>
      </c>
      <c r="K1924">
        <v>10</v>
      </c>
      <c r="L1924" s="1">
        <v>139381.12</v>
      </c>
      <c r="M1924" s="1" t="str" cm="1">
        <f t="array" ref="M192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24" t="s">
        <v>229</v>
      </c>
      <c r="O1924" t="s">
        <v>110</v>
      </c>
      <c r="P1924" s="2" t="s">
        <v>394</v>
      </c>
      <c r="Q1924">
        <v>1</v>
      </c>
      <c r="R1924" t="s">
        <v>391</v>
      </c>
      <c r="S1924" s="1">
        <f>electric_vehicles_dataset[[#This Row],[Units_Sold_2024]]*electric_vehicles_dataset[[#This Row],[Price_USD]]</f>
        <v>2592628213.1199999</v>
      </c>
      <c r="T1924">
        <v>5</v>
      </c>
      <c r="U1924">
        <v>18601</v>
      </c>
      <c r="V1924">
        <v>4</v>
      </c>
    </row>
    <row r="1925" spans="1:22" x14ac:dyDescent="0.35">
      <c r="A1925">
        <v>1924</v>
      </c>
      <c r="B1925" t="s">
        <v>220</v>
      </c>
      <c r="C1925" t="s">
        <v>337</v>
      </c>
      <c r="D1925">
        <v>2020</v>
      </c>
      <c r="E1925" t="s">
        <v>101</v>
      </c>
      <c r="F1925">
        <v>137.9</v>
      </c>
      <c r="G1925" t="s">
        <v>352</v>
      </c>
      <c r="H1925">
        <f>electric_vehicles_dataset[[#This Row],[Battery_Capacity_kWh]]/electric_vehicles_dataset[[#This Row],[Range_km]]</f>
        <v>0.44198717948717953</v>
      </c>
      <c r="I1925">
        <v>312</v>
      </c>
      <c r="J1925" t="s">
        <v>105</v>
      </c>
      <c r="K1925">
        <v>4</v>
      </c>
      <c r="L1925" s="1">
        <v>112055.3</v>
      </c>
      <c r="M1925" s="1" t="str" cm="1">
        <f t="array" ref="M192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25" t="s">
        <v>49</v>
      </c>
      <c r="O1925" t="s">
        <v>78</v>
      </c>
      <c r="P1925" s="2" t="s">
        <v>389</v>
      </c>
      <c r="Q1925">
        <v>5</v>
      </c>
      <c r="R1925" t="s">
        <v>392</v>
      </c>
      <c r="S1925" s="1">
        <f>electric_vehicles_dataset[[#This Row],[Units_Sold_2024]]*electric_vehicles_dataset[[#This Row],[Price_USD]]</f>
        <v>1990550349.2</v>
      </c>
      <c r="T1925">
        <v>5</v>
      </c>
      <c r="U1925">
        <v>17764</v>
      </c>
      <c r="V1925">
        <v>4</v>
      </c>
    </row>
    <row r="1926" spans="1:22" x14ac:dyDescent="0.35">
      <c r="A1926">
        <v>1925</v>
      </c>
      <c r="B1926" t="s">
        <v>140</v>
      </c>
      <c r="C1926" t="s">
        <v>339</v>
      </c>
      <c r="D1926">
        <v>2016</v>
      </c>
      <c r="E1926" t="s">
        <v>58</v>
      </c>
      <c r="F1926">
        <v>60.2</v>
      </c>
      <c r="G1926" t="s">
        <v>351</v>
      </c>
      <c r="H1926">
        <f>electric_vehicles_dataset[[#This Row],[Battery_Capacity_kWh]]/electric_vehicles_dataset[[#This Row],[Range_km]]</f>
        <v>0.10083752093802345</v>
      </c>
      <c r="I1926">
        <v>597</v>
      </c>
      <c r="J1926" t="s">
        <v>353</v>
      </c>
      <c r="K1926">
        <v>3</v>
      </c>
      <c r="L1926" s="1">
        <v>81130.28</v>
      </c>
      <c r="M1926" s="1" t="str" cm="1">
        <f t="array" ref="M192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26" t="s">
        <v>301</v>
      </c>
      <c r="O1926" t="s">
        <v>139</v>
      </c>
      <c r="P1926" s="2" t="s">
        <v>389</v>
      </c>
      <c r="Q1926">
        <v>0</v>
      </c>
      <c r="R1926" t="s">
        <v>390</v>
      </c>
      <c r="S1926" s="1">
        <f>electric_vehicles_dataset[[#This Row],[Units_Sold_2024]]*electric_vehicles_dataset[[#This Row],[Price_USD]]</f>
        <v>887727523.75999999</v>
      </c>
      <c r="T1926">
        <v>3</v>
      </c>
      <c r="U1926">
        <v>10942</v>
      </c>
      <c r="V1926">
        <v>4</v>
      </c>
    </row>
    <row r="1927" spans="1:22" x14ac:dyDescent="0.35">
      <c r="A1927">
        <v>1926</v>
      </c>
      <c r="B1927" t="s">
        <v>136</v>
      </c>
      <c r="C1927" t="s">
        <v>137</v>
      </c>
      <c r="D1927">
        <v>2024</v>
      </c>
      <c r="E1927" t="s">
        <v>73</v>
      </c>
      <c r="F1927">
        <v>105.8</v>
      </c>
      <c r="G1927" t="s">
        <v>361</v>
      </c>
      <c r="H1927">
        <f>electric_vehicles_dataset[[#This Row],[Battery_Capacity_kWh]]/electric_vehicles_dataset[[#This Row],[Range_km]]</f>
        <v>0.23252747252747252</v>
      </c>
      <c r="I1927">
        <v>455</v>
      </c>
      <c r="J1927" t="s">
        <v>27</v>
      </c>
      <c r="K1927">
        <v>9</v>
      </c>
      <c r="L1927" s="1">
        <v>139181.54999999999</v>
      </c>
      <c r="M1927" s="1" t="str" cm="1">
        <f t="array" ref="M192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27" t="s">
        <v>35</v>
      </c>
      <c r="O1927" t="s">
        <v>23</v>
      </c>
      <c r="P1927" s="2" t="s">
        <v>389</v>
      </c>
      <c r="Q1927">
        <v>4</v>
      </c>
      <c r="R1927" t="s">
        <v>392</v>
      </c>
      <c r="S1927" s="1">
        <f>electric_vehicles_dataset[[#This Row],[Units_Sold_2024]]*electric_vehicles_dataset[[#This Row],[Price_USD]]</f>
        <v>1625083777.8</v>
      </c>
      <c r="T1927">
        <v>3</v>
      </c>
      <c r="U1927">
        <v>11676</v>
      </c>
      <c r="V1927">
        <v>5</v>
      </c>
    </row>
    <row r="1928" spans="1:22" x14ac:dyDescent="0.35">
      <c r="A1928">
        <v>1927</v>
      </c>
      <c r="B1928" t="s">
        <v>184</v>
      </c>
      <c r="C1928" t="s">
        <v>213</v>
      </c>
      <c r="D1928">
        <v>2015</v>
      </c>
      <c r="E1928" t="s">
        <v>17</v>
      </c>
      <c r="F1928">
        <v>114.9</v>
      </c>
      <c r="G1928" t="s">
        <v>361</v>
      </c>
      <c r="H1928">
        <f>electric_vehicles_dataset[[#This Row],[Battery_Capacity_kWh]]/electric_vehicles_dataset[[#This Row],[Range_km]]</f>
        <v>0.19540816326530613</v>
      </c>
      <c r="I1928">
        <v>588</v>
      </c>
      <c r="J1928" t="s">
        <v>34</v>
      </c>
      <c r="K1928">
        <v>12</v>
      </c>
      <c r="L1928" s="1">
        <v>86155.45</v>
      </c>
      <c r="M1928" s="1" t="str" cm="1">
        <f t="array" ref="M192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28" t="s">
        <v>43</v>
      </c>
      <c r="O1928" t="s">
        <v>169</v>
      </c>
      <c r="P1928" s="2" t="s">
        <v>394</v>
      </c>
      <c r="Q1928">
        <v>5</v>
      </c>
      <c r="R1928" t="s">
        <v>392</v>
      </c>
      <c r="S1928" s="1">
        <f>electric_vehicles_dataset[[#This Row],[Units_Sold_2024]]*electric_vehicles_dataset[[#This Row],[Price_USD]]</f>
        <v>610755985.04999995</v>
      </c>
      <c r="T1928">
        <v>3</v>
      </c>
      <c r="U1928">
        <v>7089</v>
      </c>
      <c r="V1928">
        <v>3</v>
      </c>
    </row>
    <row r="1929" spans="1:22" x14ac:dyDescent="0.35">
      <c r="A1929">
        <v>1928</v>
      </c>
      <c r="B1929" t="s">
        <v>112</v>
      </c>
      <c r="C1929" t="s">
        <v>113</v>
      </c>
      <c r="D1929">
        <v>2023</v>
      </c>
      <c r="E1929" t="s">
        <v>133</v>
      </c>
      <c r="F1929">
        <v>29.4</v>
      </c>
      <c r="G1929" t="s">
        <v>357</v>
      </c>
      <c r="H1929">
        <f>electric_vehicles_dataset[[#This Row],[Battery_Capacity_kWh]]/electric_vehicles_dataset[[#This Row],[Range_km]]</f>
        <v>5.7988165680473373E-2</v>
      </c>
      <c r="I1929">
        <v>507</v>
      </c>
      <c r="J1929" t="s">
        <v>76</v>
      </c>
      <c r="K1929">
        <v>3</v>
      </c>
      <c r="L1929" s="1">
        <v>68336.990000000005</v>
      </c>
      <c r="M1929" s="1" t="str" cm="1">
        <f t="array" ref="M19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29" t="s">
        <v>117</v>
      </c>
      <c r="O1929" t="s">
        <v>118</v>
      </c>
      <c r="P1929" s="2" t="s">
        <v>389</v>
      </c>
      <c r="Q1929">
        <v>3</v>
      </c>
      <c r="R1929" t="s">
        <v>397</v>
      </c>
      <c r="S1929" s="1">
        <f>electric_vehicles_dataset[[#This Row],[Units_Sold_2024]]*electric_vehicles_dataset[[#This Row],[Price_USD]]</f>
        <v>1279131778.8200002</v>
      </c>
      <c r="T1929">
        <v>4</v>
      </c>
      <c r="U1929">
        <v>18718</v>
      </c>
      <c r="V1929">
        <v>3</v>
      </c>
    </row>
    <row r="1930" spans="1:22" x14ac:dyDescent="0.35">
      <c r="A1930">
        <v>1929</v>
      </c>
      <c r="B1930" t="s">
        <v>157</v>
      </c>
      <c r="C1930" t="s">
        <v>158</v>
      </c>
      <c r="D1930">
        <v>2022</v>
      </c>
      <c r="E1930" t="s">
        <v>26</v>
      </c>
      <c r="F1930">
        <v>95.3</v>
      </c>
      <c r="G1930" t="s">
        <v>350</v>
      </c>
      <c r="H1930">
        <f>electric_vehicles_dataset[[#This Row],[Battery_Capacity_kWh]]/electric_vehicles_dataset[[#This Row],[Range_km]]</f>
        <v>0.19448979591836735</v>
      </c>
      <c r="I1930">
        <v>490</v>
      </c>
      <c r="J1930" t="s">
        <v>149</v>
      </c>
      <c r="K1930">
        <v>1</v>
      </c>
      <c r="L1930" s="1">
        <v>145400.46</v>
      </c>
      <c r="M1930" s="1" t="str" cm="1">
        <f t="array" ref="M19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30" t="s">
        <v>257</v>
      </c>
      <c r="O1930" t="s">
        <v>44</v>
      </c>
      <c r="P1930" s="2" t="s">
        <v>389</v>
      </c>
      <c r="Q1930">
        <v>3</v>
      </c>
      <c r="R1930" t="s">
        <v>397</v>
      </c>
      <c r="S1930" s="1">
        <f>electric_vehicles_dataset[[#This Row],[Units_Sold_2024]]*electric_vehicles_dataset[[#This Row],[Price_USD]]</f>
        <v>306649570.13999999</v>
      </c>
      <c r="T1930">
        <v>4</v>
      </c>
      <c r="U1930">
        <v>2109</v>
      </c>
      <c r="V1930">
        <v>4</v>
      </c>
    </row>
    <row r="1931" spans="1:22" x14ac:dyDescent="0.35">
      <c r="A1931">
        <v>1930</v>
      </c>
      <c r="B1931" t="s">
        <v>94</v>
      </c>
      <c r="C1931" t="s">
        <v>99</v>
      </c>
      <c r="D1931">
        <v>2021</v>
      </c>
      <c r="E1931" t="s">
        <v>53</v>
      </c>
      <c r="F1931">
        <v>79.3</v>
      </c>
      <c r="G1931" t="s">
        <v>351</v>
      </c>
      <c r="H1931">
        <f>electric_vehicles_dataset[[#This Row],[Battery_Capacity_kWh]]/electric_vehicles_dataset[[#This Row],[Range_km]]</f>
        <v>0.37582938388625592</v>
      </c>
      <c r="I1931">
        <v>211</v>
      </c>
      <c r="J1931" t="s">
        <v>358</v>
      </c>
      <c r="K1931">
        <v>2</v>
      </c>
      <c r="L1931" s="1">
        <v>72617.56</v>
      </c>
      <c r="M1931" s="1" t="str" cm="1">
        <f t="array" ref="M193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31" t="s">
        <v>39</v>
      </c>
      <c r="O1931" t="s">
        <v>40</v>
      </c>
      <c r="P1931" s="2" t="s">
        <v>395</v>
      </c>
      <c r="Q1931">
        <v>0</v>
      </c>
      <c r="R1931" t="s">
        <v>390</v>
      </c>
      <c r="S1931" s="1">
        <f>electric_vehicles_dataset[[#This Row],[Units_Sold_2024]]*electric_vehicles_dataset[[#This Row],[Price_USD]]</f>
        <v>694006020.91999996</v>
      </c>
      <c r="T1931">
        <v>5</v>
      </c>
      <c r="U1931">
        <v>9557</v>
      </c>
      <c r="V1931">
        <v>5</v>
      </c>
    </row>
    <row r="1932" spans="1:22" x14ac:dyDescent="0.35">
      <c r="A1932">
        <v>1931</v>
      </c>
      <c r="B1932" t="s">
        <v>220</v>
      </c>
      <c r="C1932" t="s">
        <v>221</v>
      </c>
      <c r="D1932">
        <v>2018</v>
      </c>
      <c r="E1932" t="s">
        <v>84</v>
      </c>
      <c r="F1932">
        <v>123.5</v>
      </c>
      <c r="G1932" t="s">
        <v>352</v>
      </c>
      <c r="H1932">
        <f>electric_vehicles_dataset[[#This Row],[Battery_Capacity_kWh]]/electric_vehicles_dataset[[#This Row],[Range_km]]</f>
        <v>0.32671957671957674</v>
      </c>
      <c r="I1932">
        <v>378</v>
      </c>
      <c r="J1932" t="s">
        <v>27</v>
      </c>
      <c r="K1932">
        <v>5</v>
      </c>
      <c r="L1932" s="1">
        <v>144748.88</v>
      </c>
      <c r="M1932" s="1" t="str" cm="1">
        <f t="array" ref="M193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32" t="s">
        <v>210</v>
      </c>
      <c r="O1932" t="s">
        <v>206</v>
      </c>
      <c r="P1932" s="2" t="s">
        <v>394</v>
      </c>
      <c r="Q1932">
        <v>4</v>
      </c>
      <c r="R1932" t="s">
        <v>392</v>
      </c>
      <c r="S1932" s="1">
        <f>electric_vehicles_dataset[[#This Row],[Units_Sold_2024]]*electric_vehicles_dataset[[#This Row],[Price_USD]]</f>
        <v>2649483499.52</v>
      </c>
      <c r="T1932">
        <v>5</v>
      </c>
      <c r="U1932">
        <v>18304</v>
      </c>
      <c r="V1932">
        <v>3</v>
      </c>
    </row>
    <row r="1933" spans="1:22" x14ac:dyDescent="0.35">
      <c r="A1933">
        <v>1932</v>
      </c>
      <c r="B1933" t="s">
        <v>140</v>
      </c>
      <c r="C1933" t="s">
        <v>256</v>
      </c>
      <c r="D1933">
        <v>2018</v>
      </c>
      <c r="E1933" t="s">
        <v>53</v>
      </c>
      <c r="F1933">
        <v>129</v>
      </c>
      <c r="G1933" t="s">
        <v>352</v>
      </c>
      <c r="H1933">
        <f>electric_vehicles_dataset[[#This Row],[Battery_Capacity_kWh]]/electric_vehicles_dataset[[#This Row],[Range_km]]</f>
        <v>0.68983957219251335</v>
      </c>
      <c r="I1933">
        <v>187</v>
      </c>
      <c r="J1933" t="s">
        <v>48</v>
      </c>
      <c r="K1933">
        <v>1</v>
      </c>
      <c r="L1933" s="1">
        <v>86604.38</v>
      </c>
      <c r="M1933" s="1" t="str" cm="1">
        <f t="array" ref="M193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33" t="s">
        <v>66</v>
      </c>
      <c r="O1933" t="s">
        <v>121</v>
      </c>
      <c r="P1933" s="2" t="s">
        <v>398</v>
      </c>
      <c r="Q1933">
        <v>0</v>
      </c>
      <c r="R1933" t="s">
        <v>390</v>
      </c>
      <c r="S1933" s="1">
        <f>electric_vehicles_dataset[[#This Row],[Units_Sold_2024]]*electric_vehicles_dataset[[#This Row],[Price_USD]]</f>
        <v>1211075649.9200001</v>
      </c>
      <c r="T1933">
        <v>5</v>
      </c>
      <c r="U1933">
        <v>13984</v>
      </c>
      <c r="V1933">
        <v>4</v>
      </c>
    </row>
    <row r="1934" spans="1:22" x14ac:dyDescent="0.35">
      <c r="A1934">
        <v>1933</v>
      </c>
      <c r="B1934" t="s">
        <v>51</v>
      </c>
      <c r="C1934" t="s">
        <v>239</v>
      </c>
      <c r="D1934">
        <v>2023</v>
      </c>
      <c r="E1934" t="s">
        <v>104</v>
      </c>
      <c r="F1934">
        <v>39.4</v>
      </c>
      <c r="G1934" t="s">
        <v>357</v>
      </c>
      <c r="H1934">
        <f>electric_vehicles_dataset[[#This Row],[Battery_Capacity_kWh]]/electric_vehicles_dataset[[#This Row],[Range_km]]</f>
        <v>0.39009900990099011</v>
      </c>
      <c r="I1934">
        <v>101</v>
      </c>
      <c r="J1934" t="s">
        <v>356</v>
      </c>
      <c r="K1934">
        <v>2</v>
      </c>
      <c r="L1934" s="1">
        <v>37686.410000000003</v>
      </c>
      <c r="M1934" s="1" t="str" cm="1">
        <f t="array" ref="M193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34" t="s">
        <v>172</v>
      </c>
      <c r="O1934" t="s">
        <v>135</v>
      </c>
      <c r="P1934" s="2" t="s">
        <v>389</v>
      </c>
      <c r="Q1934">
        <v>1</v>
      </c>
      <c r="R1934" t="s">
        <v>391</v>
      </c>
      <c r="S1934" s="1">
        <f>electric_vehicles_dataset[[#This Row],[Units_Sold_2024]]*electric_vehicles_dataset[[#This Row],[Price_USD]]</f>
        <v>85623523.520000011</v>
      </c>
      <c r="T1934">
        <v>5</v>
      </c>
      <c r="U1934">
        <v>2272</v>
      </c>
      <c r="V1934">
        <v>4</v>
      </c>
    </row>
    <row r="1935" spans="1:22" x14ac:dyDescent="0.35">
      <c r="A1935">
        <v>1934</v>
      </c>
      <c r="B1935" t="s">
        <v>94</v>
      </c>
      <c r="C1935" t="s">
        <v>360</v>
      </c>
      <c r="D1935">
        <v>2017</v>
      </c>
      <c r="E1935" t="s">
        <v>130</v>
      </c>
      <c r="F1935">
        <v>99.7</v>
      </c>
      <c r="G1935" t="s">
        <v>350</v>
      </c>
      <c r="H1935">
        <f>electric_vehicles_dataset[[#This Row],[Battery_Capacity_kWh]]/electric_vehicles_dataset[[#This Row],[Range_km]]</f>
        <v>0.31156250000000002</v>
      </c>
      <c r="I1935">
        <v>320</v>
      </c>
      <c r="J1935" t="s">
        <v>359</v>
      </c>
      <c r="K1935">
        <v>8</v>
      </c>
      <c r="L1935" s="1">
        <v>69149.66</v>
      </c>
      <c r="M1935" s="1" t="str" cm="1">
        <f t="array" ref="M19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35" t="s">
        <v>177</v>
      </c>
      <c r="O1935" t="s">
        <v>118</v>
      </c>
      <c r="P1935" s="2" t="s">
        <v>389</v>
      </c>
      <c r="Q1935">
        <v>2</v>
      </c>
      <c r="R1935" t="s">
        <v>391</v>
      </c>
      <c r="S1935" s="1">
        <f>electric_vehicles_dataset[[#This Row],[Units_Sold_2024]]*electric_vehicles_dataset[[#This Row],[Price_USD]]</f>
        <v>44117483.080000006</v>
      </c>
      <c r="T1935">
        <v>4</v>
      </c>
      <c r="U1935">
        <v>638</v>
      </c>
      <c r="V1935">
        <v>3</v>
      </c>
    </row>
    <row r="1936" spans="1:22" x14ac:dyDescent="0.35">
      <c r="A1936">
        <v>1935</v>
      </c>
      <c r="B1936" t="s">
        <v>187</v>
      </c>
      <c r="C1936" t="s">
        <v>188</v>
      </c>
      <c r="D1936">
        <v>2015</v>
      </c>
      <c r="E1936" t="s">
        <v>47</v>
      </c>
      <c r="F1936">
        <v>34.9</v>
      </c>
      <c r="G1936" t="s">
        <v>357</v>
      </c>
      <c r="H1936">
        <f>electric_vehicles_dataset[[#This Row],[Battery_Capacity_kWh]]/electric_vehicles_dataset[[#This Row],[Range_km]]</f>
        <v>0.13686274509803922</v>
      </c>
      <c r="I1936">
        <v>255</v>
      </c>
      <c r="J1936" t="s">
        <v>105</v>
      </c>
      <c r="K1936">
        <v>9</v>
      </c>
      <c r="L1936" s="1">
        <v>45458.559999999998</v>
      </c>
      <c r="M1936" s="1" t="str" cm="1">
        <f t="array" ref="M19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36" t="s">
        <v>229</v>
      </c>
      <c r="O1936" t="s">
        <v>124</v>
      </c>
      <c r="P1936" s="2" t="s">
        <v>389</v>
      </c>
      <c r="Q1936">
        <v>0</v>
      </c>
      <c r="R1936" t="s">
        <v>390</v>
      </c>
      <c r="S1936" s="1">
        <f>electric_vehicles_dataset[[#This Row],[Units_Sold_2024]]*electric_vehicles_dataset[[#This Row],[Price_USD]]</f>
        <v>672968522.24000001</v>
      </c>
      <c r="T1936">
        <v>4</v>
      </c>
      <c r="U1936">
        <v>14804</v>
      </c>
      <c r="V1936">
        <v>3</v>
      </c>
    </row>
    <row r="1937" spans="1:22" x14ac:dyDescent="0.35">
      <c r="A1937">
        <v>1936</v>
      </c>
      <c r="B1937" t="s">
        <v>60</v>
      </c>
      <c r="C1937" t="s">
        <v>342</v>
      </c>
      <c r="D1937">
        <v>2020</v>
      </c>
      <c r="E1937" t="s">
        <v>84</v>
      </c>
      <c r="F1937">
        <v>40</v>
      </c>
      <c r="G1937" t="s">
        <v>357</v>
      </c>
      <c r="H1937">
        <f>electric_vehicles_dataset[[#This Row],[Battery_Capacity_kWh]]/electric_vehicles_dataset[[#This Row],[Range_km]]</f>
        <v>9.2165898617511524E-2</v>
      </c>
      <c r="I1937">
        <v>434</v>
      </c>
      <c r="J1937" t="s">
        <v>353</v>
      </c>
      <c r="K1937">
        <v>1</v>
      </c>
      <c r="L1937" s="1">
        <v>138529.75</v>
      </c>
      <c r="M1937" s="1" t="str" cm="1">
        <f t="array" ref="M193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37" t="s">
        <v>117</v>
      </c>
      <c r="O1937" t="s">
        <v>134</v>
      </c>
      <c r="P1937" s="2" t="s">
        <v>389</v>
      </c>
      <c r="Q1937">
        <v>5</v>
      </c>
      <c r="R1937" t="s">
        <v>392</v>
      </c>
      <c r="S1937" s="1">
        <f>electric_vehicles_dataset[[#This Row],[Units_Sold_2024]]*electric_vehicles_dataset[[#This Row],[Price_USD]]</f>
        <v>929119033.25</v>
      </c>
      <c r="T1937">
        <v>4</v>
      </c>
      <c r="U1937">
        <v>6707</v>
      </c>
      <c r="V1937">
        <v>5</v>
      </c>
    </row>
    <row r="1938" spans="1:22" x14ac:dyDescent="0.35">
      <c r="A1938">
        <v>1937</v>
      </c>
      <c r="B1938" t="s">
        <v>64</v>
      </c>
      <c r="C1938" t="s">
        <v>65</v>
      </c>
      <c r="D1938">
        <v>2024</v>
      </c>
      <c r="E1938" t="s">
        <v>101</v>
      </c>
      <c r="F1938">
        <v>130.4</v>
      </c>
      <c r="G1938" t="s">
        <v>352</v>
      </c>
      <c r="H1938">
        <f>electric_vehicles_dataset[[#This Row],[Battery_Capacity_kWh]]/electric_vehicles_dataset[[#This Row],[Range_km]]</f>
        <v>0.33782383419689122</v>
      </c>
      <c r="I1938">
        <v>386</v>
      </c>
      <c r="J1938" t="s">
        <v>76</v>
      </c>
      <c r="K1938">
        <v>10</v>
      </c>
      <c r="L1938" s="1">
        <v>43422.87</v>
      </c>
      <c r="M1938" s="1" t="str" cm="1">
        <f t="array" ref="M193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38" t="s">
        <v>70</v>
      </c>
      <c r="O1938" t="s">
        <v>164</v>
      </c>
      <c r="P1938" s="2" t="s">
        <v>394</v>
      </c>
      <c r="Q1938">
        <v>3</v>
      </c>
      <c r="R1938" t="s">
        <v>397</v>
      </c>
      <c r="S1938" s="1">
        <f>electric_vehicles_dataset[[#This Row],[Units_Sold_2024]]*electric_vehicles_dataset[[#This Row],[Price_USD]]</f>
        <v>548517693.84000003</v>
      </c>
      <c r="T1938">
        <v>5</v>
      </c>
      <c r="U1938">
        <v>12632</v>
      </c>
      <c r="V1938">
        <v>5</v>
      </c>
    </row>
    <row r="1939" spans="1:22" x14ac:dyDescent="0.35">
      <c r="A1939">
        <v>1938</v>
      </c>
      <c r="B1939" t="s">
        <v>173</v>
      </c>
      <c r="C1939" t="s">
        <v>306</v>
      </c>
      <c r="D1939">
        <v>2025</v>
      </c>
      <c r="E1939" t="s">
        <v>133</v>
      </c>
      <c r="F1939">
        <v>21.2</v>
      </c>
      <c r="G1939" t="s">
        <v>357</v>
      </c>
      <c r="H1939">
        <f>electric_vehicles_dataset[[#This Row],[Battery_Capacity_kWh]]/electric_vehicles_dataset[[#This Row],[Range_km]]</f>
        <v>0.10341463414634146</v>
      </c>
      <c r="I1939">
        <v>205</v>
      </c>
      <c r="J1939" t="s">
        <v>76</v>
      </c>
      <c r="K1939">
        <v>3</v>
      </c>
      <c r="L1939" s="1">
        <v>63413.78</v>
      </c>
      <c r="M1939" s="1" t="str" cm="1">
        <f t="array" ref="M19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39" t="s">
        <v>189</v>
      </c>
      <c r="O1939" t="s">
        <v>92</v>
      </c>
      <c r="P1939" s="2" t="s">
        <v>394</v>
      </c>
      <c r="Q1939">
        <v>3</v>
      </c>
      <c r="R1939" t="s">
        <v>397</v>
      </c>
      <c r="S1939" s="1">
        <f>electric_vehicles_dataset[[#This Row],[Units_Sold_2024]]*electric_vehicles_dataset[[#This Row],[Price_USD]]</f>
        <v>964777248.91999996</v>
      </c>
      <c r="T1939">
        <v>5</v>
      </c>
      <c r="U1939">
        <v>15214</v>
      </c>
      <c r="V1939">
        <v>3</v>
      </c>
    </row>
    <row r="1940" spans="1:22" x14ac:dyDescent="0.35">
      <c r="A1940">
        <v>1939</v>
      </c>
      <c r="B1940" t="s">
        <v>144</v>
      </c>
      <c r="C1940" t="s">
        <v>145</v>
      </c>
      <c r="D1940">
        <v>2019</v>
      </c>
      <c r="E1940" t="s">
        <v>183</v>
      </c>
      <c r="F1940">
        <v>115.5</v>
      </c>
      <c r="G1940" t="s">
        <v>361</v>
      </c>
      <c r="H1940">
        <f>electric_vehicles_dataset[[#This Row],[Battery_Capacity_kWh]]/electric_vehicles_dataset[[#This Row],[Range_km]]</f>
        <v>0.30235602094240838</v>
      </c>
      <c r="I1940">
        <v>382</v>
      </c>
      <c r="J1940" t="s">
        <v>76</v>
      </c>
      <c r="K1940">
        <v>2</v>
      </c>
      <c r="L1940" s="1">
        <v>117464.18</v>
      </c>
      <c r="M1940" s="1" t="str" cm="1">
        <f t="array" ref="M19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40" t="s">
        <v>175</v>
      </c>
      <c r="O1940" t="s">
        <v>230</v>
      </c>
      <c r="P1940" s="2" t="s">
        <v>389</v>
      </c>
      <c r="Q1940">
        <v>1</v>
      </c>
      <c r="R1940" t="s">
        <v>391</v>
      </c>
      <c r="S1940" s="1">
        <f>electric_vehicles_dataset[[#This Row],[Units_Sold_2024]]*electric_vehicles_dataset[[#This Row],[Price_USD]]</f>
        <v>654158018.41999996</v>
      </c>
      <c r="T1940">
        <v>5</v>
      </c>
      <c r="U1940">
        <v>5569</v>
      </c>
      <c r="V1940">
        <v>5</v>
      </c>
    </row>
    <row r="1941" spans="1:22" x14ac:dyDescent="0.35">
      <c r="A1941">
        <v>1940</v>
      </c>
      <c r="B1941" t="s">
        <v>79</v>
      </c>
      <c r="C1941" t="s">
        <v>151</v>
      </c>
      <c r="D1941">
        <v>2017</v>
      </c>
      <c r="E1941" t="s">
        <v>133</v>
      </c>
      <c r="F1941">
        <v>32.5</v>
      </c>
      <c r="G1941" t="s">
        <v>357</v>
      </c>
      <c r="H1941">
        <f>electric_vehicles_dataset[[#This Row],[Battery_Capacity_kWh]]/electric_vehicles_dataset[[#This Row],[Range_km]]</f>
        <v>0.11484098939929328</v>
      </c>
      <c r="I1941">
        <v>283</v>
      </c>
      <c r="J1941" t="s">
        <v>76</v>
      </c>
      <c r="K1941">
        <v>4</v>
      </c>
      <c r="L1941" s="1">
        <v>32179.01</v>
      </c>
      <c r="M1941" s="1" t="str" cm="1">
        <f t="array" ref="M194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41" t="s">
        <v>217</v>
      </c>
      <c r="O1941" t="s">
        <v>169</v>
      </c>
      <c r="P1941" s="2" t="s">
        <v>394</v>
      </c>
      <c r="Q1941">
        <v>5</v>
      </c>
      <c r="R1941" t="s">
        <v>392</v>
      </c>
      <c r="S1941" s="1">
        <f>electric_vehicles_dataset[[#This Row],[Units_Sold_2024]]*electric_vehicles_dataset[[#This Row],[Price_USD]]</f>
        <v>128812577.02999999</v>
      </c>
      <c r="T1941">
        <v>3</v>
      </c>
      <c r="U1941">
        <v>4003</v>
      </c>
      <c r="V1941">
        <v>4</v>
      </c>
    </row>
    <row r="1942" spans="1:22" x14ac:dyDescent="0.35">
      <c r="A1942">
        <v>1941</v>
      </c>
      <c r="B1942" t="s">
        <v>220</v>
      </c>
      <c r="C1942" t="s">
        <v>336</v>
      </c>
      <c r="D1942">
        <v>2020</v>
      </c>
      <c r="E1942" t="s">
        <v>101</v>
      </c>
      <c r="F1942">
        <v>110.8</v>
      </c>
      <c r="G1942" t="s">
        <v>361</v>
      </c>
      <c r="H1942">
        <f>electric_vehicles_dataset[[#This Row],[Battery_Capacity_kWh]]/electric_vehicles_dataset[[#This Row],[Range_km]]</f>
        <v>0.24298245614035088</v>
      </c>
      <c r="I1942">
        <v>456</v>
      </c>
      <c r="J1942" t="s">
        <v>85</v>
      </c>
      <c r="K1942">
        <v>2</v>
      </c>
      <c r="L1942" s="1">
        <v>125182</v>
      </c>
      <c r="M1942" s="1" t="str" cm="1">
        <f t="array" ref="M19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42" t="s">
        <v>114</v>
      </c>
      <c r="O1942" t="s">
        <v>67</v>
      </c>
      <c r="P1942" s="2" t="s">
        <v>394</v>
      </c>
      <c r="Q1942">
        <v>4</v>
      </c>
      <c r="R1942" t="s">
        <v>392</v>
      </c>
      <c r="S1942" s="1">
        <f>electric_vehicles_dataset[[#This Row],[Units_Sold_2024]]*electric_vehicles_dataset[[#This Row],[Price_USD]]</f>
        <v>1247563812</v>
      </c>
      <c r="T1942">
        <v>4</v>
      </c>
      <c r="U1942">
        <v>9966</v>
      </c>
      <c r="V1942">
        <v>3</v>
      </c>
    </row>
    <row r="1943" spans="1:22" x14ac:dyDescent="0.35">
      <c r="A1943">
        <v>1942</v>
      </c>
      <c r="B1943" t="s">
        <v>243</v>
      </c>
      <c r="C1943" t="s">
        <v>371</v>
      </c>
      <c r="D1943">
        <v>2015</v>
      </c>
      <c r="E1943" t="s">
        <v>17</v>
      </c>
      <c r="F1943">
        <v>130.6</v>
      </c>
      <c r="G1943" t="s">
        <v>352</v>
      </c>
      <c r="H1943">
        <f>electric_vehicles_dataset[[#This Row],[Battery_Capacity_kWh]]/electric_vehicles_dataset[[#This Row],[Range_km]]</f>
        <v>0.51015624999999998</v>
      </c>
      <c r="I1943">
        <v>256</v>
      </c>
      <c r="J1943" t="s">
        <v>356</v>
      </c>
      <c r="K1943">
        <v>12</v>
      </c>
      <c r="L1943" s="1">
        <v>50922.82</v>
      </c>
      <c r="M1943" s="1" t="str" cm="1">
        <f t="array" ref="M194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43" t="s">
        <v>219</v>
      </c>
      <c r="O1943" t="s">
        <v>63</v>
      </c>
      <c r="P1943" s="2" t="s">
        <v>389</v>
      </c>
      <c r="Q1943">
        <v>0</v>
      </c>
      <c r="R1943" t="s">
        <v>390</v>
      </c>
      <c r="S1943" s="1">
        <f>electric_vehicles_dataset[[#This Row],[Units_Sold_2024]]*electric_vehicles_dataset[[#This Row],[Price_USD]]</f>
        <v>549966456</v>
      </c>
      <c r="T1943">
        <v>4</v>
      </c>
      <c r="U1943">
        <v>10800</v>
      </c>
      <c r="V1943">
        <v>3</v>
      </c>
    </row>
    <row r="1944" spans="1:22" x14ac:dyDescent="0.35">
      <c r="A1944">
        <v>1943</v>
      </c>
      <c r="B1944" t="s">
        <v>241</v>
      </c>
      <c r="C1944" t="s">
        <v>242</v>
      </c>
      <c r="D1944">
        <v>2020</v>
      </c>
      <c r="E1944" t="s">
        <v>47</v>
      </c>
      <c r="F1944">
        <v>109.2</v>
      </c>
      <c r="G1944" t="s">
        <v>361</v>
      </c>
      <c r="H1944">
        <f>electric_vehicles_dataset[[#This Row],[Battery_Capacity_kWh]]/electric_vehicles_dataset[[#This Row],[Range_km]]</f>
        <v>0.20721062618595826</v>
      </c>
      <c r="I1944">
        <v>527</v>
      </c>
      <c r="J1944" t="s">
        <v>85</v>
      </c>
      <c r="K1944">
        <v>6</v>
      </c>
      <c r="L1944" s="1">
        <v>114494.92</v>
      </c>
      <c r="M1944" s="1" t="str" cm="1">
        <f t="array" ref="M19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44" t="s">
        <v>114</v>
      </c>
      <c r="O1944" t="s">
        <v>107</v>
      </c>
      <c r="P1944" s="2" t="s">
        <v>394</v>
      </c>
      <c r="Q1944">
        <v>0</v>
      </c>
      <c r="R1944" t="s">
        <v>390</v>
      </c>
      <c r="S1944" s="1">
        <f>electric_vehicles_dataset[[#This Row],[Units_Sold_2024]]*electric_vehicles_dataset[[#This Row],[Price_USD]]</f>
        <v>1994043526.72</v>
      </c>
      <c r="T1944">
        <v>4</v>
      </c>
      <c r="U1944">
        <v>17416</v>
      </c>
      <c r="V1944">
        <v>5</v>
      </c>
    </row>
    <row r="1945" spans="1:22" x14ac:dyDescent="0.35">
      <c r="A1945">
        <v>1944</v>
      </c>
      <c r="B1945" t="s">
        <v>144</v>
      </c>
      <c r="C1945" t="s">
        <v>273</v>
      </c>
      <c r="D1945">
        <v>2015</v>
      </c>
      <c r="E1945" t="s">
        <v>133</v>
      </c>
      <c r="F1945">
        <v>138.1</v>
      </c>
      <c r="G1945" t="s">
        <v>352</v>
      </c>
      <c r="H1945">
        <f>electric_vehicles_dataset[[#This Row],[Battery_Capacity_kWh]]/electric_vehicles_dataset[[#This Row],[Range_km]]</f>
        <v>0.48798586572438163</v>
      </c>
      <c r="I1945">
        <v>283</v>
      </c>
      <c r="J1945" t="s">
        <v>76</v>
      </c>
      <c r="K1945">
        <v>9</v>
      </c>
      <c r="L1945" s="1">
        <v>101161.07</v>
      </c>
      <c r="M1945" s="1" t="str" cm="1">
        <f t="array" ref="M194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45" t="s">
        <v>43</v>
      </c>
      <c r="O1945" t="s">
        <v>107</v>
      </c>
      <c r="P1945" s="2" t="s">
        <v>394</v>
      </c>
      <c r="Q1945">
        <v>2</v>
      </c>
      <c r="R1945" t="s">
        <v>391</v>
      </c>
      <c r="S1945" s="1">
        <f>electric_vehicles_dataset[[#This Row],[Units_Sold_2024]]*electric_vehicles_dataset[[#This Row],[Price_USD]]</f>
        <v>729877120.05000007</v>
      </c>
      <c r="T1945">
        <v>5</v>
      </c>
      <c r="U1945">
        <v>7215</v>
      </c>
      <c r="V1945">
        <v>4</v>
      </c>
    </row>
    <row r="1946" spans="1:22" x14ac:dyDescent="0.35">
      <c r="A1946">
        <v>1945</v>
      </c>
      <c r="B1946" t="s">
        <v>136</v>
      </c>
      <c r="C1946" t="s">
        <v>137</v>
      </c>
      <c r="D1946">
        <v>2019</v>
      </c>
      <c r="E1946" t="s">
        <v>73</v>
      </c>
      <c r="F1946">
        <v>115</v>
      </c>
      <c r="G1946" t="s">
        <v>361</v>
      </c>
      <c r="H1946">
        <f>electric_vehicles_dataset[[#This Row],[Battery_Capacity_kWh]]/electric_vehicles_dataset[[#This Row],[Range_km]]</f>
        <v>0.2839506172839506</v>
      </c>
      <c r="I1946">
        <v>405</v>
      </c>
      <c r="J1946" t="s">
        <v>85</v>
      </c>
      <c r="K1946">
        <v>1</v>
      </c>
      <c r="L1946" s="1">
        <v>118374.27</v>
      </c>
      <c r="M1946" s="1" t="str" cm="1">
        <f t="array" ref="M194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46" t="s">
        <v>91</v>
      </c>
      <c r="O1946" t="s">
        <v>182</v>
      </c>
      <c r="P1946" s="2" t="s">
        <v>394</v>
      </c>
      <c r="Q1946">
        <v>2</v>
      </c>
      <c r="R1946" t="s">
        <v>391</v>
      </c>
      <c r="S1946" s="1">
        <f>electric_vehicles_dataset[[#This Row],[Units_Sold_2024]]*electric_vehicles_dataset[[#This Row],[Price_USD]]</f>
        <v>414901816.35000002</v>
      </c>
      <c r="T1946">
        <v>3</v>
      </c>
      <c r="U1946">
        <v>3505</v>
      </c>
      <c r="V1946">
        <v>5</v>
      </c>
    </row>
    <row r="1947" spans="1:22" x14ac:dyDescent="0.35">
      <c r="A1947">
        <v>1946</v>
      </c>
      <c r="B1947" t="s">
        <v>112</v>
      </c>
      <c r="C1947" t="s">
        <v>113</v>
      </c>
      <c r="D1947">
        <v>2024</v>
      </c>
      <c r="E1947" t="s">
        <v>183</v>
      </c>
      <c r="F1947">
        <v>91.3</v>
      </c>
      <c r="G1947" t="s">
        <v>350</v>
      </c>
      <c r="H1947">
        <f>electric_vehicles_dataset[[#This Row],[Battery_Capacity_kWh]]/electric_vehicles_dataset[[#This Row],[Range_km]]</f>
        <v>0.83761467889908259</v>
      </c>
      <c r="I1947">
        <v>109</v>
      </c>
      <c r="J1947" t="s">
        <v>54</v>
      </c>
      <c r="K1947">
        <v>9</v>
      </c>
      <c r="L1947" s="1">
        <v>86128.31</v>
      </c>
      <c r="M1947" s="1" t="str" cm="1">
        <f t="array" ref="M19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47" t="s">
        <v>240</v>
      </c>
      <c r="O1947" t="s">
        <v>236</v>
      </c>
      <c r="P1947" s="2" t="s">
        <v>394</v>
      </c>
      <c r="Q1947">
        <v>2</v>
      </c>
      <c r="R1947" t="s">
        <v>391</v>
      </c>
      <c r="S1947" s="1">
        <f>electric_vehicles_dataset[[#This Row],[Units_Sold_2024]]*electric_vehicles_dataset[[#This Row],[Price_USD]]</f>
        <v>1097963695.8799999</v>
      </c>
      <c r="T1947">
        <v>3</v>
      </c>
      <c r="U1947">
        <v>12748</v>
      </c>
      <c r="V1947">
        <v>3</v>
      </c>
    </row>
    <row r="1948" spans="1:22" x14ac:dyDescent="0.35">
      <c r="A1948">
        <v>1947</v>
      </c>
      <c r="B1948" t="s">
        <v>21</v>
      </c>
      <c r="C1948" t="s">
        <v>363</v>
      </c>
      <c r="D1948">
        <v>2023</v>
      </c>
      <c r="E1948" t="s">
        <v>90</v>
      </c>
      <c r="F1948">
        <v>80.400000000000006</v>
      </c>
      <c r="G1948" t="s">
        <v>350</v>
      </c>
      <c r="H1948">
        <f>electric_vehicles_dataset[[#This Row],[Battery_Capacity_kWh]]/electric_vehicles_dataset[[#This Row],[Range_km]]</f>
        <v>0.13743589743589746</v>
      </c>
      <c r="I1948">
        <v>585</v>
      </c>
      <c r="J1948" t="s">
        <v>27</v>
      </c>
      <c r="K1948">
        <v>10</v>
      </c>
      <c r="L1948" s="1">
        <v>43083.57</v>
      </c>
      <c r="M1948" s="1" t="str" cm="1">
        <f t="array" ref="M19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48" t="s">
        <v>91</v>
      </c>
      <c r="O1948" t="s">
        <v>23</v>
      </c>
      <c r="P1948" s="2" t="s">
        <v>389</v>
      </c>
      <c r="Q1948">
        <v>1</v>
      </c>
      <c r="R1948" t="s">
        <v>391</v>
      </c>
      <c r="S1948" s="1">
        <f>electric_vehicles_dataset[[#This Row],[Units_Sold_2024]]*electric_vehicles_dataset[[#This Row],[Price_USD]]</f>
        <v>530746498.82999998</v>
      </c>
      <c r="T1948">
        <v>5</v>
      </c>
      <c r="U1948">
        <v>12319</v>
      </c>
      <c r="V1948">
        <v>3</v>
      </c>
    </row>
    <row r="1949" spans="1:22" x14ac:dyDescent="0.35">
      <c r="A1949">
        <v>1948</v>
      </c>
      <c r="B1949" t="s">
        <v>79</v>
      </c>
      <c r="C1949" t="s">
        <v>151</v>
      </c>
      <c r="D1949">
        <v>2018</v>
      </c>
      <c r="E1949" t="s">
        <v>133</v>
      </c>
      <c r="F1949">
        <v>79.599999999999994</v>
      </c>
      <c r="G1949" t="s">
        <v>351</v>
      </c>
      <c r="H1949">
        <f>electric_vehicles_dataset[[#This Row],[Battery_Capacity_kWh]]/electric_vehicles_dataset[[#This Row],[Range_km]]</f>
        <v>0.17767857142857141</v>
      </c>
      <c r="I1949">
        <v>448</v>
      </c>
      <c r="J1949" t="s">
        <v>364</v>
      </c>
      <c r="K1949">
        <v>2</v>
      </c>
      <c r="L1949" s="1">
        <v>90910.48</v>
      </c>
      <c r="M1949" s="1" t="str" cm="1">
        <f t="array" ref="M194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49" t="s">
        <v>59</v>
      </c>
      <c r="O1949" t="s">
        <v>121</v>
      </c>
      <c r="P1949" s="2" t="s">
        <v>398</v>
      </c>
      <c r="Q1949">
        <v>5</v>
      </c>
      <c r="R1949" t="s">
        <v>392</v>
      </c>
      <c r="S1949" s="1">
        <f>electric_vehicles_dataset[[#This Row],[Units_Sold_2024]]*electric_vehicles_dataset[[#This Row],[Price_USD]]</f>
        <v>836376416</v>
      </c>
      <c r="T1949">
        <v>4</v>
      </c>
      <c r="U1949">
        <v>9200</v>
      </c>
      <c r="V1949">
        <v>4</v>
      </c>
    </row>
    <row r="1950" spans="1:22" x14ac:dyDescent="0.35">
      <c r="A1950">
        <v>1949</v>
      </c>
      <c r="B1950" t="s">
        <v>184</v>
      </c>
      <c r="C1950" t="s">
        <v>185</v>
      </c>
      <c r="D1950">
        <v>2018</v>
      </c>
      <c r="E1950" t="s">
        <v>17</v>
      </c>
      <c r="F1950">
        <v>128.80000000000001</v>
      </c>
      <c r="G1950" t="s">
        <v>352</v>
      </c>
      <c r="H1950">
        <f>electric_vehicles_dataset[[#This Row],[Battery_Capacity_kWh]]/electric_vehicles_dataset[[#This Row],[Range_km]]</f>
        <v>0.3149144254278729</v>
      </c>
      <c r="I1950">
        <v>409</v>
      </c>
      <c r="J1950" t="s">
        <v>356</v>
      </c>
      <c r="K1950">
        <v>7</v>
      </c>
      <c r="L1950" s="1">
        <v>133236</v>
      </c>
      <c r="M1950" s="1" t="str" cm="1">
        <f t="array" ref="M195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50" t="s">
        <v>160</v>
      </c>
      <c r="O1950" t="s">
        <v>150</v>
      </c>
      <c r="P1950" s="2" t="s">
        <v>389</v>
      </c>
      <c r="Q1950">
        <v>5</v>
      </c>
      <c r="R1950" t="s">
        <v>392</v>
      </c>
      <c r="S1950" s="1">
        <f>electric_vehicles_dataset[[#This Row],[Units_Sold_2024]]*electric_vehicles_dataset[[#This Row],[Price_USD]]</f>
        <v>212244948</v>
      </c>
      <c r="T1950">
        <v>4</v>
      </c>
      <c r="U1950">
        <v>1593</v>
      </c>
      <c r="V1950">
        <v>3</v>
      </c>
    </row>
    <row r="1951" spans="1:22" x14ac:dyDescent="0.35">
      <c r="A1951">
        <v>1950</v>
      </c>
      <c r="B1951" t="s">
        <v>192</v>
      </c>
      <c r="C1951" t="s">
        <v>366</v>
      </c>
      <c r="D1951">
        <v>2025</v>
      </c>
      <c r="E1951" t="s">
        <v>130</v>
      </c>
      <c r="F1951">
        <v>117.3</v>
      </c>
      <c r="G1951" t="s">
        <v>361</v>
      </c>
      <c r="H1951">
        <f>electric_vehicles_dataset[[#This Row],[Battery_Capacity_kWh]]/electric_vehicles_dataset[[#This Row],[Range_km]]</f>
        <v>0.21288566243194193</v>
      </c>
      <c r="I1951">
        <v>551</v>
      </c>
      <c r="J1951" t="s">
        <v>149</v>
      </c>
      <c r="K1951">
        <v>11</v>
      </c>
      <c r="L1951" s="1">
        <v>47464.06</v>
      </c>
      <c r="M1951" s="1" t="str" cm="1">
        <f t="array" ref="M195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51" t="s">
        <v>165</v>
      </c>
      <c r="O1951" t="s">
        <v>354</v>
      </c>
      <c r="P1951" s="2" t="s">
        <v>394</v>
      </c>
      <c r="Q1951">
        <v>4</v>
      </c>
      <c r="R1951" t="s">
        <v>392</v>
      </c>
      <c r="S1951" s="1">
        <f>electric_vehicles_dataset[[#This Row],[Units_Sold_2024]]*electric_vehicles_dataset[[#This Row],[Price_USD]]</f>
        <v>401545947.59999996</v>
      </c>
      <c r="T1951">
        <v>5</v>
      </c>
      <c r="U1951">
        <v>8460</v>
      </c>
      <c r="V1951">
        <v>3</v>
      </c>
    </row>
    <row r="1952" spans="1:22" x14ac:dyDescent="0.35">
      <c r="A1952">
        <v>1951</v>
      </c>
      <c r="B1952" t="s">
        <v>261</v>
      </c>
      <c r="C1952" t="s">
        <v>278</v>
      </c>
      <c r="D1952">
        <v>2021</v>
      </c>
      <c r="E1952" t="s">
        <v>17</v>
      </c>
      <c r="F1952">
        <v>51.6</v>
      </c>
      <c r="G1952" t="s">
        <v>348</v>
      </c>
      <c r="H1952">
        <f>electric_vehicles_dataset[[#This Row],[Battery_Capacity_kWh]]/electric_vehicles_dataset[[#This Row],[Range_km]]</f>
        <v>0.11120689655172414</v>
      </c>
      <c r="I1952">
        <v>464</v>
      </c>
      <c r="J1952" t="s">
        <v>76</v>
      </c>
      <c r="K1952">
        <v>8</v>
      </c>
      <c r="L1952" s="1">
        <v>86431.679999999993</v>
      </c>
      <c r="M1952" s="1" t="str" cm="1">
        <f t="array" ref="M195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52" t="s">
        <v>214</v>
      </c>
      <c r="O1952" t="s">
        <v>167</v>
      </c>
      <c r="P1952" s="2" t="s">
        <v>394</v>
      </c>
      <c r="Q1952">
        <v>4</v>
      </c>
      <c r="R1952" t="s">
        <v>392</v>
      </c>
      <c r="S1952" s="1">
        <f>electric_vehicles_dataset[[#This Row],[Units_Sold_2024]]*electric_vehicles_dataset[[#This Row],[Price_USD]]</f>
        <v>841671699.83999991</v>
      </c>
      <c r="T1952">
        <v>5</v>
      </c>
      <c r="U1952">
        <v>9738</v>
      </c>
      <c r="V1952">
        <v>4</v>
      </c>
    </row>
    <row r="1953" spans="1:22" x14ac:dyDescent="0.35">
      <c r="A1953">
        <v>1952</v>
      </c>
      <c r="B1953" t="s">
        <v>56</v>
      </c>
      <c r="C1953" t="s">
        <v>57</v>
      </c>
      <c r="D1953">
        <v>2025</v>
      </c>
      <c r="E1953" t="s">
        <v>53</v>
      </c>
      <c r="F1953">
        <v>103.5</v>
      </c>
      <c r="G1953" t="s">
        <v>361</v>
      </c>
      <c r="H1953">
        <f>electric_vehicles_dataset[[#This Row],[Battery_Capacity_kWh]]/electric_vehicles_dataset[[#This Row],[Range_km]]</f>
        <v>0.45196506550218341</v>
      </c>
      <c r="I1953">
        <v>229</v>
      </c>
      <c r="J1953" t="s">
        <v>54</v>
      </c>
      <c r="K1953">
        <v>4</v>
      </c>
      <c r="L1953" s="1">
        <v>131999.88</v>
      </c>
      <c r="M1953" s="1" t="str" cm="1">
        <f t="array" ref="M19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53" t="s">
        <v>210</v>
      </c>
      <c r="O1953" t="s">
        <v>236</v>
      </c>
      <c r="P1953" s="2" t="s">
        <v>394</v>
      </c>
      <c r="Q1953">
        <v>1</v>
      </c>
      <c r="R1953" t="s">
        <v>391</v>
      </c>
      <c r="S1953" s="1">
        <f>electric_vehicles_dataset[[#This Row],[Units_Sold_2024]]*electric_vehicles_dataset[[#This Row],[Price_USD]]</f>
        <v>1485130649.8800001</v>
      </c>
      <c r="T1953">
        <v>5</v>
      </c>
      <c r="U1953">
        <v>11251</v>
      </c>
      <c r="V1953">
        <v>4</v>
      </c>
    </row>
    <row r="1954" spans="1:22" x14ac:dyDescent="0.35">
      <c r="A1954">
        <v>1953</v>
      </c>
      <c r="B1954" t="s">
        <v>224</v>
      </c>
      <c r="C1954" t="s">
        <v>297</v>
      </c>
      <c r="D1954">
        <v>2019</v>
      </c>
      <c r="E1954" t="s">
        <v>183</v>
      </c>
      <c r="F1954">
        <v>78.8</v>
      </c>
      <c r="G1954" t="s">
        <v>351</v>
      </c>
      <c r="H1954">
        <f>electric_vehicles_dataset[[#This Row],[Battery_Capacity_kWh]]/electric_vehicles_dataset[[#This Row],[Range_km]]</f>
        <v>0.28042704626334519</v>
      </c>
      <c r="I1954">
        <v>281</v>
      </c>
      <c r="J1954" t="s">
        <v>48</v>
      </c>
      <c r="K1954">
        <v>8</v>
      </c>
      <c r="L1954" s="1">
        <v>33719.11</v>
      </c>
      <c r="M1954" s="1" t="str" cm="1">
        <f t="array" ref="M19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54" t="s">
        <v>271</v>
      </c>
      <c r="O1954" t="s">
        <v>161</v>
      </c>
      <c r="P1954" s="2" t="s">
        <v>389</v>
      </c>
      <c r="Q1954">
        <v>4</v>
      </c>
      <c r="R1954" t="s">
        <v>392</v>
      </c>
      <c r="S1954" s="1">
        <f>electric_vehicles_dataset[[#This Row],[Units_Sold_2024]]*electric_vehicles_dataset[[#This Row],[Price_USD]]</f>
        <v>569819239.88999999</v>
      </c>
      <c r="T1954">
        <v>5</v>
      </c>
      <c r="U1954">
        <v>16899</v>
      </c>
      <c r="V1954">
        <v>4</v>
      </c>
    </row>
    <row r="1955" spans="1:22" x14ac:dyDescent="0.35">
      <c r="A1955">
        <v>1954</v>
      </c>
      <c r="B1955" t="s">
        <v>16</v>
      </c>
      <c r="C1955" t="s">
        <v>347</v>
      </c>
      <c r="D1955">
        <v>2022</v>
      </c>
      <c r="E1955" t="s">
        <v>183</v>
      </c>
      <c r="F1955">
        <v>98.8</v>
      </c>
      <c r="G1955" t="s">
        <v>350</v>
      </c>
      <c r="H1955">
        <f>electric_vehicles_dataset[[#This Row],[Battery_Capacity_kWh]]/electric_vehicles_dataset[[#This Row],[Range_km]]</f>
        <v>0.1976</v>
      </c>
      <c r="I1955">
        <v>500</v>
      </c>
      <c r="J1955" t="s">
        <v>358</v>
      </c>
      <c r="K1955">
        <v>5</v>
      </c>
      <c r="L1955" s="1">
        <v>132608.64000000001</v>
      </c>
      <c r="M1955" s="1" t="str" cm="1">
        <f t="array" ref="M195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55" t="s">
        <v>172</v>
      </c>
      <c r="O1955" t="s">
        <v>206</v>
      </c>
      <c r="P1955" s="2" t="s">
        <v>394</v>
      </c>
      <c r="Q1955">
        <v>5</v>
      </c>
      <c r="R1955" t="s">
        <v>392</v>
      </c>
      <c r="S1955" s="1">
        <f>electric_vehicles_dataset[[#This Row],[Units_Sold_2024]]*electric_vehicles_dataset[[#This Row],[Price_USD]]</f>
        <v>312956390.40000004</v>
      </c>
      <c r="T1955">
        <v>5</v>
      </c>
      <c r="U1955">
        <v>2360</v>
      </c>
      <c r="V1955">
        <v>4</v>
      </c>
    </row>
    <row r="1956" spans="1:22" x14ac:dyDescent="0.35">
      <c r="A1956">
        <v>1955</v>
      </c>
      <c r="B1956" t="s">
        <v>173</v>
      </c>
      <c r="C1956" t="s">
        <v>306</v>
      </c>
      <c r="D1956">
        <v>2019</v>
      </c>
      <c r="E1956" t="s">
        <v>26</v>
      </c>
      <c r="F1956">
        <v>48.4</v>
      </c>
      <c r="G1956" t="s">
        <v>348</v>
      </c>
      <c r="H1956">
        <f>electric_vehicles_dataset[[#This Row],[Battery_Capacity_kWh]]/electric_vehicles_dataset[[#This Row],[Range_km]]</f>
        <v>0.18906249999999999</v>
      </c>
      <c r="I1956">
        <v>256</v>
      </c>
      <c r="J1956" t="s">
        <v>27</v>
      </c>
      <c r="K1956">
        <v>6</v>
      </c>
      <c r="L1956" s="1">
        <v>144629.42000000001</v>
      </c>
      <c r="M1956" s="1" t="str" cm="1">
        <f t="array" ref="M195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56" t="s">
        <v>205</v>
      </c>
      <c r="O1956" t="s">
        <v>67</v>
      </c>
      <c r="P1956" s="2" t="s">
        <v>394</v>
      </c>
      <c r="Q1956">
        <v>5</v>
      </c>
      <c r="R1956" t="s">
        <v>392</v>
      </c>
      <c r="S1956" s="1">
        <f>electric_vehicles_dataset[[#This Row],[Units_Sold_2024]]*electric_vehicles_dataset[[#This Row],[Price_USD]]</f>
        <v>2206900319.7800002</v>
      </c>
      <c r="T1956">
        <v>4</v>
      </c>
      <c r="U1956">
        <v>15259</v>
      </c>
      <c r="V1956">
        <v>4</v>
      </c>
    </row>
    <row r="1957" spans="1:22" x14ac:dyDescent="0.35">
      <c r="A1957">
        <v>1956</v>
      </c>
      <c r="B1957" t="s">
        <v>184</v>
      </c>
      <c r="C1957" t="s">
        <v>213</v>
      </c>
      <c r="D1957">
        <v>2020</v>
      </c>
      <c r="E1957" t="s">
        <v>73</v>
      </c>
      <c r="F1957">
        <v>23.3</v>
      </c>
      <c r="G1957" t="s">
        <v>357</v>
      </c>
      <c r="H1957">
        <f>electric_vehicles_dataset[[#This Row],[Battery_Capacity_kWh]]/electric_vehicles_dataset[[#This Row],[Range_km]]</f>
        <v>5.5476190476190478E-2</v>
      </c>
      <c r="I1957">
        <v>420</v>
      </c>
      <c r="J1957" t="s">
        <v>76</v>
      </c>
      <c r="K1957">
        <v>6</v>
      </c>
      <c r="L1957" s="1">
        <v>94152.18</v>
      </c>
      <c r="M1957" s="1" t="str" cm="1">
        <f t="array" ref="M195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57" t="s">
        <v>28</v>
      </c>
      <c r="O1957" t="s">
        <v>167</v>
      </c>
      <c r="P1957" s="2" t="s">
        <v>394</v>
      </c>
      <c r="Q1957">
        <v>1</v>
      </c>
      <c r="R1957" t="s">
        <v>391</v>
      </c>
      <c r="S1957" s="1">
        <f>electric_vehicles_dataset[[#This Row],[Units_Sold_2024]]*electric_vehicles_dataset[[#This Row],[Price_USD]]</f>
        <v>871566730.25999999</v>
      </c>
      <c r="T1957">
        <v>4</v>
      </c>
      <c r="U1957">
        <v>9257</v>
      </c>
      <c r="V1957">
        <v>3</v>
      </c>
    </row>
    <row r="1958" spans="1:22" x14ac:dyDescent="0.35">
      <c r="A1958">
        <v>1957</v>
      </c>
      <c r="B1958" t="s">
        <v>87</v>
      </c>
      <c r="C1958" t="s">
        <v>191</v>
      </c>
      <c r="D1958">
        <v>2021</v>
      </c>
      <c r="E1958" t="s">
        <v>90</v>
      </c>
      <c r="F1958">
        <v>96.4</v>
      </c>
      <c r="G1958" t="s">
        <v>350</v>
      </c>
      <c r="H1958">
        <f>electric_vehicles_dataset[[#This Row],[Battery_Capacity_kWh]]/electric_vehicles_dataset[[#This Row],[Range_km]]</f>
        <v>0.35182481751824818</v>
      </c>
      <c r="I1958">
        <v>274</v>
      </c>
      <c r="J1958" t="s">
        <v>18</v>
      </c>
      <c r="K1958">
        <v>12</v>
      </c>
      <c r="L1958" s="1">
        <v>69963.679999999993</v>
      </c>
      <c r="M1958" s="1" t="str" cm="1">
        <f t="array" ref="M195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58" t="s">
        <v>168</v>
      </c>
      <c r="O1958" t="s">
        <v>95</v>
      </c>
      <c r="P1958" s="2" t="s">
        <v>394</v>
      </c>
      <c r="Q1958">
        <v>1</v>
      </c>
      <c r="R1958" t="s">
        <v>391</v>
      </c>
      <c r="S1958" s="1">
        <f>electric_vehicles_dataset[[#This Row],[Units_Sold_2024]]*electric_vehicles_dataset[[#This Row],[Price_USD]]</f>
        <v>900012779.51999986</v>
      </c>
      <c r="T1958">
        <v>3</v>
      </c>
      <c r="U1958">
        <v>12864</v>
      </c>
      <c r="V1958">
        <v>4</v>
      </c>
    </row>
    <row r="1959" spans="1:22" x14ac:dyDescent="0.35">
      <c r="A1959">
        <v>1958</v>
      </c>
      <c r="B1959" t="s">
        <v>112</v>
      </c>
      <c r="C1959" t="s">
        <v>138</v>
      </c>
      <c r="D1959">
        <v>2022</v>
      </c>
      <c r="E1959" t="s">
        <v>31</v>
      </c>
      <c r="F1959">
        <v>60.8</v>
      </c>
      <c r="G1959" t="s">
        <v>351</v>
      </c>
      <c r="H1959">
        <f>electric_vehicles_dataset[[#This Row],[Battery_Capacity_kWh]]/electric_vehicles_dataset[[#This Row],[Range_km]]</f>
        <v>0.13724604966139956</v>
      </c>
      <c r="I1959">
        <v>443</v>
      </c>
      <c r="J1959" t="s">
        <v>38</v>
      </c>
      <c r="K1959">
        <v>10</v>
      </c>
      <c r="L1959" s="1">
        <v>64169.22</v>
      </c>
      <c r="M1959" s="1" t="str" cm="1">
        <f t="array" ref="M195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59" t="s">
        <v>172</v>
      </c>
      <c r="O1959" t="s">
        <v>44</v>
      </c>
      <c r="P1959" s="2" t="s">
        <v>389</v>
      </c>
      <c r="Q1959">
        <v>5</v>
      </c>
      <c r="R1959" t="s">
        <v>392</v>
      </c>
      <c r="S1959" s="1">
        <f>electric_vehicles_dataset[[#This Row],[Units_Sold_2024]]*electric_vehicles_dataset[[#This Row],[Price_USD]]</f>
        <v>516562221</v>
      </c>
      <c r="T1959">
        <v>3</v>
      </c>
      <c r="U1959">
        <v>8050</v>
      </c>
      <c r="V1959">
        <v>4</v>
      </c>
    </row>
    <row r="1960" spans="1:22" x14ac:dyDescent="0.35">
      <c r="A1960">
        <v>1959</v>
      </c>
      <c r="B1960" t="s">
        <v>173</v>
      </c>
      <c r="C1960" t="s">
        <v>174</v>
      </c>
      <c r="D1960">
        <v>2016</v>
      </c>
      <c r="E1960" t="s">
        <v>133</v>
      </c>
      <c r="F1960">
        <v>75.099999999999994</v>
      </c>
      <c r="G1960" t="s">
        <v>351</v>
      </c>
      <c r="H1960">
        <f>electric_vehicles_dataset[[#This Row],[Battery_Capacity_kWh]]/electric_vehicles_dataset[[#This Row],[Range_km]]</f>
        <v>0.18184019370460047</v>
      </c>
      <c r="I1960">
        <v>413</v>
      </c>
      <c r="J1960" t="s">
        <v>38</v>
      </c>
      <c r="K1960">
        <v>11</v>
      </c>
      <c r="L1960" s="1">
        <v>100219.21</v>
      </c>
      <c r="M1960" s="1" t="str" cm="1">
        <f t="array" ref="M196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60" t="s">
        <v>66</v>
      </c>
      <c r="O1960" t="s">
        <v>202</v>
      </c>
      <c r="P1960" s="2" t="s">
        <v>393</v>
      </c>
      <c r="Q1960">
        <v>2</v>
      </c>
      <c r="R1960" t="s">
        <v>391</v>
      </c>
      <c r="S1960" s="1">
        <f>electric_vehicles_dataset[[#This Row],[Units_Sold_2024]]*electric_vehicles_dataset[[#This Row],[Price_USD]]</f>
        <v>488568648.75000006</v>
      </c>
      <c r="T1960">
        <v>3</v>
      </c>
      <c r="U1960">
        <v>4875</v>
      </c>
      <c r="V1960">
        <v>3</v>
      </c>
    </row>
    <row r="1961" spans="1:22" x14ac:dyDescent="0.35">
      <c r="A1961">
        <v>1960</v>
      </c>
      <c r="B1961" t="s">
        <v>108</v>
      </c>
      <c r="C1961" t="s">
        <v>325</v>
      </c>
      <c r="D1961">
        <v>2016</v>
      </c>
      <c r="E1961" t="s">
        <v>130</v>
      </c>
      <c r="F1961">
        <v>52.7</v>
      </c>
      <c r="G1961" t="s">
        <v>348</v>
      </c>
      <c r="H1961">
        <f>electric_vehicles_dataset[[#This Row],[Battery_Capacity_kWh]]/electric_vehicles_dataset[[#This Row],[Range_km]]</f>
        <v>0.26482412060301508</v>
      </c>
      <c r="I1961">
        <v>199</v>
      </c>
      <c r="J1961" t="s">
        <v>358</v>
      </c>
      <c r="K1961">
        <v>12</v>
      </c>
      <c r="L1961" s="1">
        <v>61856.27</v>
      </c>
      <c r="M1961" s="1" t="str" cm="1">
        <f t="array" ref="M196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61" t="s">
        <v>81</v>
      </c>
      <c r="O1961" t="s">
        <v>33</v>
      </c>
      <c r="P1961" s="2" t="s">
        <v>393</v>
      </c>
      <c r="Q1961">
        <v>3</v>
      </c>
      <c r="R1961" t="s">
        <v>397</v>
      </c>
      <c r="S1961" s="1">
        <f>electric_vehicles_dataset[[#This Row],[Units_Sold_2024]]*electric_vehicles_dataset[[#This Row],[Price_USD]]</f>
        <v>218414489.36999997</v>
      </c>
      <c r="T1961">
        <v>3</v>
      </c>
      <c r="U1961">
        <v>3531</v>
      </c>
      <c r="V1961">
        <v>5</v>
      </c>
    </row>
    <row r="1962" spans="1:22" x14ac:dyDescent="0.35">
      <c r="A1962">
        <v>1961</v>
      </c>
      <c r="B1962" t="s">
        <v>261</v>
      </c>
      <c r="C1962" t="s">
        <v>372</v>
      </c>
      <c r="D1962">
        <v>2025</v>
      </c>
      <c r="E1962" t="s">
        <v>90</v>
      </c>
      <c r="F1962">
        <v>32.1</v>
      </c>
      <c r="G1962" t="s">
        <v>357</v>
      </c>
      <c r="H1962">
        <f>electric_vehicles_dataset[[#This Row],[Battery_Capacity_kWh]]/electric_vehicles_dataset[[#This Row],[Range_km]]</f>
        <v>7.5529411764705887E-2</v>
      </c>
      <c r="I1962">
        <v>425</v>
      </c>
      <c r="J1962" t="s">
        <v>18</v>
      </c>
      <c r="K1962">
        <v>6</v>
      </c>
      <c r="L1962" s="1">
        <v>117890.29</v>
      </c>
      <c r="M1962" s="1" t="str" cm="1">
        <f t="array" ref="M196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62" t="s">
        <v>81</v>
      </c>
      <c r="O1962" t="s">
        <v>115</v>
      </c>
      <c r="P1962" s="2" t="s">
        <v>396</v>
      </c>
      <c r="Q1962">
        <v>2</v>
      </c>
      <c r="R1962" t="s">
        <v>391</v>
      </c>
      <c r="S1962" s="1">
        <f>electric_vehicles_dataset[[#This Row],[Units_Sold_2024]]*electric_vehicles_dataset[[#This Row],[Price_USD]]</f>
        <v>594167061.60000002</v>
      </c>
      <c r="T1962">
        <v>3</v>
      </c>
      <c r="U1962">
        <v>5040</v>
      </c>
      <c r="V1962">
        <v>3</v>
      </c>
    </row>
    <row r="1963" spans="1:22" x14ac:dyDescent="0.35">
      <c r="A1963">
        <v>1962</v>
      </c>
      <c r="B1963" t="s">
        <v>153</v>
      </c>
      <c r="C1963" t="s">
        <v>178</v>
      </c>
      <c r="D1963">
        <v>2025</v>
      </c>
      <c r="E1963" t="s">
        <v>17</v>
      </c>
      <c r="F1963">
        <v>102.2</v>
      </c>
      <c r="G1963" t="s">
        <v>361</v>
      </c>
      <c r="H1963">
        <f>electric_vehicles_dataset[[#This Row],[Battery_Capacity_kWh]]/electric_vehicles_dataset[[#This Row],[Range_km]]</f>
        <v>0.35734265734265735</v>
      </c>
      <c r="I1963">
        <v>286</v>
      </c>
      <c r="J1963" t="s">
        <v>34</v>
      </c>
      <c r="K1963">
        <v>4</v>
      </c>
      <c r="L1963" s="1">
        <v>80309.56</v>
      </c>
      <c r="M1963" s="1" t="str" cm="1">
        <f t="array" ref="M196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63" t="s">
        <v>35</v>
      </c>
      <c r="O1963" t="s">
        <v>202</v>
      </c>
      <c r="P1963" s="2" t="s">
        <v>393</v>
      </c>
      <c r="Q1963">
        <v>0</v>
      </c>
      <c r="R1963" t="s">
        <v>390</v>
      </c>
      <c r="S1963" s="1">
        <f>electric_vehicles_dataset[[#This Row],[Units_Sold_2024]]*electric_vehicles_dataset[[#This Row],[Price_USD]]</f>
        <v>894969736.63999999</v>
      </c>
      <c r="T1963">
        <v>4</v>
      </c>
      <c r="U1963">
        <v>11144</v>
      </c>
      <c r="V1963">
        <v>5</v>
      </c>
    </row>
    <row r="1964" spans="1:22" x14ac:dyDescent="0.35">
      <c r="A1964">
        <v>1963</v>
      </c>
      <c r="B1964" t="s">
        <v>313</v>
      </c>
      <c r="C1964" t="s">
        <v>314</v>
      </c>
      <c r="D1964">
        <v>2017</v>
      </c>
      <c r="E1964" t="s">
        <v>42</v>
      </c>
      <c r="F1964">
        <v>47.6</v>
      </c>
      <c r="G1964" t="s">
        <v>348</v>
      </c>
      <c r="H1964">
        <f>electric_vehicles_dataset[[#This Row],[Battery_Capacity_kWh]]/electric_vehicles_dataset[[#This Row],[Range_km]]</f>
        <v>0.17629629629629631</v>
      </c>
      <c r="I1964">
        <v>270</v>
      </c>
      <c r="J1964" t="s">
        <v>358</v>
      </c>
      <c r="K1964">
        <v>1</v>
      </c>
      <c r="L1964" s="1">
        <v>89810.28</v>
      </c>
      <c r="M1964" s="1" t="str" cm="1">
        <f t="array" ref="M196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64" t="s">
        <v>168</v>
      </c>
      <c r="O1964" t="s">
        <v>107</v>
      </c>
      <c r="P1964" s="2" t="s">
        <v>394</v>
      </c>
      <c r="Q1964">
        <v>5</v>
      </c>
      <c r="R1964" t="s">
        <v>392</v>
      </c>
      <c r="S1964" s="1">
        <f>electric_vehicles_dataset[[#This Row],[Units_Sold_2024]]*electric_vehicles_dataset[[#This Row],[Price_USD]]</f>
        <v>402799105.80000001</v>
      </c>
      <c r="T1964">
        <v>3</v>
      </c>
      <c r="U1964">
        <v>4485</v>
      </c>
      <c r="V1964">
        <v>4</v>
      </c>
    </row>
    <row r="1965" spans="1:22" x14ac:dyDescent="0.35">
      <c r="A1965">
        <v>1964</v>
      </c>
      <c r="B1965" t="s">
        <v>125</v>
      </c>
      <c r="C1965" t="s">
        <v>291</v>
      </c>
      <c r="D1965">
        <v>2024</v>
      </c>
      <c r="E1965" t="s">
        <v>17</v>
      </c>
      <c r="F1965">
        <v>98.1</v>
      </c>
      <c r="G1965" t="s">
        <v>350</v>
      </c>
      <c r="H1965">
        <f>electric_vehicles_dataset[[#This Row],[Battery_Capacity_kWh]]/electric_vehicles_dataset[[#This Row],[Range_km]]</f>
        <v>0.41923076923076918</v>
      </c>
      <c r="I1965">
        <v>234</v>
      </c>
      <c r="J1965" t="s">
        <v>358</v>
      </c>
      <c r="K1965">
        <v>1</v>
      </c>
      <c r="L1965" s="1">
        <v>92345.83</v>
      </c>
      <c r="M1965" s="1" t="str" cm="1">
        <f t="array" ref="M196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65" t="s">
        <v>35</v>
      </c>
      <c r="O1965" t="s">
        <v>78</v>
      </c>
      <c r="P1965" s="2" t="s">
        <v>389</v>
      </c>
      <c r="Q1965">
        <v>3</v>
      </c>
      <c r="R1965" t="s">
        <v>397</v>
      </c>
      <c r="S1965" s="1">
        <f>electric_vehicles_dataset[[#This Row],[Units_Sold_2024]]*electric_vehicles_dataset[[#This Row],[Price_USD]]</f>
        <v>1283237653.6800001</v>
      </c>
      <c r="T1965">
        <v>3</v>
      </c>
      <c r="U1965">
        <v>13896</v>
      </c>
      <c r="V1965">
        <v>5</v>
      </c>
    </row>
    <row r="1966" spans="1:22" x14ac:dyDescent="0.35">
      <c r="A1966">
        <v>1965</v>
      </c>
      <c r="B1966" t="s">
        <v>144</v>
      </c>
      <c r="C1966" t="s">
        <v>273</v>
      </c>
      <c r="D1966">
        <v>2025</v>
      </c>
      <c r="E1966" t="s">
        <v>101</v>
      </c>
      <c r="F1966">
        <v>39.5</v>
      </c>
      <c r="G1966" t="s">
        <v>357</v>
      </c>
      <c r="H1966">
        <f>electric_vehicles_dataset[[#This Row],[Battery_Capacity_kWh]]/electric_vehicles_dataset[[#This Row],[Range_km]]</f>
        <v>0.10180412371134021</v>
      </c>
      <c r="I1966">
        <v>388</v>
      </c>
      <c r="J1966" t="s">
        <v>345</v>
      </c>
      <c r="K1966">
        <v>5</v>
      </c>
      <c r="L1966" s="1">
        <v>70459.039999999994</v>
      </c>
      <c r="M1966" s="1" t="str" cm="1">
        <f t="array" ref="M196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66" t="s">
        <v>301</v>
      </c>
      <c r="O1966" t="s">
        <v>164</v>
      </c>
      <c r="P1966" s="2" t="s">
        <v>394</v>
      </c>
      <c r="Q1966">
        <v>3</v>
      </c>
      <c r="R1966" t="s">
        <v>397</v>
      </c>
      <c r="S1966" s="1">
        <f>electric_vehicles_dataset[[#This Row],[Units_Sold_2024]]*electric_vehicles_dataset[[#This Row],[Price_USD]]</f>
        <v>1067172619.8399999</v>
      </c>
      <c r="T1966">
        <v>4</v>
      </c>
      <c r="U1966">
        <v>15146</v>
      </c>
      <c r="V1966">
        <v>3</v>
      </c>
    </row>
    <row r="1967" spans="1:22" x14ac:dyDescent="0.35">
      <c r="A1967">
        <v>1966</v>
      </c>
      <c r="B1967" t="s">
        <v>259</v>
      </c>
      <c r="C1967" t="s">
        <v>311</v>
      </c>
      <c r="D1967">
        <v>2020</v>
      </c>
      <c r="E1967" t="s">
        <v>73</v>
      </c>
      <c r="F1967">
        <v>34</v>
      </c>
      <c r="G1967" t="s">
        <v>357</v>
      </c>
      <c r="H1967">
        <f>electric_vehicles_dataset[[#This Row],[Battery_Capacity_kWh]]/electric_vehicles_dataset[[#This Row],[Range_km]]</f>
        <v>0.2857142857142857</v>
      </c>
      <c r="I1967">
        <v>119</v>
      </c>
      <c r="J1967" t="s">
        <v>27</v>
      </c>
      <c r="K1967">
        <v>3</v>
      </c>
      <c r="L1967" s="1">
        <v>131801.21</v>
      </c>
      <c r="M1967" s="1" t="str" cm="1">
        <f t="array" ref="M196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67" t="s">
        <v>189</v>
      </c>
      <c r="O1967" t="s">
        <v>111</v>
      </c>
      <c r="P1967" s="2" t="s">
        <v>389</v>
      </c>
      <c r="Q1967">
        <v>3</v>
      </c>
      <c r="R1967" t="s">
        <v>397</v>
      </c>
      <c r="S1967" s="1">
        <f>electric_vehicles_dataset[[#This Row],[Units_Sold_2024]]*electric_vehicles_dataset[[#This Row],[Price_USD]]</f>
        <v>494518139.91999996</v>
      </c>
      <c r="T1967">
        <v>3</v>
      </c>
      <c r="U1967">
        <v>3752</v>
      </c>
      <c r="V1967">
        <v>4</v>
      </c>
    </row>
    <row r="1968" spans="1:22" x14ac:dyDescent="0.35">
      <c r="A1968">
        <v>1967</v>
      </c>
      <c r="B1968" t="s">
        <v>120</v>
      </c>
      <c r="C1968" t="s">
        <v>252</v>
      </c>
      <c r="D1968">
        <v>2023</v>
      </c>
      <c r="E1968" t="s">
        <v>73</v>
      </c>
      <c r="F1968">
        <v>45.2</v>
      </c>
      <c r="G1968" t="s">
        <v>348</v>
      </c>
      <c r="H1968">
        <f>electric_vehicles_dataset[[#This Row],[Battery_Capacity_kWh]]/electric_vehicles_dataset[[#This Row],[Range_km]]</f>
        <v>0.20452488687782808</v>
      </c>
      <c r="I1968">
        <v>221</v>
      </c>
      <c r="J1968" t="s">
        <v>353</v>
      </c>
      <c r="K1968">
        <v>7</v>
      </c>
      <c r="L1968" s="1">
        <v>106223.17</v>
      </c>
      <c r="M1968" s="1" t="str" cm="1">
        <f t="array" ref="M196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68" t="s">
        <v>142</v>
      </c>
      <c r="O1968" t="s">
        <v>92</v>
      </c>
      <c r="P1968" s="2" t="s">
        <v>394</v>
      </c>
      <c r="Q1968">
        <v>1</v>
      </c>
      <c r="R1968" t="s">
        <v>391</v>
      </c>
      <c r="S1968" s="1">
        <f>electric_vehicles_dataset[[#This Row],[Units_Sold_2024]]*electric_vehicles_dataset[[#This Row],[Price_USD]]</f>
        <v>2121064258.5599999</v>
      </c>
      <c r="T1968">
        <v>5</v>
      </c>
      <c r="U1968">
        <v>19968</v>
      </c>
      <c r="V1968">
        <v>3</v>
      </c>
    </row>
    <row r="1969" spans="1:22" x14ac:dyDescent="0.35">
      <c r="A1969">
        <v>1968</v>
      </c>
      <c r="B1969" t="s">
        <v>64</v>
      </c>
      <c r="C1969" t="s">
        <v>65</v>
      </c>
      <c r="D1969">
        <v>2020</v>
      </c>
      <c r="E1969" t="s">
        <v>31</v>
      </c>
      <c r="F1969">
        <v>23.2</v>
      </c>
      <c r="G1969" t="s">
        <v>357</v>
      </c>
      <c r="H1969">
        <f>electric_vehicles_dataset[[#This Row],[Battery_Capacity_kWh]]/electric_vehicles_dataset[[#This Row],[Range_km]]</f>
        <v>0.16223776223776223</v>
      </c>
      <c r="I1969">
        <v>143</v>
      </c>
      <c r="J1969" t="s">
        <v>85</v>
      </c>
      <c r="K1969">
        <v>3</v>
      </c>
      <c r="L1969" s="1">
        <v>80148.36</v>
      </c>
      <c r="M1969" s="1" t="str" cm="1">
        <f t="array" ref="M19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69" t="s">
        <v>279</v>
      </c>
      <c r="O1969" t="s">
        <v>354</v>
      </c>
      <c r="P1969" s="2" t="s">
        <v>394</v>
      </c>
      <c r="Q1969">
        <v>1</v>
      </c>
      <c r="R1969" t="s">
        <v>391</v>
      </c>
      <c r="S1969" s="1">
        <f>electric_vehicles_dataset[[#This Row],[Units_Sold_2024]]*electric_vehicles_dataset[[#This Row],[Price_USD]]</f>
        <v>1167280715.04</v>
      </c>
      <c r="T1969">
        <v>4</v>
      </c>
      <c r="U1969">
        <v>14564</v>
      </c>
      <c r="V1969">
        <v>5</v>
      </c>
    </row>
    <row r="1970" spans="1:22" x14ac:dyDescent="0.35">
      <c r="A1970">
        <v>1969</v>
      </c>
      <c r="B1970" t="s">
        <v>122</v>
      </c>
      <c r="C1970" t="s">
        <v>186</v>
      </c>
      <c r="D1970">
        <v>2022</v>
      </c>
      <c r="E1970" t="s">
        <v>183</v>
      </c>
      <c r="F1970">
        <v>27</v>
      </c>
      <c r="G1970" t="s">
        <v>357</v>
      </c>
      <c r="H1970">
        <f>electric_vehicles_dataset[[#This Row],[Battery_Capacity_kWh]]/electric_vehicles_dataset[[#This Row],[Range_km]]</f>
        <v>0.10975609756097561</v>
      </c>
      <c r="I1970">
        <v>246</v>
      </c>
      <c r="J1970" t="s">
        <v>38</v>
      </c>
      <c r="K1970">
        <v>6</v>
      </c>
      <c r="L1970" s="1">
        <v>94976.85</v>
      </c>
      <c r="M1970" s="1" t="str" cm="1">
        <f t="array" ref="M19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70" t="s">
        <v>172</v>
      </c>
      <c r="O1970" t="s">
        <v>23</v>
      </c>
      <c r="P1970" s="2" t="s">
        <v>389</v>
      </c>
      <c r="Q1970">
        <v>1</v>
      </c>
      <c r="R1970" t="s">
        <v>391</v>
      </c>
      <c r="S1970" s="1">
        <f>electric_vehicles_dataset[[#This Row],[Units_Sold_2024]]*electric_vehicles_dataset[[#This Row],[Price_USD]]</f>
        <v>1613751658.3500001</v>
      </c>
      <c r="T1970">
        <v>3</v>
      </c>
      <c r="U1970">
        <v>16991</v>
      </c>
      <c r="V1970">
        <v>5</v>
      </c>
    </row>
    <row r="1971" spans="1:22" x14ac:dyDescent="0.35">
      <c r="A1971">
        <v>1970</v>
      </c>
      <c r="B1971" t="s">
        <v>269</v>
      </c>
      <c r="C1971" t="s">
        <v>307</v>
      </c>
      <c r="D1971">
        <v>2016</v>
      </c>
      <c r="E1971" t="s">
        <v>101</v>
      </c>
      <c r="F1971">
        <v>74.8</v>
      </c>
      <c r="G1971" t="s">
        <v>351</v>
      </c>
      <c r="H1971">
        <f>electric_vehicles_dataset[[#This Row],[Battery_Capacity_kWh]]/electric_vehicles_dataset[[#This Row],[Range_km]]</f>
        <v>0.18936708860759494</v>
      </c>
      <c r="I1971">
        <v>395</v>
      </c>
      <c r="J1971" t="s">
        <v>27</v>
      </c>
      <c r="K1971">
        <v>11</v>
      </c>
      <c r="L1971" s="1">
        <v>61042.35</v>
      </c>
      <c r="M1971" s="1" t="str" cm="1">
        <f t="array" ref="M197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71" t="s">
        <v>66</v>
      </c>
      <c r="O1971" t="s">
        <v>169</v>
      </c>
      <c r="P1971" s="2" t="s">
        <v>394</v>
      </c>
      <c r="Q1971">
        <v>4</v>
      </c>
      <c r="R1971" t="s">
        <v>392</v>
      </c>
      <c r="S1971" s="1">
        <f>electric_vehicles_dataset[[#This Row],[Units_Sold_2024]]*electric_vehicles_dataset[[#This Row],[Price_USD]]</f>
        <v>982232453.85000002</v>
      </c>
      <c r="T1971">
        <v>4</v>
      </c>
      <c r="U1971">
        <v>16091</v>
      </c>
      <c r="V1971">
        <v>4</v>
      </c>
    </row>
    <row r="1972" spans="1:22" x14ac:dyDescent="0.35">
      <c r="A1972">
        <v>1971</v>
      </c>
      <c r="B1972" t="s">
        <v>79</v>
      </c>
      <c r="C1972" t="s">
        <v>151</v>
      </c>
      <c r="D1972">
        <v>2021</v>
      </c>
      <c r="E1972" t="s">
        <v>26</v>
      </c>
      <c r="F1972">
        <v>110</v>
      </c>
      <c r="G1972" t="s">
        <v>361</v>
      </c>
      <c r="H1972">
        <f>electric_vehicles_dataset[[#This Row],[Battery_Capacity_kWh]]/electric_vehicles_dataset[[#This Row],[Range_km]]</f>
        <v>1.0091743119266054</v>
      </c>
      <c r="I1972">
        <v>109</v>
      </c>
      <c r="J1972" t="s">
        <v>358</v>
      </c>
      <c r="K1972">
        <v>11</v>
      </c>
      <c r="L1972" s="1">
        <v>144096.94</v>
      </c>
      <c r="M1972" s="1" t="str" cm="1">
        <f t="array" ref="M197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72" t="s">
        <v>172</v>
      </c>
      <c r="O1972" t="s">
        <v>44</v>
      </c>
      <c r="P1972" s="2" t="s">
        <v>389</v>
      </c>
      <c r="Q1972">
        <v>2</v>
      </c>
      <c r="R1972" t="s">
        <v>391</v>
      </c>
      <c r="S1972" s="1">
        <f>electric_vehicles_dataset[[#This Row],[Units_Sold_2024]]*electric_vehicles_dataset[[#This Row],[Price_USD]]</f>
        <v>1708269223.7</v>
      </c>
      <c r="T1972">
        <v>3</v>
      </c>
      <c r="U1972">
        <v>11855</v>
      </c>
      <c r="V1972">
        <v>4</v>
      </c>
    </row>
    <row r="1973" spans="1:22" x14ac:dyDescent="0.35">
      <c r="A1973">
        <v>1972</v>
      </c>
      <c r="B1973" t="s">
        <v>192</v>
      </c>
      <c r="C1973" t="s">
        <v>198</v>
      </c>
      <c r="D1973">
        <v>2023</v>
      </c>
      <c r="E1973" t="s">
        <v>130</v>
      </c>
      <c r="F1973">
        <v>110.3</v>
      </c>
      <c r="G1973" t="s">
        <v>361</v>
      </c>
      <c r="H1973">
        <f>electric_vehicles_dataset[[#This Row],[Battery_Capacity_kWh]]/electric_vehicles_dataset[[#This Row],[Range_km]]</f>
        <v>0.32441176470588234</v>
      </c>
      <c r="I1973">
        <v>340</v>
      </c>
      <c r="J1973" t="s">
        <v>356</v>
      </c>
      <c r="K1973">
        <v>7</v>
      </c>
      <c r="L1973" s="1">
        <v>94361.13</v>
      </c>
      <c r="M1973" s="1" t="str" cm="1">
        <f t="array" ref="M197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73" t="s">
        <v>22</v>
      </c>
      <c r="O1973" t="s">
        <v>236</v>
      </c>
      <c r="P1973" s="2" t="s">
        <v>394</v>
      </c>
      <c r="Q1973">
        <v>2</v>
      </c>
      <c r="R1973" t="s">
        <v>391</v>
      </c>
      <c r="S1973" s="1">
        <f>electric_vehicles_dataset[[#This Row],[Units_Sold_2024]]*electric_vehicles_dataset[[#This Row],[Price_USD]]</f>
        <v>983431696.86000001</v>
      </c>
      <c r="T1973">
        <v>4</v>
      </c>
      <c r="U1973">
        <v>10422</v>
      </c>
      <c r="V1973">
        <v>4</v>
      </c>
    </row>
    <row r="1974" spans="1:22" x14ac:dyDescent="0.35">
      <c r="A1974">
        <v>1973</v>
      </c>
      <c r="B1974" t="s">
        <v>45</v>
      </c>
      <c r="C1974" t="s">
        <v>283</v>
      </c>
      <c r="D1974">
        <v>2015</v>
      </c>
      <c r="E1974" t="s">
        <v>42</v>
      </c>
      <c r="F1974">
        <v>31.2</v>
      </c>
      <c r="G1974" t="s">
        <v>357</v>
      </c>
      <c r="H1974">
        <f>electric_vehicles_dataset[[#This Row],[Battery_Capacity_kWh]]/electric_vehicles_dataset[[#This Row],[Range_km]]</f>
        <v>5.5417406749555947E-2</v>
      </c>
      <c r="I1974">
        <v>563</v>
      </c>
      <c r="J1974" t="s">
        <v>345</v>
      </c>
      <c r="K1974">
        <v>12</v>
      </c>
      <c r="L1974" s="1">
        <v>48378.38</v>
      </c>
      <c r="M1974" s="1" t="str" cm="1">
        <f t="array" ref="M19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74" t="s">
        <v>127</v>
      </c>
      <c r="O1974" t="s">
        <v>44</v>
      </c>
      <c r="P1974" s="2" t="s">
        <v>389</v>
      </c>
      <c r="Q1974">
        <v>0</v>
      </c>
      <c r="R1974" t="s">
        <v>390</v>
      </c>
      <c r="S1974" s="1">
        <f>electric_vehicles_dataset[[#This Row],[Units_Sold_2024]]*electric_vehicles_dataset[[#This Row],[Price_USD]]</f>
        <v>635740291.57999992</v>
      </c>
      <c r="T1974">
        <v>3</v>
      </c>
      <c r="U1974">
        <v>13141</v>
      </c>
      <c r="V1974">
        <v>5</v>
      </c>
    </row>
    <row r="1975" spans="1:22" x14ac:dyDescent="0.35">
      <c r="A1975">
        <v>1974</v>
      </c>
      <c r="B1975" t="s">
        <v>259</v>
      </c>
      <c r="C1975" t="s">
        <v>311</v>
      </c>
      <c r="D1975">
        <v>2025</v>
      </c>
      <c r="E1975" t="s">
        <v>183</v>
      </c>
      <c r="F1975">
        <v>69.099999999999994</v>
      </c>
      <c r="G1975" t="s">
        <v>351</v>
      </c>
      <c r="H1975">
        <f>electric_vehicles_dataset[[#This Row],[Battery_Capacity_kWh]]/electric_vehicles_dataset[[#This Row],[Range_km]]</f>
        <v>0.42919254658385092</v>
      </c>
      <c r="I1975">
        <v>161</v>
      </c>
      <c r="J1975" t="s">
        <v>345</v>
      </c>
      <c r="K1975">
        <v>1</v>
      </c>
      <c r="L1975" s="1">
        <v>70992.009999999995</v>
      </c>
      <c r="M1975" s="1" t="str" cm="1">
        <f t="array" ref="M197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75" t="s">
        <v>214</v>
      </c>
      <c r="O1975" t="s">
        <v>92</v>
      </c>
      <c r="P1975" s="2" t="s">
        <v>394</v>
      </c>
      <c r="Q1975">
        <v>3</v>
      </c>
      <c r="R1975" t="s">
        <v>397</v>
      </c>
      <c r="S1975" s="1">
        <f>electric_vehicles_dataset[[#This Row],[Units_Sold_2024]]*electric_vehicles_dataset[[#This Row],[Price_USD]]</f>
        <v>925380850.3499999</v>
      </c>
      <c r="T1975">
        <v>5</v>
      </c>
      <c r="U1975">
        <v>13035</v>
      </c>
      <c r="V1975">
        <v>5</v>
      </c>
    </row>
    <row r="1976" spans="1:22" x14ac:dyDescent="0.35">
      <c r="A1976">
        <v>1975</v>
      </c>
      <c r="B1976" t="s">
        <v>140</v>
      </c>
      <c r="C1976" t="s">
        <v>339</v>
      </c>
      <c r="D1976">
        <v>2018</v>
      </c>
      <c r="E1976" t="s">
        <v>58</v>
      </c>
      <c r="F1976">
        <v>109.7</v>
      </c>
      <c r="G1976" t="s">
        <v>361</v>
      </c>
      <c r="H1976">
        <f>electric_vehicles_dataset[[#This Row],[Battery_Capacity_kWh]]/electric_vehicles_dataset[[#This Row],[Range_km]]</f>
        <v>0.18499156829679594</v>
      </c>
      <c r="I1976">
        <v>593</v>
      </c>
      <c r="J1976" t="s">
        <v>34</v>
      </c>
      <c r="K1976">
        <v>5</v>
      </c>
      <c r="L1976" s="1">
        <v>149934.82999999999</v>
      </c>
      <c r="M1976" s="1" t="str" cm="1">
        <f t="array" ref="M197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76" t="s">
        <v>59</v>
      </c>
      <c r="O1976" t="s">
        <v>33</v>
      </c>
      <c r="P1976" s="2" t="s">
        <v>393</v>
      </c>
      <c r="Q1976">
        <v>1</v>
      </c>
      <c r="R1976" t="s">
        <v>391</v>
      </c>
      <c r="S1976" s="1">
        <f>electric_vehicles_dataset[[#This Row],[Units_Sold_2024]]*electric_vehicles_dataset[[#This Row],[Price_USD]]</f>
        <v>855828009.63999999</v>
      </c>
      <c r="T1976">
        <v>3</v>
      </c>
      <c r="U1976">
        <v>5708</v>
      </c>
      <c r="V1976">
        <v>4</v>
      </c>
    </row>
    <row r="1977" spans="1:22" x14ac:dyDescent="0.35">
      <c r="A1977">
        <v>1976</v>
      </c>
      <c r="B1977" t="s">
        <v>60</v>
      </c>
      <c r="C1977" t="s">
        <v>248</v>
      </c>
      <c r="D1977">
        <v>2025</v>
      </c>
      <c r="E1977" t="s">
        <v>104</v>
      </c>
      <c r="F1977">
        <v>51</v>
      </c>
      <c r="G1977" t="s">
        <v>348</v>
      </c>
      <c r="H1977">
        <f>electric_vehicles_dataset[[#This Row],[Battery_Capacity_kWh]]/electric_vehicles_dataset[[#This Row],[Range_km]]</f>
        <v>0.17525773195876287</v>
      </c>
      <c r="I1977">
        <v>291</v>
      </c>
      <c r="J1977" t="s">
        <v>105</v>
      </c>
      <c r="K1977">
        <v>2</v>
      </c>
      <c r="L1977" s="1">
        <v>77869.149999999994</v>
      </c>
      <c r="M1977" s="1" t="str" cm="1">
        <f t="array" ref="M197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77" t="s">
        <v>301</v>
      </c>
      <c r="O1977" t="s">
        <v>20</v>
      </c>
      <c r="P1977" s="2" t="s">
        <v>389</v>
      </c>
      <c r="Q1977">
        <v>0</v>
      </c>
      <c r="R1977" t="s">
        <v>390</v>
      </c>
      <c r="S1977" s="1">
        <f>electric_vehicles_dataset[[#This Row],[Units_Sold_2024]]*electric_vehicles_dataset[[#This Row],[Price_USD]]</f>
        <v>1419087389.5999999</v>
      </c>
      <c r="T1977">
        <v>4</v>
      </c>
      <c r="U1977">
        <v>18224</v>
      </c>
      <c r="V1977">
        <v>3</v>
      </c>
    </row>
    <row r="1978" spans="1:22" x14ac:dyDescent="0.35">
      <c r="A1978">
        <v>1977</v>
      </c>
      <c r="B1978" t="s">
        <v>207</v>
      </c>
      <c r="C1978" t="s">
        <v>287</v>
      </c>
      <c r="D1978">
        <v>2015</v>
      </c>
      <c r="E1978" t="s">
        <v>53</v>
      </c>
      <c r="F1978">
        <v>111.3</v>
      </c>
      <c r="G1978" t="s">
        <v>361</v>
      </c>
      <c r="H1978">
        <f>electric_vehicles_dataset[[#This Row],[Battery_Capacity_kWh]]/electric_vehicles_dataset[[#This Row],[Range_km]]</f>
        <v>0.32639296187683281</v>
      </c>
      <c r="I1978">
        <v>341</v>
      </c>
      <c r="J1978" t="s">
        <v>76</v>
      </c>
      <c r="K1978">
        <v>9</v>
      </c>
      <c r="L1978" s="1">
        <v>123533.34</v>
      </c>
      <c r="M1978" s="1" t="str" cm="1">
        <f t="array" ref="M19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78" t="s">
        <v>106</v>
      </c>
      <c r="O1978" t="s">
        <v>164</v>
      </c>
      <c r="P1978" s="2" t="s">
        <v>394</v>
      </c>
      <c r="Q1978">
        <v>0</v>
      </c>
      <c r="R1978" t="s">
        <v>390</v>
      </c>
      <c r="S1978" s="1">
        <f>electric_vehicles_dataset[[#This Row],[Units_Sold_2024]]*electric_vehicles_dataset[[#This Row],[Price_USD]]</f>
        <v>1891666035.4199998</v>
      </c>
      <c r="T1978">
        <v>4</v>
      </c>
      <c r="U1978">
        <v>15313</v>
      </c>
      <c r="V1978">
        <v>5</v>
      </c>
    </row>
    <row r="1979" spans="1:22" x14ac:dyDescent="0.35">
      <c r="A1979">
        <v>1978</v>
      </c>
      <c r="B1979" t="s">
        <v>184</v>
      </c>
      <c r="C1979" t="s">
        <v>185</v>
      </c>
      <c r="D1979">
        <v>2022</v>
      </c>
      <c r="E1979" t="s">
        <v>26</v>
      </c>
      <c r="F1979">
        <v>57.1</v>
      </c>
      <c r="G1979" t="s">
        <v>348</v>
      </c>
      <c r="H1979">
        <f>electric_vehicles_dataset[[#This Row],[Battery_Capacity_kWh]]/electric_vehicles_dataset[[#This Row],[Range_km]]</f>
        <v>0.23306122448979594</v>
      </c>
      <c r="I1979">
        <v>245</v>
      </c>
      <c r="J1979" t="s">
        <v>353</v>
      </c>
      <c r="K1979">
        <v>3</v>
      </c>
      <c r="L1979" s="1">
        <v>147005.03</v>
      </c>
      <c r="M1979" s="1" t="str" cm="1">
        <f t="array" ref="M197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79" t="s">
        <v>98</v>
      </c>
      <c r="O1979" t="s">
        <v>33</v>
      </c>
      <c r="P1979" s="2" t="s">
        <v>393</v>
      </c>
      <c r="Q1979">
        <v>4</v>
      </c>
      <c r="R1979" t="s">
        <v>392</v>
      </c>
      <c r="S1979" s="1">
        <f>electric_vehicles_dataset[[#This Row],[Units_Sold_2024]]*electric_vehicles_dataset[[#This Row],[Price_USD]]</f>
        <v>1414629403.6900001</v>
      </c>
      <c r="T1979">
        <v>5</v>
      </c>
      <c r="U1979">
        <v>9623</v>
      </c>
      <c r="V1979">
        <v>4</v>
      </c>
    </row>
    <row r="1980" spans="1:22" x14ac:dyDescent="0.35">
      <c r="A1980">
        <v>1979</v>
      </c>
      <c r="B1980" t="s">
        <v>200</v>
      </c>
      <c r="C1980" t="s">
        <v>201</v>
      </c>
      <c r="D1980">
        <v>2020</v>
      </c>
      <c r="E1980" t="s">
        <v>58</v>
      </c>
      <c r="F1980">
        <v>31.9</v>
      </c>
      <c r="G1980" t="s">
        <v>357</v>
      </c>
      <c r="H1980">
        <f>electric_vehicles_dataset[[#This Row],[Battery_Capacity_kWh]]/electric_vehicles_dataset[[#This Row],[Range_km]]</f>
        <v>5.5574912891986059E-2</v>
      </c>
      <c r="I1980">
        <v>574</v>
      </c>
      <c r="J1980" t="s">
        <v>76</v>
      </c>
      <c r="K1980">
        <v>1</v>
      </c>
      <c r="L1980" s="1">
        <v>86277.82</v>
      </c>
      <c r="M1980" s="1" t="str" cm="1">
        <f t="array" ref="M198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80" t="s">
        <v>257</v>
      </c>
      <c r="O1980" t="s">
        <v>93</v>
      </c>
      <c r="P1980" s="2" t="s">
        <v>389</v>
      </c>
      <c r="Q1980">
        <v>5</v>
      </c>
      <c r="R1980" t="s">
        <v>392</v>
      </c>
      <c r="S1980" s="1">
        <f>electric_vehicles_dataset[[#This Row],[Units_Sold_2024]]*electric_vehicles_dataset[[#This Row],[Price_USD]]</f>
        <v>1052330570.5400001</v>
      </c>
      <c r="T1980">
        <v>3</v>
      </c>
      <c r="U1980">
        <v>12197</v>
      </c>
      <c r="V1980">
        <v>3</v>
      </c>
    </row>
    <row r="1981" spans="1:22" x14ac:dyDescent="0.35">
      <c r="A1981">
        <v>1980</v>
      </c>
      <c r="B1981" t="s">
        <v>153</v>
      </c>
      <c r="C1981" t="s">
        <v>154</v>
      </c>
      <c r="D1981">
        <v>2025</v>
      </c>
      <c r="E1981" t="s">
        <v>133</v>
      </c>
      <c r="F1981">
        <v>93.5</v>
      </c>
      <c r="G1981" t="s">
        <v>350</v>
      </c>
      <c r="H1981">
        <f>electric_vehicles_dataset[[#This Row],[Battery_Capacity_kWh]]/electric_vehicles_dataset[[#This Row],[Range_km]]</f>
        <v>0.51092896174863389</v>
      </c>
      <c r="I1981">
        <v>183</v>
      </c>
      <c r="J1981" t="s">
        <v>353</v>
      </c>
      <c r="K1981">
        <v>9</v>
      </c>
      <c r="L1981" s="1">
        <v>104132.83</v>
      </c>
      <c r="M1981" s="1" t="str" cm="1">
        <f t="array" ref="M19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81" t="s">
        <v>210</v>
      </c>
      <c r="O1981" t="s">
        <v>20</v>
      </c>
      <c r="P1981" s="2" t="s">
        <v>389</v>
      </c>
      <c r="Q1981">
        <v>5</v>
      </c>
      <c r="R1981" t="s">
        <v>392</v>
      </c>
      <c r="S1981" s="1">
        <f>electric_vehicles_dataset[[#This Row],[Units_Sold_2024]]*electric_vehicles_dataset[[#This Row],[Price_USD]]</f>
        <v>1243658388.6900001</v>
      </c>
      <c r="T1981">
        <v>4</v>
      </c>
      <c r="U1981">
        <v>11943</v>
      </c>
      <c r="V1981">
        <v>5</v>
      </c>
    </row>
    <row r="1982" spans="1:22" x14ac:dyDescent="0.35">
      <c r="A1982">
        <v>1981</v>
      </c>
      <c r="B1982" t="s">
        <v>170</v>
      </c>
      <c r="C1982" t="s">
        <v>367</v>
      </c>
      <c r="D1982">
        <v>2022</v>
      </c>
      <c r="E1982" t="s">
        <v>133</v>
      </c>
      <c r="F1982">
        <v>104.3</v>
      </c>
      <c r="G1982" t="s">
        <v>361</v>
      </c>
      <c r="H1982">
        <f>electric_vehicles_dataset[[#This Row],[Battery_Capacity_kWh]]/electric_vehicles_dataset[[#This Row],[Range_km]]</f>
        <v>0.23438202247191012</v>
      </c>
      <c r="I1982">
        <v>445</v>
      </c>
      <c r="J1982" t="s">
        <v>38</v>
      </c>
      <c r="K1982">
        <v>8</v>
      </c>
      <c r="L1982" s="1">
        <v>134178.73000000001</v>
      </c>
      <c r="M1982" s="1" t="str" cm="1">
        <f t="array" ref="M198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82" t="s">
        <v>196</v>
      </c>
      <c r="O1982" t="s">
        <v>89</v>
      </c>
      <c r="P1982" s="2" t="s">
        <v>389</v>
      </c>
      <c r="Q1982">
        <v>5</v>
      </c>
      <c r="R1982" t="s">
        <v>392</v>
      </c>
      <c r="S1982" s="1">
        <f>electric_vehicles_dataset[[#This Row],[Units_Sold_2024]]*electric_vehicles_dataset[[#This Row],[Price_USD]]</f>
        <v>734226010.56000006</v>
      </c>
      <c r="T1982">
        <v>4</v>
      </c>
      <c r="U1982">
        <v>5472</v>
      </c>
      <c r="V1982">
        <v>4</v>
      </c>
    </row>
    <row r="1983" spans="1:22" x14ac:dyDescent="0.35">
      <c r="A1983">
        <v>1982</v>
      </c>
      <c r="B1983" t="s">
        <v>153</v>
      </c>
      <c r="C1983" t="s">
        <v>310</v>
      </c>
      <c r="D1983">
        <v>2025</v>
      </c>
      <c r="E1983" t="s">
        <v>73</v>
      </c>
      <c r="F1983">
        <v>108.5</v>
      </c>
      <c r="G1983" t="s">
        <v>361</v>
      </c>
      <c r="H1983">
        <f>electric_vehicles_dataset[[#This Row],[Battery_Capacity_kWh]]/electric_vehicles_dataset[[#This Row],[Range_km]]</f>
        <v>0.22142857142857142</v>
      </c>
      <c r="I1983">
        <v>490</v>
      </c>
      <c r="J1983" t="s">
        <v>105</v>
      </c>
      <c r="K1983">
        <v>8</v>
      </c>
      <c r="L1983" s="1">
        <v>49891.62</v>
      </c>
      <c r="M1983" s="1" t="str" cm="1">
        <f t="array" ref="M198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83" t="s">
        <v>179</v>
      </c>
      <c r="O1983" t="s">
        <v>20</v>
      </c>
      <c r="P1983" s="2" t="s">
        <v>389</v>
      </c>
      <c r="Q1983">
        <v>0</v>
      </c>
      <c r="R1983" t="s">
        <v>390</v>
      </c>
      <c r="S1983" s="1">
        <f>electric_vehicles_dataset[[#This Row],[Units_Sold_2024]]*electric_vehicles_dataset[[#This Row],[Price_USD]]</f>
        <v>476913995.58000004</v>
      </c>
      <c r="T1983">
        <v>4</v>
      </c>
      <c r="U1983">
        <v>9559</v>
      </c>
      <c r="V1983">
        <v>3</v>
      </c>
    </row>
    <row r="1984" spans="1:22" x14ac:dyDescent="0.35">
      <c r="A1984">
        <v>1983</v>
      </c>
      <c r="B1984" t="s">
        <v>170</v>
      </c>
      <c r="C1984" t="s">
        <v>218</v>
      </c>
      <c r="D1984">
        <v>2016</v>
      </c>
      <c r="E1984" t="s">
        <v>53</v>
      </c>
      <c r="F1984">
        <v>136.69999999999999</v>
      </c>
      <c r="G1984" t="s">
        <v>352</v>
      </c>
      <c r="H1984">
        <f>electric_vehicles_dataset[[#This Row],[Battery_Capacity_kWh]]/electric_vehicles_dataset[[#This Row],[Range_km]]</f>
        <v>0.69744897959183672</v>
      </c>
      <c r="I1984">
        <v>196</v>
      </c>
      <c r="J1984" t="s">
        <v>353</v>
      </c>
      <c r="K1984">
        <v>6</v>
      </c>
      <c r="L1984" s="1">
        <v>123717.2</v>
      </c>
      <c r="M1984" s="1" t="str" cm="1">
        <f t="array" ref="M198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84" t="s">
        <v>217</v>
      </c>
      <c r="O1984" t="s">
        <v>159</v>
      </c>
      <c r="P1984" s="2" t="s">
        <v>389</v>
      </c>
      <c r="Q1984">
        <v>3</v>
      </c>
      <c r="R1984" t="s">
        <v>397</v>
      </c>
      <c r="S1984" s="1">
        <f>electric_vehicles_dataset[[#This Row],[Units_Sold_2024]]*electric_vehicles_dataset[[#This Row],[Price_USD]]</f>
        <v>2464446624</v>
      </c>
      <c r="T1984">
        <v>5</v>
      </c>
      <c r="U1984">
        <v>19920</v>
      </c>
      <c r="V1984">
        <v>4</v>
      </c>
    </row>
    <row r="1985" spans="1:22" x14ac:dyDescent="0.35">
      <c r="A1985">
        <v>1984</v>
      </c>
      <c r="B1985" t="s">
        <v>24</v>
      </c>
      <c r="C1985" t="s">
        <v>25</v>
      </c>
      <c r="D1985">
        <v>2025</v>
      </c>
      <c r="E1985" t="s">
        <v>53</v>
      </c>
      <c r="F1985">
        <v>69</v>
      </c>
      <c r="G1985" t="s">
        <v>351</v>
      </c>
      <c r="H1985">
        <f>electric_vehicles_dataset[[#This Row],[Battery_Capacity_kWh]]/electric_vehicles_dataset[[#This Row],[Range_km]]</f>
        <v>0.12126537785588752</v>
      </c>
      <c r="I1985">
        <v>569</v>
      </c>
      <c r="J1985" t="s">
        <v>76</v>
      </c>
      <c r="K1985">
        <v>10</v>
      </c>
      <c r="L1985" s="1">
        <v>68427.679999999993</v>
      </c>
      <c r="M1985" s="1" t="str" cm="1">
        <f t="array" ref="M198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85" t="s">
        <v>214</v>
      </c>
      <c r="O1985" t="s">
        <v>20</v>
      </c>
      <c r="P1985" s="2" t="s">
        <v>389</v>
      </c>
      <c r="Q1985">
        <v>3</v>
      </c>
      <c r="R1985" t="s">
        <v>397</v>
      </c>
      <c r="S1985" s="1">
        <f>electric_vehicles_dataset[[#This Row],[Units_Sold_2024]]*electric_vehicles_dataset[[#This Row],[Price_USD]]</f>
        <v>1168060497.5999999</v>
      </c>
      <c r="T1985">
        <v>4</v>
      </c>
      <c r="U1985">
        <v>17070</v>
      </c>
      <c r="V1985">
        <v>4</v>
      </c>
    </row>
    <row r="1986" spans="1:22" x14ac:dyDescent="0.35">
      <c r="A1986">
        <v>1985</v>
      </c>
      <c r="B1986" t="s">
        <v>155</v>
      </c>
      <c r="C1986" t="s">
        <v>190</v>
      </c>
      <c r="D1986">
        <v>2023</v>
      </c>
      <c r="E1986" t="s">
        <v>47</v>
      </c>
      <c r="F1986">
        <v>30.2</v>
      </c>
      <c r="G1986" t="s">
        <v>357</v>
      </c>
      <c r="H1986">
        <f>electric_vehicles_dataset[[#This Row],[Battery_Capacity_kWh]]/electric_vehicles_dataset[[#This Row],[Range_km]]</f>
        <v>0.12635983263598327</v>
      </c>
      <c r="I1986">
        <v>239</v>
      </c>
      <c r="J1986" t="s">
        <v>27</v>
      </c>
      <c r="K1986">
        <v>6</v>
      </c>
      <c r="L1986" s="1">
        <v>55372.67</v>
      </c>
      <c r="M1986" s="1" t="str" cm="1">
        <f t="array" ref="M198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86" t="s">
        <v>257</v>
      </c>
      <c r="O1986" t="s">
        <v>50</v>
      </c>
      <c r="P1986" s="2" t="s">
        <v>396</v>
      </c>
      <c r="Q1986">
        <v>1</v>
      </c>
      <c r="R1986" t="s">
        <v>391</v>
      </c>
      <c r="S1986" s="1">
        <f>electric_vehicles_dataset[[#This Row],[Units_Sold_2024]]*electric_vehicles_dataset[[#This Row],[Price_USD]]</f>
        <v>644980860.15999997</v>
      </c>
      <c r="T1986">
        <v>4</v>
      </c>
      <c r="U1986">
        <v>11648</v>
      </c>
      <c r="V1986">
        <v>4</v>
      </c>
    </row>
    <row r="1987" spans="1:22" x14ac:dyDescent="0.35">
      <c r="A1987">
        <v>1986</v>
      </c>
      <c r="B1987" t="s">
        <v>180</v>
      </c>
      <c r="C1987" t="s">
        <v>181</v>
      </c>
      <c r="D1987">
        <v>2020</v>
      </c>
      <c r="E1987" t="s">
        <v>84</v>
      </c>
      <c r="F1987">
        <v>93.4</v>
      </c>
      <c r="G1987" t="s">
        <v>350</v>
      </c>
      <c r="H1987">
        <f>electric_vehicles_dataset[[#This Row],[Battery_Capacity_kWh]]/electric_vehicles_dataset[[#This Row],[Range_km]]</f>
        <v>0.23645569620253165</v>
      </c>
      <c r="I1987">
        <v>395</v>
      </c>
      <c r="J1987" t="s">
        <v>358</v>
      </c>
      <c r="K1987">
        <v>3</v>
      </c>
      <c r="L1987" s="1">
        <v>61012.45</v>
      </c>
      <c r="M1987" s="1" t="str" cm="1">
        <f t="array" ref="M198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87" t="s">
        <v>62</v>
      </c>
      <c r="O1987" t="s">
        <v>78</v>
      </c>
      <c r="P1987" s="2" t="s">
        <v>389</v>
      </c>
      <c r="Q1987">
        <v>3</v>
      </c>
      <c r="R1987" t="s">
        <v>397</v>
      </c>
      <c r="S1987" s="1">
        <f>electric_vehicles_dataset[[#This Row],[Units_Sold_2024]]*electric_vehicles_dataset[[#This Row],[Price_USD]]</f>
        <v>180962926.69999999</v>
      </c>
      <c r="T1987">
        <v>3</v>
      </c>
      <c r="U1987">
        <v>2966</v>
      </c>
      <c r="V1987">
        <v>5</v>
      </c>
    </row>
    <row r="1988" spans="1:22" x14ac:dyDescent="0.35">
      <c r="A1988">
        <v>1987</v>
      </c>
      <c r="B1988" t="s">
        <v>71</v>
      </c>
      <c r="C1988" t="s">
        <v>72</v>
      </c>
      <c r="D1988">
        <v>2023</v>
      </c>
      <c r="E1988" t="s">
        <v>104</v>
      </c>
      <c r="F1988">
        <v>124.1</v>
      </c>
      <c r="G1988" t="s">
        <v>352</v>
      </c>
      <c r="H1988">
        <f>electric_vehicles_dataset[[#This Row],[Battery_Capacity_kWh]]/electric_vehicles_dataset[[#This Row],[Range_km]]</f>
        <v>0.22939001848428833</v>
      </c>
      <c r="I1988">
        <v>541</v>
      </c>
      <c r="J1988" t="s">
        <v>364</v>
      </c>
      <c r="K1988">
        <v>12</v>
      </c>
      <c r="L1988" s="1">
        <v>60034.239999999998</v>
      </c>
      <c r="M1988" s="1" t="str" cm="1">
        <f t="array" ref="M19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88" t="s">
        <v>106</v>
      </c>
      <c r="O1988" t="s">
        <v>199</v>
      </c>
      <c r="P1988" s="2" t="s">
        <v>394</v>
      </c>
      <c r="Q1988">
        <v>4</v>
      </c>
      <c r="R1988" t="s">
        <v>392</v>
      </c>
      <c r="S1988" s="1">
        <f>electric_vehicles_dataset[[#This Row],[Units_Sold_2024]]*electric_vehicles_dataset[[#This Row],[Price_USD]]</f>
        <v>1173309186.5599999</v>
      </c>
      <c r="T1988">
        <v>4</v>
      </c>
      <c r="U1988">
        <v>19544</v>
      </c>
      <c r="V1988">
        <v>3</v>
      </c>
    </row>
    <row r="1989" spans="1:22" x14ac:dyDescent="0.35">
      <c r="A1989">
        <v>1988</v>
      </c>
      <c r="B1989" t="s">
        <v>241</v>
      </c>
      <c r="C1989" t="s">
        <v>286</v>
      </c>
      <c r="D1989">
        <v>2016</v>
      </c>
      <c r="E1989" t="s">
        <v>31</v>
      </c>
      <c r="F1989">
        <v>66.400000000000006</v>
      </c>
      <c r="G1989" t="s">
        <v>351</v>
      </c>
      <c r="H1989">
        <f>electric_vehicles_dataset[[#This Row],[Battery_Capacity_kWh]]/electric_vehicles_dataset[[#This Row],[Range_km]]</f>
        <v>0.16810126582278481</v>
      </c>
      <c r="I1989">
        <v>395</v>
      </c>
      <c r="J1989" t="s">
        <v>358</v>
      </c>
      <c r="K1989">
        <v>2</v>
      </c>
      <c r="L1989" s="1">
        <v>109921.01</v>
      </c>
      <c r="M1989" s="1" t="str" cm="1">
        <f t="array" ref="M19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89" t="s">
        <v>279</v>
      </c>
      <c r="O1989" t="s">
        <v>40</v>
      </c>
      <c r="P1989" s="2" t="s">
        <v>395</v>
      </c>
      <c r="Q1989">
        <v>1</v>
      </c>
      <c r="R1989" t="s">
        <v>391</v>
      </c>
      <c r="S1989" s="1">
        <f>electric_vehicles_dataset[[#This Row],[Units_Sold_2024]]*electric_vehicles_dataset[[#This Row],[Price_USD]]</f>
        <v>29898514.719999999</v>
      </c>
      <c r="T1989">
        <v>5</v>
      </c>
      <c r="U1989">
        <v>272</v>
      </c>
      <c r="V1989">
        <v>3</v>
      </c>
    </row>
    <row r="1990" spans="1:22" x14ac:dyDescent="0.35">
      <c r="A1990">
        <v>1989</v>
      </c>
      <c r="B1990" t="s">
        <v>153</v>
      </c>
      <c r="C1990" t="s">
        <v>178</v>
      </c>
      <c r="D1990">
        <v>2025</v>
      </c>
      <c r="E1990" t="s">
        <v>26</v>
      </c>
      <c r="F1990">
        <v>74.400000000000006</v>
      </c>
      <c r="G1990" t="s">
        <v>351</v>
      </c>
      <c r="H1990">
        <f>electric_vehicles_dataset[[#This Row],[Battery_Capacity_kWh]]/electric_vehicles_dataset[[#This Row],[Range_km]]</f>
        <v>0.41564245810055866</v>
      </c>
      <c r="I1990">
        <v>179</v>
      </c>
      <c r="J1990" t="s">
        <v>149</v>
      </c>
      <c r="K1990">
        <v>8</v>
      </c>
      <c r="L1990" s="1">
        <v>143792.51999999999</v>
      </c>
      <c r="M1990" s="1" t="str" cm="1">
        <f t="array" ref="M199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90" t="s">
        <v>117</v>
      </c>
      <c r="O1990" t="s">
        <v>150</v>
      </c>
      <c r="P1990" s="2" t="s">
        <v>389</v>
      </c>
      <c r="Q1990">
        <v>1</v>
      </c>
      <c r="R1990" t="s">
        <v>391</v>
      </c>
      <c r="S1990" s="1">
        <f>electric_vehicles_dataset[[#This Row],[Units_Sold_2024]]*electric_vehicles_dataset[[#This Row],[Price_USD]]</f>
        <v>2706606603.96</v>
      </c>
      <c r="T1990">
        <v>3</v>
      </c>
      <c r="U1990">
        <v>18823</v>
      </c>
      <c r="V1990">
        <v>5</v>
      </c>
    </row>
    <row r="1991" spans="1:22" x14ac:dyDescent="0.35">
      <c r="A1991">
        <v>1990</v>
      </c>
      <c r="B1991" t="s">
        <v>173</v>
      </c>
      <c r="C1991" t="s">
        <v>306</v>
      </c>
      <c r="D1991">
        <v>2016</v>
      </c>
      <c r="E1991" t="s">
        <v>17</v>
      </c>
      <c r="F1991">
        <v>99.3</v>
      </c>
      <c r="G1991" t="s">
        <v>350</v>
      </c>
      <c r="H1991">
        <f>electric_vehicles_dataset[[#This Row],[Battery_Capacity_kWh]]/electric_vehicles_dataset[[#This Row],[Range_km]]</f>
        <v>0.16689075630252101</v>
      </c>
      <c r="I1991">
        <v>595</v>
      </c>
      <c r="J1991" t="s">
        <v>364</v>
      </c>
      <c r="K1991">
        <v>10</v>
      </c>
      <c r="L1991" s="1">
        <v>126523.85</v>
      </c>
      <c r="M1991" s="1" t="str" cm="1">
        <f t="array" ref="M199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91" t="s">
        <v>152</v>
      </c>
      <c r="O1991" t="s">
        <v>161</v>
      </c>
      <c r="P1991" s="2" t="s">
        <v>389</v>
      </c>
      <c r="Q1991">
        <v>4</v>
      </c>
      <c r="R1991" t="s">
        <v>392</v>
      </c>
      <c r="S1991" s="1">
        <f>electric_vehicles_dataset[[#This Row],[Units_Sold_2024]]*electric_vehicles_dataset[[#This Row],[Price_USD]]</f>
        <v>1221714295.6000001</v>
      </c>
      <c r="T1991">
        <v>3</v>
      </c>
      <c r="U1991">
        <v>9656</v>
      </c>
      <c r="V1991">
        <v>3</v>
      </c>
    </row>
    <row r="1992" spans="1:22" x14ac:dyDescent="0.35">
      <c r="A1992">
        <v>1991</v>
      </c>
      <c r="B1992" t="s">
        <v>41</v>
      </c>
      <c r="C1992" t="s">
        <v>374</v>
      </c>
      <c r="D1992">
        <v>2022</v>
      </c>
      <c r="E1992" t="s">
        <v>58</v>
      </c>
      <c r="F1992">
        <v>82.6</v>
      </c>
      <c r="G1992" t="s">
        <v>350</v>
      </c>
      <c r="H1992">
        <f>electric_vehicles_dataset[[#This Row],[Battery_Capacity_kWh]]/electric_vehicles_dataset[[#This Row],[Range_km]]</f>
        <v>0.21736842105263157</v>
      </c>
      <c r="I1992">
        <v>380</v>
      </c>
      <c r="J1992" t="s">
        <v>105</v>
      </c>
      <c r="K1992">
        <v>8</v>
      </c>
      <c r="L1992" s="1">
        <v>148400</v>
      </c>
      <c r="M1992" s="1" t="str" cm="1">
        <f t="array" ref="M19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92" t="s">
        <v>229</v>
      </c>
      <c r="O1992" t="s">
        <v>20</v>
      </c>
      <c r="P1992" s="2" t="s">
        <v>389</v>
      </c>
      <c r="Q1992">
        <v>0</v>
      </c>
      <c r="R1992" t="s">
        <v>390</v>
      </c>
      <c r="S1992" s="1">
        <f>electric_vehicles_dataset[[#This Row],[Units_Sold_2024]]*electric_vehicles_dataset[[#This Row],[Price_USD]]</f>
        <v>230465200</v>
      </c>
      <c r="T1992">
        <v>5</v>
      </c>
      <c r="U1992">
        <v>1553</v>
      </c>
      <c r="V1992">
        <v>4</v>
      </c>
    </row>
    <row r="1993" spans="1:22" x14ac:dyDescent="0.35">
      <c r="A1993">
        <v>1992</v>
      </c>
      <c r="B1993" t="s">
        <v>243</v>
      </c>
      <c r="C1993" t="s">
        <v>244</v>
      </c>
      <c r="D1993">
        <v>2024</v>
      </c>
      <c r="E1993" t="s">
        <v>26</v>
      </c>
      <c r="F1993">
        <v>136.6</v>
      </c>
      <c r="G1993" t="s">
        <v>352</v>
      </c>
      <c r="H1993">
        <f>electric_vehicles_dataset[[#This Row],[Battery_Capacity_kWh]]/electric_vehicles_dataset[[#This Row],[Range_km]]</f>
        <v>0.4322784810126582</v>
      </c>
      <c r="I1993">
        <v>316</v>
      </c>
      <c r="J1993" t="s">
        <v>345</v>
      </c>
      <c r="K1993">
        <v>10</v>
      </c>
      <c r="L1993" s="1">
        <v>130671.1</v>
      </c>
      <c r="M1993" s="1" t="str" cm="1">
        <f t="array" ref="M199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93" t="s">
        <v>217</v>
      </c>
      <c r="O1993" t="s">
        <v>206</v>
      </c>
      <c r="P1993" s="2" t="s">
        <v>394</v>
      </c>
      <c r="Q1993">
        <v>4</v>
      </c>
      <c r="R1993" t="s">
        <v>392</v>
      </c>
      <c r="S1993" s="1">
        <f>electric_vehicles_dataset[[#This Row],[Units_Sold_2024]]*electric_vehicles_dataset[[#This Row],[Price_USD]]</f>
        <v>1973917636.6000001</v>
      </c>
      <c r="T1993">
        <v>5</v>
      </c>
      <c r="U1993">
        <v>15106</v>
      </c>
      <c r="V1993">
        <v>4</v>
      </c>
    </row>
    <row r="1994" spans="1:22" x14ac:dyDescent="0.35">
      <c r="A1994">
        <v>1993</v>
      </c>
      <c r="B1994" t="s">
        <v>313</v>
      </c>
      <c r="C1994" t="s">
        <v>314</v>
      </c>
      <c r="D1994">
        <v>2019</v>
      </c>
      <c r="E1994" t="s">
        <v>104</v>
      </c>
      <c r="F1994">
        <v>86.7</v>
      </c>
      <c r="G1994" t="s">
        <v>350</v>
      </c>
      <c r="H1994">
        <f>electric_vehicles_dataset[[#This Row],[Battery_Capacity_kWh]]/electric_vehicles_dataset[[#This Row],[Range_km]]</f>
        <v>0.15706521739130436</v>
      </c>
      <c r="I1994">
        <v>552</v>
      </c>
      <c r="J1994" t="s">
        <v>345</v>
      </c>
      <c r="K1994">
        <v>9</v>
      </c>
      <c r="L1994" s="1">
        <v>145977.14000000001</v>
      </c>
      <c r="M1994" s="1" t="str" cm="1">
        <f t="array" ref="M19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1994" t="s">
        <v>100</v>
      </c>
      <c r="O1994" t="s">
        <v>134</v>
      </c>
      <c r="P1994" s="2" t="s">
        <v>389</v>
      </c>
      <c r="Q1994">
        <v>4</v>
      </c>
      <c r="R1994" t="s">
        <v>392</v>
      </c>
      <c r="S1994" s="1">
        <f>electric_vehicles_dataset[[#This Row],[Units_Sold_2024]]*electric_vehicles_dataset[[#This Row],[Price_USD]]</f>
        <v>2780280608.4400001</v>
      </c>
      <c r="T1994">
        <v>3</v>
      </c>
      <c r="U1994">
        <v>19046</v>
      </c>
      <c r="V1994">
        <v>5</v>
      </c>
    </row>
    <row r="1995" spans="1:22" x14ac:dyDescent="0.35">
      <c r="A1995">
        <v>1994</v>
      </c>
      <c r="B1995" t="s">
        <v>192</v>
      </c>
      <c r="C1995" t="s">
        <v>198</v>
      </c>
      <c r="D1995">
        <v>2015</v>
      </c>
      <c r="E1995" t="s">
        <v>17</v>
      </c>
      <c r="F1995">
        <v>62.7</v>
      </c>
      <c r="G1995" t="s">
        <v>351</v>
      </c>
      <c r="H1995">
        <f>electric_vehicles_dataset[[#This Row],[Battery_Capacity_kWh]]/electric_vehicles_dataset[[#This Row],[Range_km]]</f>
        <v>0.1536764705882353</v>
      </c>
      <c r="I1995">
        <v>408</v>
      </c>
      <c r="J1995" t="s">
        <v>358</v>
      </c>
      <c r="K1995">
        <v>3</v>
      </c>
      <c r="L1995" s="1">
        <v>84441.41</v>
      </c>
      <c r="M1995" s="1" t="str" cm="1">
        <f t="array" ref="M19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95" t="s">
        <v>117</v>
      </c>
      <c r="O1995" t="s">
        <v>92</v>
      </c>
      <c r="P1995" s="2" t="s">
        <v>394</v>
      </c>
      <c r="Q1995">
        <v>4</v>
      </c>
      <c r="R1995" t="s">
        <v>392</v>
      </c>
      <c r="S1995" s="1">
        <f>electric_vehicles_dataset[[#This Row],[Units_Sold_2024]]*electric_vehicles_dataset[[#This Row],[Price_USD]]</f>
        <v>1427566477.46</v>
      </c>
      <c r="T1995">
        <v>3</v>
      </c>
      <c r="U1995">
        <v>16906</v>
      </c>
      <c r="V1995">
        <v>5</v>
      </c>
    </row>
    <row r="1996" spans="1:22" x14ac:dyDescent="0.35">
      <c r="A1996">
        <v>1995</v>
      </c>
      <c r="B1996" t="s">
        <v>144</v>
      </c>
      <c r="C1996" t="s">
        <v>273</v>
      </c>
      <c r="D1996">
        <v>2017</v>
      </c>
      <c r="E1996" t="s">
        <v>26</v>
      </c>
      <c r="F1996">
        <v>56.2</v>
      </c>
      <c r="G1996" t="s">
        <v>348</v>
      </c>
      <c r="H1996">
        <f>electric_vehicles_dataset[[#This Row],[Battery_Capacity_kWh]]/electric_vehicles_dataset[[#This Row],[Range_km]]</f>
        <v>9.3666666666666676E-2</v>
      </c>
      <c r="I1996">
        <v>600</v>
      </c>
      <c r="J1996" t="s">
        <v>54</v>
      </c>
      <c r="K1996">
        <v>10</v>
      </c>
      <c r="L1996" s="1">
        <v>87422.04</v>
      </c>
      <c r="M1996" s="1" t="str" cm="1">
        <f t="array" ref="M199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96" t="s">
        <v>100</v>
      </c>
      <c r="O1996" t="s">
        <v>199</v>
      </c>
      <c r="P1996" s="2" t="s">
        <v>394</v>
      </c>
      <c r="Q1996">
        <v>5</v>
      </c>
      <c r="R1996" t="s">
        <v>392</v>
      </c>
      <c r="S1996" s="1">
        <f>electric_vehicles_dataset[[#This Row],[Units_Sold_2024]]*electric_vehicles_dataset[[#This Row],[Price_USD]]</f>
        <v>1031667494.04</v>
      </c>
      <c r="T1996">
        <v>3</v>
      </c>
      <c r="U1996">
        <v>11801</v>
      </c>
      <c r="V1996">
        <v>4</v>
      </c>
    </row>
    <row r="1997" spans="1:22" x14ac:dyDescent="0.35">
      <c r="A1997">
        <v>1996</v>
      </c>
      <c r="B1997" t="s">
        <v>21</v>
      </c>
      <c r="C1997" t="s">
        <v>363</v>
      </c>
      <c r="D1997">
        <v>2017</v>
      </c>
      <c r="E1997" t="s">
        <v>17</v>
      </c>
      <c r="F1997">
        <v>37.200000000000003</v>
      </c>
      <c r="G1997" t="s">
        <v>357</v>
      </c>
      <c r="H1997">
        <f>electric_vehicles_dataset[[#This Row],[Battery_Capacity_kWh]]/electric_vehicles_dataset[[#This Row],[Range_km]]</f>
        <v>6.5148861646234679E-2</v>
      </c>
      <c r="I1997">
        <v>571</v>
      </c>
      <c r="J1997" t="s">
        <v>353</v>
      </c>
      <c r="K1997">
        <v>11</v>
      </c>
      <c r="L1997" s="1">
        <v>37452.300000000003</v>
      </c>
      <c r="M1997" s="1" t="str" cm="1">
        <f t="array" ref="M19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97" t="s">
        <v>271</v>
      </c>
      <c r="O1997" t="s">
        <v>40</v>
      </c>
      <c r="P1997" s="2" t="s">
        <v>395</v>
      </c>
      <c r="Q1997">
        <v>5</v>
      </c>
      <c r="R1997" t="s">
        <v>392</v>
      </c>
      <c r="S1997" s="1">
        <f>electric_vehicles_dataset[[#This Row],[Units_Sold_2024]]*electric_vehicles_dataset[[#This Row],[Price_USD]]</f>
        <v>37115229.300000004</v>
      </c>
      <c r="T1997">
        <v>5</v>
      </c>
      <c r="U1997">
        <v>991</v>
      </c>
      <c r="V1997">
        <v>4</v>
      </c>
    </row>
    <row r="1998" spans="1:22" x14ac:dyDescent="0.35">
      <c r="A1998">
        <v>1997</v>
      </c>
      <c r="B1998" t="s">
        <v>128</v>
      </c>
      <c r="C1998" t="s">
        <v>284</v>
      </c>
      <c r="D1998">
        <v>2021</v>
      </c>
      <c r="E1998" t="s">
        <v>84</v>
      </c>
      <c r="F1998">
        <v>37.1</v>
      </c>
      <c r="G1998" t="s">
        <v>357</v>
      </c>
      <c r="H1998">
        <f>electric_vehicles_dataset[[#This Row],[Battery_Capacity_kWh]]/electric_vehicles_dataset[[#This Row],[Range_km]]</f>
        <v>0.22349397590361447</v>
      </c>
      <c r="I1998">
        <v>166</v>
      </c>
      <c r="J1998" t="s">
        <v>345</v>
      </c>
      <c r="K1998">
        <v>8</v>
      </c>
      <c r="L1998" s="1">
        <v>65941.09</v>
      </c>
      <c r="M1998" s="1" t="str" cm="1">
        <f t="array" ref="M199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1998" t="s">
        <v>100</v>
      </c>
      <c r="O1998" t="s">
        <v>67</v>
      </c>
      <c r="P1998" s="2" t="s">
        <v>394</v>
      </c>
      <c r="Q1998">
        <v>3</v>
      </c>
      <c r="R1998" t="s">
        <v>397</v>
      </c>
      <c r="S1998" s="1">
        <f>electric_vehicles_dataset[[#This Row],[Units_Sold_2024]]*electric_vehicles_dataset[[#This Row],[Price_USD]]</f>
        <v>1063168194.0699999</v>
      </c>
      <c r="T1998">
        <v>5</v>
      </c>
      <c r="U1998">
        <v>16123</v>
      </c>
      <c r="V1998">
        <v>3</v>
      </c>
    </row>
    <row r="1999" spans="1:22" x14ac:dyDescent="0.35">
      <c r="A1999">
        <v>1998</v>
      </c>
      <c r="B1999" t="s">
        <v>82</v>
      </c>
      <c r="C1999" t="s">
        <v>281</v>
      </c>
      <c r="D1999">
        <v>2025</v>
      </c>
      <c r="E1999" t="s">
        <v>73</v>
      </c>
      <c r="F1999">
        <v>41.1</v>
      </c>
      <c r="G1999" t="s">
        <v>348</v>
      </c>
      <c r="H1999">
        <f>electric_vehicles_dataset[[#This Row],[Battery_Capacity_kWh]]/electric_vehicles_dataset[[#This Row],[Range_km]]</f>
        <v>0.1630952380952381</v>
      </c>
      <c r="I1999">
        <v>252</v>
      </c>
      <c r="J1999" t="s">
        <v>345</v>
      </c>
      <c r="K1999">
        <v>11</v>
      </c>
      <c r="L1999" s="1">
        <v>72257.27</v>
      </c>
      <c r="M1999" s="1" t="str" cm="1">
        <f t="array" ref="M199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1999" t="s">
        <v>55</v>
      </c>
      <c r="O1999" t="s">
        <v>92</v>
      </c>
      <c r="P1999" s="2" t="s">
        <v>394</v>
      </c>
      <c r="Q1999">
        <v>0</v>
      </c>
      <c r="R1999" t="s">
        <v>390</v>
      </c>
      <c r="S1999" s="1">
        <f>electric_vehicles_dataset[[#This Row],[Units_Sold_2024]]*electric_vehicles_dataset[[#This Row],[Price_USD]]</f>
        <v>1287046493.24</v>
      </c>
      <c r="T1999">
        <v>4</v>
      </c>
      <c r="U1999">
        <v>17812</v>
      </c>
      <c r="V1999">
        <v>5</v>
      </c>
    </row>
    <row r="2000" spans="1:22" x14ac:dyDescent="0.35">
      <c r="A2000">
        <v>1999</v>
      </c>
      <c r="B2000" t="s">
        <v>79</v>
      </c>
      <c r="C2000" t="s">
        <v>80</v>
      </c>
      <c r="D2000">
        <v>2023</v>
      </c>
      <c r="E2000" t="s">
        <v>26</v>
      </c>
      <c r="F2000">
        <v>44.2</v>
      </c>
      <c r="G2000" t="s">
        <v>348</v>
      </c>
      <c r="H2000">
        <f>electric_vehicles_dataset[[#This Row],[Battery_Capacity_kWh]]/electric_vehicles_dataset[[#This Row],[Range_km]]</f>
        <v>7.8647686832740218E-2</v>
      </c>
      <c r="I2000">
        <v>562</v>
      </c>
      <c r="J2000" t="s">
        <v>356</v>
      </c>
      <c r="K2000">
        <v>7</v>
      </c>
      <c r="L2000" s="1">
        <v>125753.56</v>
      </c>
      <c r="M2000" s="1" t="str" cm="1">
        <f t="array" ref="M200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00" t="s">
        <v>253</v>
      </c>
      <c r="O2000" t="s">
        <v>169</v>
      </c>
      <c r="P2000" s="2" t="s">
        <v>394</v>
      </c>
      <c r="Q2000">
        <v>0</v>
      </c>
      <c r="R2000" t="s">
        <v>390</v>
      </c>
      <c r="S2000" s="1">
        <f>electric_vehicles_dataset[[#This Row],[Units_Sold_2024]]*electric_vehicles_dataset[[#This Row],[Price_USD]]</f>
        <v>2104234319.48</v>
      </c>
      <c r="T2000">
        <v>5</v>
      </c>
      <c r="U2000">
        <v>16733</v>
      </c>
      <c r="V2000">
        <v>4</v>
      </c>
    </row>
    <row r="2001" spans="1:22" x14ac:dyDescent="0.35">
      <c r="A2001">
        <v>2000</v>
      </c>
      <c r="B2001" t="s">
        <v>140</v>
      </c>
      <c r="C2001" t="s">
        <v>256</v>
      </c>
      <c r="D2001">
        <v>2021</v>
      </c>
      <c r="E2001" t="s">
        <v>31</v>
      </c>
      <c r="F2001">
        <v>66</v>
      </c>
      <c r="G2001" t="s">
        <v>351</v>
      </c>
      <c r="H2001">
        <f>electric_vehicles_dataset[[#This Row],[Battery_Capacity_kWh]]/electric_vehicles_dataset[[#This Row],[Range_km]]</f>
        <v>0.24812030075187969</v>
      </c>
      <c r="I2001">
        <v>266</v>
      </c>
      <c r="J2001" t="s">
        <v>54</v>
      </c>
      <c r="K2001">
        <v>1</v>
      </c>
      <c r="L2001" s="1">
        <v>141611.07999999999</v>
      </c>
      <c r="M2001" s="1" t="str" cm="1">
        <f t="array" ref="M20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01" t="s">
        <v>177</v>
      </c>
      <c r="O2001" t="s">
        <v>354</v>
      </c>
      <c r="P2001" s="2" t="s">
        <v>394</v>
      </c>
      <c r="Q2001">
        <v>1</v>
      </c>
      <c r="R2001" t="s">
        <v>391</v>
      </c>
      <c r="S2001" s="1">
        <f>electric_vehicles_dataset[[#This Row],[Units_Sold_2024]]*electric_vehicles_dataset[[#This Row],[Price_USD]]</f>
        <v>795004603.11999989</v>
      </c>
      <c r="T2001">
        <v>4</v>
      </c>
      <c r="U2001">
        <v>5614</v>
      </c>
      <c r="V2001">
        <v>5</v>
      </c>
    </row>
    <row r="2002" spans="1:22" x14ac:dyDescent="0.35">
      <c r="A2002">
        <v>2001</v>
      </c>
      <c r="B2002" t="s">
        <v>207</v>
      </c>
      <c r="C2002" t="s">
        <v>208</v>
      </c>
      <c r="D2002">
        <v>2023</v>
      </c>
      <c r="E2002" t="s">
        <v>42</v>
      </c>
      <c r="F2002">
        <v>76.3</v>
      </c>
      <c r="G2002" t="s">
        <v>351</v>
      </c>
      <c r="H2002">
        <f>electric_vehicles_dataset[[#This Row],[Battery_Capacity_kWh]]/electric_vehicles_dataset[[#This Row],[Range_km]]</f>
        <v>0.63057851239669416</v>
      </c>
      <c r="I2002">
        <v>121</v>
      </c>
      <c r="J2002" t="s">
        <v>38</v>
      </c>
      <c r="K2002">
        <v>10</v>
      </c>
      <c r="L2002" s="1">
        <v>103614.33</v>
      </c>
      <c r="M2002" s="1" t="str" cm="1">
        <f t="array" ref="M20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02" t="s">
        <v>28</v>
      </c>
      <c r="O2002" t="s">
        <v>167</v>
      </c>
      <c r="P2002" s="2" t="s">
        <v>394</v>
      </c>
      <c r="Q2002">
        <v>4</v>
      </c>
      <c r="R2002" t="s">
        <v>392</v>
      </c>
      <c r="S2002" s="1">
        <f>electric_vehicles_dataset[[#This Row],[Units_Sold_2024]]*electric_vehicles_dataset[[#This Row],[Price_USD]]</f>
        <v>1702694284.8900001</v>
      </c>
      <c r="T2002">
        <v>5</v>
      </c>
      <c r="U2002">
        <v>16433</v>
      </c>
      <c r="V2002">
        <v>3</v>
      </c>
    </row>
    <row r="2003" spans="1:22" x14ac:dyDescent="0.35">
      <c r="A2003">
        <v>2002</v>
      </c>
      <c r="B2003" t="s">
        <v>136</v>
      </c>
      <c r="C2003" t="s">
        <v>137</v>
      </c>
      <c r="D2003">
        <v>2022</v>
      </c>
      <c r="E2003" t="s">
        <v>53</v>
      </c>
      <c r="F2003">
        <v>24.7</v>
      </c>
      <c r="G2003" t="s">
        <v>357</v>
      </c>
      <c r="H2003">
        <f>electric_vehicles_dataset[[#This Row],[Battery_Capacity_kWh]]/electric_vehicles_dataset[[#This Row],[Range_km]]</f>
        <v>0.13876404494382022</v>
      </c>
      <c r="I2003">
        <v>178</v>
      </c>
      <c r="J2003" t="s">
        <v>27</v>
      </c>
      <c r="K2003">
        <v>3</v>
      </c>
      <c r="L2003" s="1">
        <v>110381.86</v>
      </c>
      <c r="M2003" s="1" t="str" cm="1">
        <f t="array" ref="M200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03" t="s">
        <v>142</v>
      </c>
      <c r="O2003" t="s">
        <v>23</v>
      </c>
      <c r="P2003" s="2" t="s">
        <v>389</v>
      </c>
      <c r="Q2003">
        <v>4</v>
      </c>
      <c r="R2003" t="s">
        <v>392</v>
      </c>
      <c r="S2003" s="1">
        <f>electric_vehicles_dataset[[#This Row],[Units_Sold_2024]]*electric_vehicles_dataset[[#This Row],[Price_USD]]</f>
        <v>606106793.25999999</v>
      </c>
      <c r="T2003">
        <v>3</v>
      </c>
      <c r="U2003">
        <v>5491</v>
      </c>
      <c r="V2003">
        <v>3</v>
      </c>
    </row>
    <row r="2004" spans="1:22" x14ac:dyDescent="0.35">
      <c r="A2004">
        <v>2003</v>
      </c>
      <c r="B2004" t="s">
        <v>269</v>
      </c>
      <c r="C2004" t="s">
        <v>329</v>
      </c>
      <c r="D2004">
        <v>2015</v>
      </c>
      <c r="E2004" t="s">
        <v>31</v>
      </c>
      <c r="F2004">
        <v>132.80000000000001</v>
      </c>
      <c r="G2004" t="s">
        <v>352</v>
      </c>
      <c r="H2004">
        <f>electric_vehicles_dataset[[#This Row],[Battery_Capacity_kWh]]/electric_vehicles_dataset[[#This Row],[Range_km]]</f>
        <v>0.22778730703259006</v>
      </c>
      <c r="I2004">
        <v>583</v>
      </c>
      <c r="J2004" t="s">
        <v>34</v>
      </c>
      <c r="K2004">
        <v>7</v>
      </c>
      <c r="L2004" s="1">
        <v>147619.53</v>
      </c>
      <c r="M2004" s="1" t="str" cm="1">
        <f t="array" ref="M200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04" t="s">
        <v>131</v>
      </c>
      <c r="O2004" t="s">
        <v>236</v>
      </c>
      <c r="P2004" s="2" t="s">
        <v>394</v>
      </c>
      <c r="Q2004">
        <v>5</v>
      </c>
      <c r="R2004" t="s">
        <v>392</v>
      </c>
      <c r="S2004" s="1">
        <f>electric_vehicles_dataset[[#This Row],[Units_Sold_2024]]*electric_vehicles_dataset[[#This Row],[Price_USD]]</f>
        <v>2619656179.3800001</v>
      </c>
      <c r="T2004">
        <v>4</v>
      </c>
      <c r="U2004">
        <v>17746</v>
      </c>
      <c r="V2004">
        <v>5</v>
      </c>
    </row>
    <row r="2005" spans="1:22" x14ac:dyDescent="0.35">
      <c r="A2005">
        <v>2004</v>
      </c>
      <c r="B2005" t="s">
        <v>68</v>
      </c>
      <c r="C2005" t="s">
        <v>69</v>
      </c>
      <c r="D2005">
        <v>2017</v>
      </c>
      <c r="E2005" t="s">
        <v>130</v>
      </c>
      <c r="F2005">
        <v>38.700000000000003</v>
      </c>
      <c r="G2005" t="s">
        <v>357</v>
      </c>
      <c r="H2005">
        <f>electric_vehicles_dataset[[#This Row],[Battery_Capacity_kWh]]/electric_vehicles_dataset[[#This Row],[Range_km]]</f>
        <v>0.11517857142857144</v>
      </c>
      <c r="I2005">
        <v>336</v>
      </c>
      <c r="J2005" t="s">
        <v>34</v>
      </c>
      <c r="K2005">
        <v>12</v>
      </c>
      <c r="L2005" s="1">
        <v>116685.03</v>
      </c>
      <c r="M2005" s="1" t="str" cm="1">
        <f t="array" ref="M200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05" t="s">
        <v>240</v>
      </c>
      <c r="O2005" t="s">
        <v>115</v>
      </c>
      <c r="P2005" s="2" t="s">
        <v>396</v>
      </c>
      <c r="Q2005">
        <v>3</v>
      </c>
      <c r="R2005" t="s">
        <v>397</v>
      </c>
      <c r="S2005" s="1">
        <f>electric_vehicles_dataset[[#This Row],[Units_Sold_2024]]*electric_vehicles_dataset[[#This Row],[Price_USD]]</f>
        <v>1673263330.2</v>
      </c>
      <c r="T2005">
        <v>4</v>
      </c>
      <c r="U2005">
        <v>14340</v>
      </c>
      <c r="V2005">
        <v>3</v>
      </c>
    </row>
    <row r="2006" spans="1:22" x14ac:dyDescent="0.35">
      <c r="A2006">
        <v>2005</v>
      </c>
      <c r="B2006" t="s">
        <v>269</v>
      </c>
      <c r="C2006" t="s">
        <v>307</v>
      </c>
      <c r="D2006">
        <v>2021</v>
      </c>
      <c r="E2006" t="s">
        <v>101</v>
      </c>
      <c r="F2006">
        <v>106.6</v>
      </c>
      <c r="G2006" t="s">
        <v>361</v>
      </c>
      <c r="H2006">
        <f>electric_vehicles_dataset[[#This Row],[Battery_Capacity_kWh]]/electric_vehicles_dataset[[#This Row],[Range_km]]</f>
        <v>0.49351851851851847</v>
      </c>
      <c r="I2006">
        <v>216</v>
      </c>
      <c r="J2006" t="s">
        <v>353</v>
      </c>
      <c r="K2006">
        <v>4</v>
      </c>
      <c r="L2006" s="1">
        <v>105995.44</v>
      </c>
      <c r="M2006" s="1" t="str" cm="1">
        <f t="array" ref="M200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06" t="s">
        <v>257</v>
      </c>
      <c r="O2006" t="s">
        <v>33</v>
      </c>
      <c r="P2006" s="2" t="s">
        <v>393</v>
      </c>
      <c r="Q2006">
        <v>2</v>
      </c>
      <c r="R2006" t="s">
        <v>391</v>
      </c>
      <c r="S2006" s="1">
        <f>electric_vehicles_dataset[[#This Row],[Units_Sold_2024]]*electric_vehicles_dataset[[#This Row],[Price_USD]]</f>
        <v>448254715.75999999</v>
      </c>
      <c r="T2006">
        <v>5</v>
      </c>
      <c r="U2006">
        <v>4229</v>
      </c>
      <c r="V2006">
        <v>4</v>
      </c>
    </row>
    <row r="2007" spans="1:22" x14ac:dyDescent="0.35">
      <c r="A2007">
        <v>2006</v>
      </c>
      <c r="B2007" t="s">
        <v>262</v>
      </c>
      <c r="C2007" t="s">
        <v>263</v>
      </c>
      <c r="D2007">
        <v>2015</v>
      </c>
      <c r="E2007" t="s">
        <v>133</v>
      </c>
      <c r="F2007">
        <v>63</v>
      </c>
      <c r="G2007" t="s">
        <v>351</v>
      </c>
      <c r="H2007">
        <f>electric_vehicles_dataset[[#This Row],[Battery_Capacity_kWh]]/electric_vehicles_dataset[[#This Row],[Range_km]]</f>
        <v>0.23076923076923078</v>
      </c>
      <c r="I2007">
        <v>273</v>
      </c>
      <c r="J2007" t="s">
        <v>149</v>
      </c>
      <c r="K2007">
        <v>9</v>
      </c>
      <c r="L2007" s="1">
        <v>86377.95</v>
      </c>
      <c r="M2007" s="1" t="str" cm="1">
        <f t="array" ref="M20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07" t="s">
        <v>279</v>
      </c>
      <c r="O2007" t="s">
        <v>150</v>
      </c>
      <c r="P2007" s="2" t="s">
        <v>389</v>
      </c>
      <c r="Q2007">
        <v>1</v>
      </c>
      <c r="R2007" t="s">
        <v>391</v>
      </c>
      <c r="S2007" s="1">
        <f>electric_vehicles_dataset[[#This Row],[Units_Sold_2024]]*electric_vehicles_dataset[[#This Row],[Price_USD]]</f>
        <v>481729827.14999998</v>
      </c>
      <c r="T2007">
        <v>3</v>
      </c>
      <c r="U2007">
        <v>5577</v>
      </c>
      <c r="V2007">
        <v>5</v>
      </c>
    </row>
    <row r="2008" spans="1:22" x14ac:dyDescent="0.35">
      <c r="A2008">
        <v>2007</v>
      </c>
      <c r="B2008" t="s">
        <v>243</v>
      </c>
      <c r="C2008" t="s">
        <v>371</v>
      </c>
      <c r="D2008">
        <v>2015</v>
      </c>
      <c r="E2008" t="s">
        <v>133</v>
      </c>
      <c r="F2008">
        <v>112.2</v>
      </c>
      <c r="G2008" t="s">
        <v>361</v>
      </c>
      <c r="H2008">
        <f>electric_vehicles_dataset[[#This Row],[Battery_Capacity_kWh]]/electric_vehicles_dataset[[#This Row],[Range_km]]</f>
        <v>0.22306163021868788</v>
      </c>
      <c r="I2008">
        <v>503</v>
      </c>
      <c r="J2008" t="s">
        <v>105</v>
      </c>
      <c r="K2008">
        <v>1</v>
      </c>
      <c r="L2008" s="1">
        <v>117218.51</v>
      </c>
      <c r="M2008" s="1" t="str" cm="1">
        <f t="array" ref="M20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08" t="s">
        <v>240</v>
      </c>
      <c r="O2008" t="s">
        <v>50</v>
      </c>
      <c r="P2008" s="2" t="s">
        <v>396</v>
      </c>
      <c r="Q2008">
        <v>2</v>
      </c>
      <c r="R2008" t="s">
        <v>391</v>
      </c>
      <c r="S2008" s="1">
        <f>electric_vehicles_dataset[[#This Row],[Units_Sold_2024]]*electric_vehicles_dataset[[#This Row],[Price_USD]]</f>
        <v>856281215.54999995</v>
      </c>
      <c r="T2008">
        <v>5</v>
      </c>
      <c r="U2008">
        <v>7305</v>
      </c>
      <c r="V2008">
        <v>5</v>
      </c>
    </row>
    <row r="2009" spans="1:22" x14ac:dyDescent="0.35">
      <c r="A2009">
        <v>2008</v>
      </c>
      <c r="B2009" t="s">
        <v>170</v>
      </c>
      <c r="C2009" t="s">
        <v>275</v>
      </c>
      <c r="D2009">
        <v>2022</v>
      </c>
      <c r="E2009" t="s">
        <v>73</v>
      </c>
      <c r="F2009">
        <v>25</v>
      </c>
      <c r="G2009" t="s">
        <v>357</v>
      </c>
      <c r="H2009">
        <f>electric_vehicles_dataset[[#This Row],[Battery_Capacity_kWh]]/electric_vehicles_dataset[[#This Row],[Range_km]]</f>
        <v>0.16339869281045752</v>
      </c>
      <c r="I2009">
        <v>153</v>
      </c>
      <c r="J2009" t="s">
        <v>48</v>
      </c>
      <c r="K2009">
        <v>5</v>
      </c>
      <c r="L2009" s="1">
        <v>146527.92000000001</v>
      </c>
      <c r="M2009" s="1" t="str" cm="1">
        <f t="array" ref="M200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09" t="s">
        <v>19</v>
      </c>
      <c r="O2009" t="s">
        <v>92</v>
      </c>
      <c r="P2009" s="2" t="s">
        <v>394</v>
      </c>
      <c r="Q2009">
        <v>4</v>
      </c>
      <c r="R2009" t="s">
        <v>392</v>
      </c>
      <c r="S2009" s="1">
        <f>electric_vehicles_dataset[[#This Row],[Units_Sold_2024]]*electric_vehicles_dataset[[#This Row],[Price_USD]]</f>
        <v>1919222696.1600001</v>
      </c>
      <c r="T2009">
        <v>4</v>
      </c>
      <c r="U2009">
        <v>13098</v>
      </c>
      <c r="V2009">
        <v>5</v>
      </c>
    </row>
    <row r="2010" spans="1:22" x14ac:dyDescent="0.35">
      <c r="A2010">
        <v>2009</v>
      </c>
      <c r="B2010" t="s">
        <v>45</v>
      </c>
      <c r="C2010" t="s">
        <v>132</v>
      </c>
      <c r="D2010">
        <v>2023</v>
      </c>
      <c r="E2010" t="s">
        <v>42</v>
      </c>
      <c r="F2010">
        <v>129.4</v>
      </c>
      <c r="G2010" t="s">
        <v>352</v>
      </c>
      <c r="H2010">
        <f>electric_vehicles_dataset[[#This Row],[Battery_Capacity_kWh]]/electric_vehicles_dataset[[#This Row],[Range_km]]</f>
        <v>0.23656307129798904</v>
      </c>
      <c r="I2010">
        <v>547</v>
      </c>
      <c r="J2010" t="s">
        <v>38</v>
      </c>
      <c r="K2010">
        <v>5</v>
      </c>
      <c r="L2010" s="1">
        <v>31219.1</v>
      </c>
      <c r="M2010" s="1" t="str" cm="1">
        <f t="array" ref="M201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10" t="s">
        <v>49</v>
      </c>
      <c r="O2010" t="s">
        <v>206</v>
      </c>
      <c r="P2010" s="2" t="s">
        <v>394</v>
      </c>
      <c r="Q2010">
        <v>2</v>
      </c>
      <c r="R2010" t="s">
        <v>391</v>
      </c>
      <c r="S2010" s="1">
        <f>electric_vehicles_dataset[[#This Row],[Units_Sold_2024]]*electric_vehicles_dataset[[#This Row],[Price_USD]]</f>
        <v>233487648.89999998</v>
      </c>
      <c r="T2010">
        <v>5</v>
      </c>
      <c r="U2010">
        <v>7479</v>
      </c>
      <c r="V2010">
        <v>3</v>
      </c>
    </row>
    <row r="2011" spans="1:22" x14ac:dyDescent="0.35">
      <c r="A2011">
        <v>2010</v>
      </c>
      <c r="B2011" t="s">
        <v>120</v>
      </c>
      <c r="C2011" t="s">
        <v>288</v>
      </c>
      <c r="D2011">
        <v>2024</v>
      </c>
      <c r="E2011" t="s">
        <v>26</v>
      </c>
      <c r="F2011">
        <v>29.2</v>
      </c>
      <c r="G2011" t="s">
        <v>357</v>
      </c>
      <c r="H2011">
        <f>electric_vehicles_dataset[[#This Row],[Battery_Capacity_kWh]]/electric_vehicles_dataset[[#This Row],[Range_km]]</f>
        <v>6.4459161147902871E-2</v>
      </c>
      <c r="I2011">
        <v>453</v>
      </c>
      <c r="J2011" t="s">
        <v>85</v>
      </c>
      <c r="K2011">
        <v>4</v>
      </c>
      <c r="L2011" s="1">
        <v>102274.52</v>
      </c>
      <c r="M2011" s="1" t="str" cm="1">
        <f t="array" ref="M20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11" t="s">
        <v>91</v>
      </c>
      <c r="O2011" t="s">
        <v>107</v>
      </c>
      <c r="P2011" s="2" t="s">
        <v>394</v>
      </c>
      <c r="Q2011">
        <v>5</v>
      </c>
      <c r="R2011" t="s">
        <v>392</v>
      </c>
      <c r="S2011" s="1">
        <f>electric_vehicles_dataset[[#This Row],[Units_Sold_2024]]*electric_vehicles_dataset[[#This Row],[Price_USD]]</f>
        <v>1418343043.3600001</v>
      </c>
      <c r="T2011">
        <v>4</v>
      </c>
      <c r="U2011">
        <v>13868</v>
      </c>
      <c r="V2011">
        <v>3</v>
      </c>
    </row>
    <row r="2012" spans="1:22" x14ac:dyDescent="0.35">
      <c r="A2012">
        <v>2011</v>
      </c>
      <c r="B2012" t="s">
        <v>87</v>
      </c>
      <c r="C2012" t="s">
        <v>305</v>
      </c>
      <c r="D2012">
        <v>2020</v>
      </c>
      <c r="E2012" t="s">
        <v>90</v>
      </c>
      <c r="F2012">
        <v>129.19999999999999</v>
      </c>
      <c r="G2012" t="s">
        <v>352</v>
      </c>
      <c r="H2012">
        <f>electric_vehicles_dataset[[#This Row],[Battery_Capacity_kWh]]/electric_vehicles_dataset[[#This Row],[Range_km]]</f>
        <v>0.28968609865470851</v>
      </c>
      <c r="I2012">
        <v>446</v>
      </c>
      <c r="J2012" t="s">
        <v>105</v>
      </c>
      <c r="K2012">
        <v>12</v>
      </c>
      <c r="L2012" s="1">
        <v>80609.5</v>
      </c>
      <c r="M2012" s="1" t="str" cm="1">
        <f t="array" ref="M201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12" t="s">
        <v>210</v>
      </c>
      <c r="O2012" t="s">
        <v>230</v>
      </c>
      <c r="P2012" s="2" t="s">
        <v>389</v>
      </c>
      <c r="Q2012">
        <v>5</v>
      </c>
      <c r="R2012" t="s">
        <v>392</v>
      </c>
      <c r="S2012" s="1">
        <f>electric_vehicles_dataset[[#This Row],[Units_Sold_2024]]*electric_vehicles_dataset[[#This Row],[Price_USD]]</f>
        <v>224819895.5</v>
      </c>
      <c r="T2012">
        <v>3</v>
      </c>
      <c r="U2012">
        <v>2789</v>
      </c>
      <c r="V2012">
        <v>3</v>
      </c>
    </row>
    <row r="2013" spans="1:22" x14ac:dyDescent="0.35">
      <c r="A2013">
        <v>2012</v>
      </c>
      <c r="B2013" t="s">
        <v>215</v>
      </c>
      <c r="C2013" t="s">
        <v>216</v>
      </c>
      <c r="D2013">
        <v>2018</v>
      </c>
      <c r="E2013" t="s">
        <v>26</v>
      </c>
      <c r="F2013">
        <v>144.19999999999999</v>
      </c>
      <c r="G2013" t="s">
        <v>386</v>
      </c>
      <c r="H2013">
        <f>electric_vehicles_dataset[[#This Row],[Battery_Capacity_kWh]]/electric_vehicles_dataset[[#This Row],[Range_km]]</f>
        <v>0.36598984771573601</v>
      </c>
      <c r="I2013">
        <v>394</v>
      </c>
      <c r="J2013" t="s">
        <v>76</v>
      </c>
      <c r="K2013">
        <v>9</v>
      </c>
      <c r="L2013" s="1">
        <v>58958.87</v>
      </c>
      <c r="M2013" s="1" t="str" cm="1">
        <f t="array" ref="M20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13" t="s">
        <v>246</v>
      </c>
      <c r="O2013" t="s">
        <v>230</v>
      </c>
      <c r="P2013" s="2" t="s">
        <v>389</v>
      </c>
      <c r="Q2013">
        <v>5</v>
      </c>
      <c r="R2013" t="s">
        <v>392</v>
      </c>
      <c r="S2013" s="1">
        <f>electric_vehicles_dataset[[#This Row],[Units_Sold_2024]]*electric_vehicles_dataset[[#This Row],[Price_USD]]</f>
        <v>478628106.66000003</v>
      </c>
      <c r="T2013">
        <v>3</v>
      </c>
      <c r="U2013">
        <v>8118</v>
      </c>
      <c r="V2013">
        <v>4</v>
      </c>
    </row>
    <row r="2014" spans="1:22" x14ac:dyDescent="0.35">
      <c r="A2014">
        <v>2013</v>
      </c>
      <c r="B2014" t="s">
        <v>222</v>
      </c>
      <c r="C2014" t="s">
        <v>223</v>
      </c>
      <c r="D2014">
        <v>2020</v>
      </c>
      <c r="E2014" t="s">
        <v>53</v>
      </c>
      <c r="F2014">
        <v>135.4</v>
      </c>
      <c r="G2014" t="s">
        <v>352</v>
      </c>
      <c r="H2014">
        <f>electric_vehicles_dataset[[#This Row],[Battery_Capacity_kWh]]/electric_vehicles_dataset[[#This Row],[Range_km]]</f>
        <v>0.27298387096774196</v>
      </c>
      <c r="I2014">
        <v>496</v>
      </c>
      <c r="J2014" t="s">
        <v>364</v>
      </c>
      <c r="K2014">
        <v>1</v>
      </c>
      <c r="L2014" s="1">
        <v>110839.03</v>
      </c>
      <c r="M2014" s="1" t="str" cm="1">
        <f t="array" ref="M201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14" t="s">
        <v>43</v>
      </c>
      <c r="O2014" t="s">
        <v>33</v>
      </c>
      <c r="P2014" s="2" t="s">
        <v>393</v>
      </c>
      <c r="Q2014">
        <v>1</v>
      </c>
      <c r="R2014" t="s">
        <v>391</v>
      </c>
      <c r="S2014" s="1">
        <f>electric_vehicles_dataset[[#This Row],[Units_Sold_2024]]*electric_vehicles_dataset[[#This Row],[Price_USD]]</f>
        <v>1184204196.52</v>
      </c>
      <c r="T2014">
        <v>3</v>
      </c>
      <c r="U2014">
        <v>10684</v>
      </c>
      <c r="V2014">
        <v>4</v>
      </c>
    </row>
    <row r="2015" spans="1:22" x14ac:dyDescent="0.35">
      <c r="A2015">
        <v>2014</v>
      </c>
      <c r="B2015" t="s">
        <v>45</v>
      </c>
      <c r="C2015" t="s">
        <v>132</v>
      </c>
      <c r="D2015">
        <v>2017</v>
      </c>
      <c r="E2015" t="s">
        <v>73</v>
      </c>
      <c r="F2015">
        <v>105.3</v>
      </c>
      <c r="G2015" t="s">
        <v>361</v>
      </c>
      <c r="H2015">
        <f>electric_vehicles_dataset[[#This Row],[Battery_Capacity_kWh]]/electric_vehicles_dataset[[#This Row],[Range_km]]</f>
        <v>0.3</v>
      </c>
      <c r="I2015">
        <v>351</v>
      </c>
      <c r="J2015" t="s">
        <v>85</v>
      </c>
      <c r="K2015">
        <v>6</v>
      </c>
      <c r="L2015" s="1">
        <v>85296.88</v>
      </c>
      <c r="M2015" s="1" t="str" cm="1">
        <f t="array" ref="M201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15" t="s">
        <v>146</v>
      </c>
      <c r="O2015" t="s">
        <v>110</v>
      </c>
      <c r="P2015" s="2" t="s">
        <v>394</v>
      </c>
      <c r="Q2015">
        <v>3</v>
      </c>
      <c r="R2015" t="s">
        <v>397</v>
      </c>
      <c r="S2015" s="1">
        <f>electric_vehicles_dataset[[#This Row],[Units_Sold_2024]]*electric_vehicles_dataset[[#This Row],[Price_USD]]</f>
        <v>1624905564</v>
      </c>
      <c r="T2015">
        <v>5</v>
      </c>
      <c r="U2015">
        <v>19050</v>
      </c>
      <c r="V2015">
        <v>5</v>
      </c>
    </row>
    <row r="2016" spans="1:22" x14ac:dyDescent="0.35">
      <c r="A2016">
        <v>2015</v>
      </c>
      <c r="B2016" t="s">
        <v>176</v>
      </c>
      <c r="C2016" t="s">
        <v>365</v>
      </c>
      <c r="D2016">
        <v>2022</v>
      </c>
      <c r="E2016" t="s">
        <v>104</v>
      </c>
      <c r="F2016">
        <v>93.9</v>
      </c>
      <c r="G2016" t="s">
        <v>350</v>
      </c>
      <c r="H2016">
        <f>electric_vehicles_dataset[[#This Row],[Battery_Capacity_kWh]]/electric_vehicles_dataset[[#This Row],[Range_km]]</f>
        <v>0.22736077481840195</v>
      </c>
      <c r="I2016">
        <v>413</v>
      </c>
      <c r="J2016" t="s">
        <v>149</v>
      </c>
      <c r="K2016">
        <v>12</v>
      </c>
      <c r="L2016" s="1">
        <v>33050.17</v>
      </c>
      <c r="M2016" s="1" t="str" cm="1">
        <f t="array" ref="M201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16" t="s">
        <v>219</v>
      </c>
      <c r="O2016" t="s">
        <v>89</v>
      </c>
      <c r="P2016" s="2" t="s">
        <v>389</v>
      </c>
      <c r="Q2016">
        <v>1</v>
      </c>
      <c r="R2016" t="s">
        <v>391</v>
      </c>
      <c r="S2016" s="1">
        <f>electric_vehicles_dataset[[#This Row],[Units_Sold_2024]]*electric_vehicles_dataset[[#This Row],[Price_USD]]</f>
        <v>89863412.229999989</v>
      </c>
      <c r="T2016">
        <v>5</v>
      </c>
      <c r="U2016">
        <v>2719</v>
      </c>
      <c r="V2016">
        <v>4</v>
      </c>
    </row>
    <row r="2017" spans="1:22" x14ac:dyDescent="0.35">
      <c r="A2017">
        <v>2016</v>
      </c>
      <c r="B2017" t="s">
        <v>64</v>
      </c>
      <c r="C2017" t="s">
        <v>65</v>
      </c>
      <c r="D2017">
        <v>2023</v>
      </c>
      <c r="E2017" t="s">
        <v>104</v>
      </c>
      <c r="F2017">
        <v>133.80000000000001</v>
      </c>
      <c r="G2017" t="s">
        <v>352</v>
      </c>
      <c r="H2017">
        <f>electric_vehicles_dataset[[#This Row],[Battery_Capacity_kWh]]/electric_vehicles_dataset[[#This Row],[Range_km]]</f>
        <v>0.22677966101694919</v>
      </c>
      <c r="I2017">
        <v>590</v>
      </c>
      <c r="J2017" t="s">
        <v>54</v>
      </c>
      <c r="K2017">
        <v>11</v>
      </c>
      <c r="L2017" s="1">
        <v>97098.09</v>
      </c>
      <c r="M2017" s="1" t="str" cm="1">
        <f t="array" ref="M20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17" t="s">
        <v>217</v>
      </c>
      <c r="O2017" t="s">
        <v>202</v>
      </c>
      <c r="P2017" s="2" t="s">
        <v>393</v>
      </c>
      <c r="Q2017">
        <v>5</v>
      </c>
      <c r="R2017" t="s">
        <v>392</v>
      </c>
      <c r="S2017" s="1">
        <f>electric_vehicles_dataset[[#This Row],[Units_Sold_2024]]*electric_vehicles_dataset[[#This Row],[Price_USD]]</f>
        <v>1167507434.1599998</v>
      </c>
      <c r="T2017">
        <v>5</v>
      </c>
      <c r="U2017">
        <v>12024</v>
      </c>
      <c r="V2017">
        <v>3</v>
      </c>
    </row>
    <row r="2018" spans="1:22" x14ac:dyDescent="0.35">
      <c r="A2018">
        <v>2017</v>
      </c>
      <c r="B2018" t="s">
        <v>74</v>
      </c>
      <c r="C2018" t="s">
        <v>75</v>
      </c>
      <c r="D2018">
        <v>2022</v>
      </c>
      <c r="E2018" t="s">
        <v>53</v>
      </c>
      <c r="F2018">
        <v>106.9</v>
      </c>
      <c r="G2018" t="s">
        <v>361</v>
      </c>
      <c r="H2018">
        <f>electric_vehicles_dataset[[#This Row],[Battery_Capacity_kWh]]/electric_vehicles_dataset[[#This Row],[Range_km]]</f>
        <v>0.2881401617250674</v>
      </c>
      <c r="I2018">
        <v>371</v>
      </c>
      <c r="J2018" t="s">
        <v>85</v>
      </c>
      <c r="K2018">
        <v>9</v>
      </c>
      <c r="L2018" s="1">
        <v>38916.71</v>
      </c>
      <c r="M2018" s="1" t="str" cm="1">
        <f t="array" ref="M201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18" t="s">
        <v>39</v>
      </c>
      <c r="O2018" t="s">
        <v>89</v>
      </c>
      <c r="P2018" s="2" t="s">
        <v>389</v>
      </c>
      <c r="Q2018">
        <v>5</v>
      </c>
      <c r="R2018" t="s">
        <v>392</v>
      </c>
      <c r="S2018" s="1">
        <f>electric_vehicles_dataset[[#This Row],[Units_Sold_2024]]*electric_vehicles_dataset[[#This Row],[Price_USD]]</f>
        <v>117995464.72</v>
      </c>
      <c r="T2018">
        <v>3</v>
      </c>
      <c r="U2018">
        <v>3032</v>
      </c>
      <c r="V2018">
        <v>4</v>
      </c>
    </row>
    <row r="2019" spans="1:22" x14ac:dyDescent="0.35">
      <c r="A2019">
        <v>2018</v>
      </c>
      <c r="B2019" t="s">
        <v>187</v>
      </c>
      <c r="C2019" t="s">
        <v>293</v>
      </c>
      <c r="D2019">
        <v>2019</v>
      </c>
      <c r="E2019" t="s">
        <v>17</v>
      </c>
      <c r="F2019">
        <v>58.5</v>
      </c>
      <c r="G2019" t="s">
        <v>348</v>
      </c>
      <c r="H2019">
        <f>electric_vehicles_dataset[[#This Row],[Battery_Capacity_kWh]]/electric_vehicles_dataset[[#This Row],[Range_km]]</f>
        <v>0.33238636363636365</v>
      </c>
      <c r="I2019">
        <v>176</v>
      </c>
      <c r="J2019" t="s">
        <v>27</v>
      </c>
      <c r="K2019">
        <v>10</v>
      </c>
      <c r="L2019" s="1">
        <v>34843.22</v>
      </c>
      <c r="M2019" s="1" t="str" cm="1">
        <f t="array" ref="M20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19" t="s">
        <v>271</v>
      </c>
      <c r="O2019" t="s">
        <v>150</v>
      </c>
      <c r="P2019" s="2" t="s">
        <v>389</v>
      </c>
      <c r="Q2019">
        <v>3</v>
      </c>
      <c r="R2019" t="s">
        <v>397</v>
      </c>
      <c r="S2019" s="1">
        <f>electric_vehicles_dataset[[#This Row],[Units_Sold_2024]]*electric_vehicles_dataset[[#This Row],[Price_USD]]</f>
        <v>231149921.48000002</v>
      </c>
      <c r="T2019">
        <v>4</v>
      </c>
      <c r="U2019">
        <v>6634</v>
      </c>
      <c r="V2019">
        <v>3</v>
      </c>
    </row>
    <row r="2020" spans="1:22" x14ac:dyDescent="0.35">
      <c r="A2020">
        <v>2019</v>
      </c>
      <c r="B2020" t="s">
        <v>140</v>
      </c>
      <c r="C2020" t="s">
        <v>227</v>
      </c>
      <c r="D2020">
        <v>2019</v>
      </c>
      <c r="E2020" t="s">
        <v>84</v>
      </c>
      <c r="F2020">
        <v>44.5</v>
      </c>
      <c r="G2020" t="s">
        <v>348</v>
      </c>
      <c r="H2020">
        <f>electric_vehicles_dataset[[#This Row],[Battery_Capacity_kWh]]/electric_vehicles_dataset[[#This Row],[Range_km]]</f>
        <v>9.4080338266384775E-2</v>
      </c>
      <c r="I2020">
        <v>473</v>
      </c>
      <c r="J2020" t="s">
        <v>149</v>
      </c>
      <c r="K2020">
        <v>8</v>
      </c>
      <c r="L2020" s="1">
        <v>59036.69</v>
      </c>
      <c r="M2020" s="1" t="str" cm="1">
        <f t="array" ref="M202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20" t="s">
        <v>254</v>
      </c>
      <c r="O2020" t="s">
        <v>20</v>
      </c>
      <c r="P2020" s="2" t="s">
        <v>389</v>
      </c>
      <c r="Q2020">
        <v>5</v>
      </c>
      <c r="R2020" t="s">
        <v>392</v>
      </c>
      <c r="S2020" s="1">
        <f>electric_vehicles_dataset[[#This Row],[Units_Sold_2024]]*electric_vehicles_dataset[[#This Row],[Price_USD]]</f>
        <v>18537520.66</v>
      </c>
      <c r="T2020">
        <v>4</v>
      </c>
      <c r="U2020">
        <v>314</v>
      </c>
      <c r="V2020">
        <v>5</v>
      </c>
    </row>
    <row r="2021" spans="1:22" x14ac:dyDescent="0.35">
      <c r="A2021">
        <v>2020</v>
      </c>
      <c r="B2021" t="s">
        <v>136</v>
      </c>
      <c r="C2021" t="s">
        <v>137</v>
      </c>
      <c r="D2021">
        <v>2024</v>
      </c>
      <c r="E2021" t="s">
        <v>31</v>
      </c>
      <c r="F2021">
        <v>149.80000000000001</v>
      </c>
      <c r="G2021" t="s">
        <v>386</v>
      </c>
      <c r="H2021">
        <f>electric_vehicles_dataset[[#This Row],[Battery_Capacity_kWh]]/electric_vehicles_dataset[[#This Row],[Range_km]]</f>
        <v>0.46377708978328175</v>
      </c>
      <c r="I2021">
        <v>323</v>
      </c>
      <c r="J2021" t="s">
        <v>353</v>
      </c>
      <c r="K2021">
        <v>4</v>
      </c>
      <c r="L2021" s="1">
        <v>130259.58</v>
      </c>
      <c r="M2021" s="1" t="str" cm="1">
        <f t="array" ref="M202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21" t="s">
        <v>81</v>
      </c>
      <c r="O2021" t="s">
        <v>135</v>
      </c>
      <c r="P2021" s="2" t="s">
        <v>389</v>
      </c>
      <c r="Q2021">
        <v>0</v>
      </c>
      <c r="R2021" t="s">
        <v>390</v>
      </c>
      <c r="S2021" s="1">
        <f>electric_vehicles_dataset[[#This Row],[Units_Sold_2024]]*electric_vehicles_dataset[[#This Row],[Price_USD]]</f>
        <v>165429666.59999999</v>
      </c>
      <c r="T2021">
        <v>5</v>
      </c>
      <c r="U2021">
        <v>1270</v>
      </c>
      <c r="V2021">
        <v>4</v>
      </c>
    </row>
    <row r="2022" spans="1:22" x14ac:dyDescent="0.35">
      <c r="A2022">
        <v>2021</v>
      </c>
      <c r="B2022" t="s">
        <v>215</v>
      </c>
      <c r="C2022" t="s">
        <v>216</v>
      </c>
      <c r="D2022">
        <v>2020</v>
      </c>
      <c r="E2022" t="s">
        <v>130</v>
      </c>
      <c r="F2022">
        <v>94.3</v>
      </c>
      <c r="G2022" t="s">
        <v>350</v>
      </c>
      <c r="H2022">
        <f>electric_vehicles_dataset[[#This Row],[Battery_Capacity_kWh]]/electric_vehicles_dataset[[#This Row],[Range_km]]</f>
        <v>0.23693467336683416</v>
      </c>
      <c r="I2022">
        <v>398</v>
      </c>
      <c r="J2022" t="s">
        <v>27</v>
      </c>
      <c r="K2022">
        <v>9</v>
      </c>
      <c r="L2022" s="1">
        <v>63877.57</v>
      </c>
      <c r="M2022" s="1" t="str" cm="1">
        <f t="array" ref="M202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22" t="s">
        <v>257</v>
      </c>
      <c r="O2022" t="s">
        <v>226</v>
      </c>
      <c r="P2022" s="2" t="s">
        <v>395</v>
      </c>
      <c r="Q2022">
        <v>2</v>
      </c>
      <c r="R2022" t="s">
        <v>391</v>
      </c>
      <c r="S2022" s="1">
        <f>electric_vehicles_dataset[[#This Row],[Units_Sold_2024]]*electric_vehicles_dataset[[#This Row],[Price_USD]]</f>
        <v>495370555.35000002</v>
      </c>
      <c r="T2022">
        <v>5</v>
      </c>
      <c r="U2022">
        <v>7755</v>
      </c>
      <c r="V2022">
        <v>3</v>
      </c>
    </row>
    <row r="2023" spans="1:22" x14ac:dyDescent="0.35">
      <c r="A2023">
        <v>2022</v>
      </c>
      <c r="B2023" t="s">
        <v>56</v>
      </c>
      <c r="C2023" t="s">
        <v>57</v>
      </c>
      <c r="D2023">
        <v>2021</v>
      </c>
      <c r="E2023" t="s">
        <v>84</v>
      </c>
      <c r="F2023">
        <v>31.2</v>
      </c>
      <c r="G2023" t="s">
        <v>357</v>
      </c>
      <c r="H2023">
        <f>electric_vehicles_dataset[[#This Row],[Battery_Capacity_kWh]]/electric_vehicles_dataset[[#This Row],[Range_km]]</f>
        <v>5.5714285714285716E-2</v>
      </c>
      <c r="I2023">
        <v>560</v>
      </c>
      <c r="J2023" t="s">
        <v>364</v>
      </c>
      <c r="K2023">
        <v>12</v>
      </c>
      <c r="L2023" s="1">
        <v>123807.42</v>
      </c>
      <c r="M2023" s="1" t="str" cm="1">
        <f t="array" ref="M202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23" t="s">
        <v>205</v>
      </c>
      <c r="O2023" t="s">
        <v>111</v>
      </c>
      <c r="P2023" s="2" t="s">
        <v>389</v>
      </c>
      <c r="Q2023">
        <v>5</v>
      </c>
      <c r="R2023" t="s">
        <v>392</v>
      </c>
      <c r="S2023" s="1">
        <f>electric_vehicles_dataset[[#This Row],[Units_Sold_2024]]*electric_vehicles_dataset[[#This Row],[Price_USD]]</f>
        <v>1488412803.24</v>
      </c>
      <c r="T2023">
        <v>5</v>
      </c>
      <c r="U2023">
        <v>12022</v>
      </c>
      <c r="V2023">
        <v>4</v>
      </c>
    </row>
    <row r="2024" spans="1:22" x14ac:dyDescent="0.35">
      <c r="A2024">
        <v>2023</v>
      </c>
      <c r="B2024" t="s">
        <v>29</v>
      </c>
      <c r="C2024" t="s">
        <v>197</v>
      </c>
      <c r="D2024">
        <v>2018</v>
      </c>
      <c r="E2024" t="s">
        <v>90</v>
      </c>
      <c r="F2024">
        <v>119.7</v>
      </c>
      <c r="G2024" t="s">
        <v>361</v>
      </c>
      <c r="H2024">
        <f>electric_vehicles_dataset[[#This Row],[Battery_Capacity_kWh]]/electric_vehicles_dataset[[#This Row],[Range_km]]</f>
        <v>0.28568019093078761</v>
      </c>
      <c r="I2024">
        <v>419</v>
      </c>
      <c r="J2024" t="s">
        <v>358</v>
      </c>
      <c r="K2024">
        <v>9</v>
      </c>
      <c r="L2024" s="1">
        <v>137099.25</v>
      </c>
      <c r="M2024" s="1" t="str" cm="1">
        <f t="array" ref="M202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24" t="s">
        <v>196</v>
      </c>
      <c r="O2024" t="s">
        <v>107</v>
      </c>
      <c r="P2024" s="2" t="s">
        <v>394</v>
      </c>
      <c r="Q2024">
        <v>1</v>
      </c>
      <c r="R2024" t="s">
        <v>391</v>
      </c>
      <c r="S2024" s="1">
        <f>electric_vehicles_dataset[[#This Row],[Units_Sold_2024]]*electric_vehicles_dataset[[#This Row],[Price_USD]]</f>
        <v>520977150</v>
      </c>
      <c r="T2024">
        <v>3</v>
      </c>
      <c r="U2024">
        <v>3800</v>
      </c>
      <c r="V2024">
        <v>3</v>
      </c>
    </row>
    <row r="2025" spans="1:22" x14ac:dyDescent="0.35">
      <c r="A2025">
        <v>2024</v>
      </c>
      <c r="B2025" t="s">
        <v>153</v>
      </c>
      <c r="C2025" t="s">
        <v>204</v>
      </c>
      <c r="D2025">
        <v>2017</v>
      </c>
      <c r="E2025" t="s">
        <v>90</v>
      </c>
      <c r="F2025">
        <v>31.2</v>
      </c>
      <c r="G2025" t="s">
        <v>357</v>
      </c>
      <c r="H2025">
        <f>electric_vehicles_dataset[[#This Row],[Battery_Capacity_kWh]]/electric_vehicles_dataset[[#This Row],[Range_km]]</f>
        <v>6.8421052631578952E-2</v>
      </c>
      <c r="I2025">
        <v>456</v>
      </c>
      <c r="J2025" t="s">
        <v>359</v>
      </c>
      <c r="K2025">
        <v>6</v>
      </c>
      <c r="L2025" s="1">
        <v>149271.84</v>
      </c>
      <c r="M2025" s="1" t="str" cm="1">
        <f t="array" ref="M202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25" t="s">
        <v>210</v>
      </c>
      <c r="O2025" t="s">
        <v>20</v>
      </c>
      <c r="P2025" s="2" t="s">
        <v>389</v>
      </c>
      <c r="Q2025">
        <v>2</v>
      </c>
      <c r="R2025" t="s">
        <v>391</v>
      </c>
      <c r="S2025" s="1">
        <f>electric_vehicles_dataset[[#This Row],[Units_Sold_2024]]*electric_vehicles_dataset[[#This Row],[Price_USD]]</f>
        <v>2946178306.0799999</v>
      </c>
      <c r="T2025">
        <v>5</v>
      </c>
      <c r="U2025">
        <v>19737</v>
      </c>
      <c r="V2025">
        <v>3</v>
      </c>
    </row>
    <row r="2026" spans="1:22" x14ac:dyDescent="0.35">
      <c r="A2026">
        <v>2025</v>
      </c>
      <c r="B2026" t="s">
        <v>21</v>
      </c>
      <c r="C2026" t="s">
        <v>349</v>
      </c>
      <c r="D2026">
        <v>2024</v>
      </c>
      <c r="E2026" t="s">
        <v>42</v>
      </c>
      <c r="F2026">
        <v>108.1</v>
      </c>
      <c r="G2026" t="s">
        <v>361</v>
      </c>
      <c r="H2026">
        <f>electric_vehicles_dataset[[#This Row],[Battery_Capacity_kWh]]/electric_vehicles_dataset[[#This Row],[Range_km]]</f>
        <v>0.42559055118110234</v>
      </c>
      <c r="I2026">
        <v>254</v>
      </c>
      <c r="J2026" t="s">
        <v>149</v>
      </c>
      <c r="K2026">
        <v>2</v>
      </c>
      <c r="L2026" s="1">
        <v>44042.07</v>
      </c>
      <c r="M2026" s="1" t="str" cm="1">
        <f t="array" ref="M202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26" t="s">
        <v>59</v>
      </c>
      <c r="O2026" t="s">
        <v>93</v>
      </c>
      <c r="P2026" s="2" t="s">
        <v>389</v>
      </c>
      <c r="Q2026">
        <v>4</v>
      </c>
      <c r="R2026" t="s">
        <v>392</v>
      </c>
      <c r="S2026" s="1">
        <f>electric_vehicles_dataset[[#This Row],[Units_Sold_2024]]*electric_vehicles_dataset[[#This Row],[Price_USD]]</f>
        <v>313095075.63</v>
      </c>
      <c r="T2026">
        <v>5</v>
      </c>
      <c r="U2026">
        <v>7109</v>
      </c>
      <c r="V2026">
        <v>3</v>
      </c>
    </row>
    <row r="2027" spans="1:22" x14ac:dyDescent="0.35">
      <c r="A2027">
        <v>2026</v>
      </c>
      <c r="B2027" t="s">
        <v>56</v>
      </c>
      <c r="C2027" t="s">
        <v>57</v>
      </c>
      <c r="D2027">
        <v>2023</v>
      </c>
      <c r="E2027" t="s">
        <v>17</v>
      </c>
      <c r="F2027">
        <v>126.2</v>
      </c>
      <c r="G2027" t="s">
        <v>352</v>
      </c>
      <c r="H2027">
        <f>electric_vehicles_dataset[[#This Row],[Battery_Capacity_kWh]]/electric_vehicles_dataset[[#This Row],[Range_km]]</f>
        <v>0.61560975609756097</v>
      </c>
      <c r="I2027">
        <v>205</v>
      </c>
      <c r="J2027" t="s">
        <v>48</v>
      </c>
      <c r="K2027">
        <v>6</v>
      </c>
      <c r="L2027" s="1">
        <v>48192.54</v>
      </c>
      <c r="M2027" s="1" t="str" cm="1">
        <f t="array" ref="M202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27" t="s">
        <v>62</v>
      </c>
      <c r="O2027" t="s">
        <v>199</v>
      </c>
      <c r="P2027" s="2" t="s">
        <v>394</v>
      </c>
      <c r="Q2027">
        <v>5</v>
      </c>
      <c r="R2027" t="s">
        <v>392</v>
      </c>
      <c r="S2027" s="1">
        <f>electric_vehicles_dataset[[#This Row],[Units_Sold_2024]]*electric_vehicles_dataset[[#This Row],[Price_USD]]</f>
        <v>474359171.22000003</v>
      </c>
      <c r="T2027">
        <v>4</v>
      </c>
      <c r="U2027">
        <v>9843</v>
      </c>
      <c r="V2027">
        <v>5</v>
      </c>
    </row>
    <row r="2028" spans="1:22" x14ac:dyDescent="0.35">
      <c r="A2028">
        <v>2027</v>
      </c>
      <c r="B2028" t="s">
        <v>136</v>
      </c>
      <c r="C2028" t="s">
        <v>137</v>
      </c>
      <c r="D2028">
        <v>2022</v>
      </c>
      <c r="E2028" t="s">
        <v>58</v>
      </c>
      <c r="F2028">
        <v>21.5</v>
      </c>
      <c r="G2028" t="s">
        <v>357</v>
      </c>
      <c r="H2028">
        <f>electric_vehicles_dataset[[#This Row],[Battery_Capacity_kWh]]/electric_vehicles_dataset[[#This Row],[Range_km]]</f>
        <v>4.9425287356321838E-2</v>
      </c>
      <c r="I2028">
        <v>435</v>
      </c>
      <c r="J2028" t="s">
        <v>359</v>
      </c>
      <c r="K2028">
        <v>8</v>
      </c>
      <c r="L2028" s="1">
        <v>138229.57</v>
      </c>
      <c r="M2028" s="1" t="str" cm="1">
        <f t="array" ref="M20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28" t="s">
        <v>143</v>
      </c>
      <c r="O2028" t="s">
        <v>118</v>
      </c>
      <c r="P2028" s="2" t="s">
        <v>389</v>
      </c>
      <c r="Q2028">
        <v>5</v>
      </c>
      <c r="R2028" t="s">
        <v>392</v>
      </c>
      <c r="S2028" s="1">
        <f>electric_vehicles_dataset[[#This Row],[Units_Sold_2024]]*electric_vehicles_dataset[[#This Row],[Price_USD]]</f>
        <v>161866826.47</v>
      </c>
      <c r="T2028">
        <v>4</v>
      </c>
      <c r="U2028">
        <v>1171</v>
      </c>
      <c r="V2028">
        <v>4</v>
      </c>
    </row>
    <row r="2029" spans="1:22" x14ac:dyDescent="0.35">
      <c r="A2029">
        <v>2028</v>
      </c>
      <c r="B2029" t="s">
        <v>241</v>
      </c>
      <c r="C2029" t="s">
        <v>286</v>
      </c>
      <c r="D2029">
        <v>2016</v>
      </c>
      <c r="E2029" t="s">
        <v>31</v>
      </c>
      <c r="F2029">
        <v>113.9</v>
      </c>
      <c r="G2029" t="s">
        <v>361</v>
      </c>
      <c r="H2029">
        <f>electric_vehicles_dataset[[#This Row],[Battery_Capacity_kWh]]/electric_vehicles_dataset[[#This Row],[Range_km]]</f>
        <v>0.2278</v>
      </c>
      <c r="I2029">
        <v>500</v>
      </c>
      <c r="J2029" t="s">
        <v>85</v>
      </c>
      <c r="K2029">
        <v>1</v>
      </c>
      <c r="L2029" s="1">
        <v>136482.5</v>
      </c>
      <c r="M2029" s="1" t="str" cm="1">
        <f t="array" ref="M202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29" t="s">
        <v>100</v>
      </c>
      <c r="O2029" t="s">
        <v>134</v>
      </c>
      <c r="P2029" s="2" t="s">
        <v>389</v>
      </c>
      <c r="Q2029">
        <v>2</v>
      </c>
      <c r="R2029" t="s">
        <v>391</v>
      </c>
      <c r="S2029" s="1">
        <f>electric_vehicles_dataset[[#This Row],[Units_Sold_2024]]*electric_vehicles_dataset[[#This Row],[Price_USD]]</f>
        <v>342571075</v>
      </c>
      <c r="T2029">
        <v>4</v>
      </c>
      <c r="U2029">
        <v>2510</v>
      </c>
      <c r="V2029">
        <v>4</v>
      </c>
    </row>
    <row r="2030" spans="1:22" x14ac:dyDescent="0.35">
      <c r="A2030">
        <v>2029</v>
      </c>
      <c r="B2030" t="s">
        <v>207</v>
      </c>
      <c r="C2030" t="s">
        <v>287</v>
      </c>
      <c r="D2030">
        <v>2021</v>
      </c>
      <c r="E2030" t="s">
        <v>104</v>
      </c>
      <c r="F2030">
        <v>27.5</v>
      </c>
      <c r="G2030" t="s">
        <v>357</v>
      </c>
      <c r="H2030">
        <f>electric_vehicles_dataset[[#This Row],[Battery_Capacity_kWh]]/electric_vehicles_dataset[[#This Row],[Range_km]]</f>
        <v>5.9012875536480686E-2</v>
      </c>
      <c r="I2030">
        <v>466</v>
      </c>
      <c r="J2030" t="s">
        <v>356</v>
      </c>
      <c r="K2030">
        <v>6</v>
      </c>
      <c r="L2030" s="1">
        <v>120135.5</v>
      </c>
      <c r="M2030" s="1" t="str" cm="1">
        <f t="array" ref="M20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30" t="s">
        <v>240</v>
      </c>
      <c r="O2030" t="s">
        <v>202</v>
      </c>
      <c r="P2030" s="2" t="s">
        <v>393</v>
      </c>
      <c r="Q2030">
        <v>5</v>
      </c>
      <c r="R2030" t="s">
        <v>392</v>
      </c>
      <c r="S2030" s="1">
        <f>electric_vehicles_dataset[[#This Row],[Units_Sold_2024]]*electric_vehicles_dataset[[#This Row],[Price_USD]]</f>
        <v>822567768.5</v>
      </c>
      <c r="T2030">
        <v>4</v>
      </c>
      <c r="U2030">
        <v>6847</v>
      </c>
      <c r="V2030">
        <v>3</v>
      </c>
    </row>
    <row r="2031" spans="1:22" x14ac:dyDescent="0.35">
      <c r="A2031">
        <v>2030</v>
      </c>
      <c r="B2031" t="s">
        <v>36</v>
      </c>
      <c r="C2031" t="s">
        <v>245</v>
      </c>
      <c r="D2031">
        <v>2018</v>
      </c>
      <c r="E2031" t="s">
        <v>73</v>
      </c>
      <c r="F2031">
        <v>84.7</v>
      </c>
      <c r="G2031" t="s">
        <v>350</v>
      </c>
      <c r="H2031">
        <f>electric_vehicles_dataset[[#This Row],[Battery_Capacity_kWh]]/electric_vehicles_dataset[[#This Row],[Range_km]]</f>
        <v>0.19789719626168226</v>
      </c>
      <c r="I2031">
        <v>428</v>
      </c>
      <c r="J2031" t="s">
        <v>364</v>
      </c>
      <c r="K2031">
        <v>2</v>
      </c>
      <c r="L2031" s="1">
        <v>146690.38</v>
      </c>
      <c r="M2031" s="1" t="str" cm="1">
        <f t="array" ref="M203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31" t="s">
        <v>117</v>
      </c>
      <c r="O2031" t="s">
        <v>67</v>
      </c>
      <c r="P2031" s="2" t="s">
        <v>394</v>
      </c>
      <c r="Q2031">
        <v>5</v>
      </c>
      <c r="R2031" t="s">
        <v>392</v>
      </c>
      <c r="S2031" s="1">
        <f>electric_vehicles_dataset[[#This Row],[Units_Sold_2024]]*electric_vehicles_dataset[[#This Row],[Price_USD]]</f>
        <v>903466050.42000008</v>
      </c>
      <c r="T2031">
        <v>3</v>
      </c>
      <c r="U2031">
        <v>6159</v>
      </c>
      <c r="V2031">
        <v>5</v>
      </c>
    </row>
    <row r="2032" spans="1:22" x14ac:dyDescent="0.35">
      <c r="A2032">
        <v>2031</v>
      </c>
      <c r="B2032" t="s">
        <v>155</v>
      </c>
      <c r="C2032" t="s">
        <v>190</v>
      </c>
      <c r="D2032">
        <v>2018</v>
      </c>
      <c r="E2032" t="s">
        <v>84</v>
      </c>
      <c r="F2032">
        <v>75.2</v>
      </c>
      <c r="G2032" t="s">
        <v>351</v>
      </c>
      <c r="H2032">
        <f>electric_vehicles_dataset[[#This Row],[Battery_Capacity_kWh]]/electric_vehicles_dataset[[#This Row],[Range_km]]</f>
        <v>0.13798165137614679</v>
      </c>
      <c r="I2032">
        <v>545</v>
      </c>
      <c r="J2032" t="s">
        <v>345</v>
      </c>
      <c r="K2032">
        <v>1</v>
      </c>
      <c r="L2032" s="1">
        <v>71444.399999999994</v>
      </c>
      <c r="M2032" s="1" t="str" cm="1">
        <f t="array" ref="M20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32" t="s">
        <v>160</v>
      </c>
      <c r="O2032" t="s">
        <v>134</v>
      </c>
      <c r="P2032" s="2" t="s">
        <v>389</v>
      </c>
      <c r="Q2032">
        <v>4</v>
      </c>
      <c r="R2032" t="s">
        <v>392</v>
      </c>
      <c r="S2032" s="1">
        <f>electric_vehicles_dataset[[#This Row],[Units_Sold_2024]]*electric_vehicles_dataset[[#This Row],[Price_USD]]</f>
        <v>1415385008.3999999</v>
      </c>
      <c r="T2032">
        <v>4</v>
      </c>
      <c r="U2032">
        <v>19811</v>
      </c>
      <c r="V2032">
        <v>3</v>
      </c>
    </row>
    <row r="2033" spans="1:22" x14ac:dyDescent="0.35">
      <c r="A2033">
        <v>2032</v>
      </c>
      <c r="B2033" t="s">
        <v>215</v>
      </c>
      <c r="C2033" t="s">
        <v>216</v>
      </c>
      <c r="D2033">
        <v>2018</v>
      </c>
      <c r="E2033" t="s">
        <v>31</v>
      </c>
      <c r="F2033">
        <v>109.7</v>
      </c>
      <c r="G2033" t="s">
        <v>361</v>
      </c>
      <c r="H2033">
        <f>electric_vehicles_dataset[[#This Row],[Battery_Capacity_kWh]]/electric_vehicles_dataset[[#This Row],[Range_km]]</f>
        <v>0.84384615384615391</v>
      </c>
      <c r="I2033">
        <v>130</v>
      </c>
      <c r="J2033" t="s">
        <v>76</v>
      </c>
      <c r="K2033">
        <v>6</v>
      </c>
      <c r="L2033" s="1">
        <v>119062.74</v>
      </c>
      <c r="M2033" s="1" t="str" cm="1">
        <f t="array" ref="M20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33" t="s">
        <v>146</v>
      </c>
      <c r="O2033" t="s">
        <v>121</v>
      </c>
      <c r="P2033" s="2" t="s">
        <v>398</v>
      </c>
      <c r="Q2033">
        <v>0</v>
      </c>
      <c r="R2033" t="s">
        <v>390</v>
      </c>
      <c r="S2033" s="1">
        <f>electric_vehicles_dataset[[#This Row],[Units_Sold_2024]]*electric_vehicles_dataset[[#This Row],[Price_USD]]</f>
        <v>1070254969.86</v>
      </c>
      <c r="T2033">
        <v>3</v>
      </c>
      <c r="U2033">
        <v>8989</v>
      </c>
      <c r="V2033">
        <v>5</v>
      </c>
    </row>
    <row r="2034" spans="1:22" x14ac:dyDescent="0.35">
      <c r="A2034">
        <v>2033</v>
      </c>
      <c r="B2034" t="s">
        <v>71</v>
      </c>
      <c r="C2034" t="s">
        <v>255</v>
      </c>
      <c r="D2034">
        <v>2021</v>
      </c>
      <c r="E2034" t="s">
        <v>31</v>
      </c>
      <c r="F2034">
        <v>52.5</v>
      </c>
      <c r="G2034" t="s">
        <v>348</v>
      </c>
      <c r="H2034">
        <f>electric_vehicles_dataset[[#This Row],[Battery_Capacity_kWh]]/electric_vehicles_dataset[[#This Row],[Range_km]]</f>
        <v>0.25</v>
      </c>
      <c r="I2034">
        <v>210</v>
      </c>
      <c r="J2034" t="s">
        <v>54</v>
      </c>
      <c r="K2034">
        <v>3</v>
      </c>
      <c r="L2034" s="1">
        <v>33674.5</v>
      </c>
      <c r="M2034" s="1" t="str" cm="1">
        <f t="array" ref="M203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34" t="s">
        <v>62</v>
      </c>
      <c r="O2034" t="s">
        <v>164</v>
      </c>
      <c r="P2034" s="2" t="s">
        <v>394</v>
      </c>
      <c r="Q2034">
        <v>4</v>
      </c>
      <c r="R2034" t="s">
        <v>392</v>
      </c>
      <c r="S2034" s="1">
        <f>electric_vehicles_dataset[[#This Row],[Units_Sold_2024]]*electric_vehicles_dataset[[#This Row],[Price_USD]]</f>
        <v>597722375</v>
      </c>
      <c r="T2034">
        <v>5</v>
      </c>
      <c r="U2034">
        <v>17750</v>
      </c>
      <c r="V2034">
        <v>5</v>
      </c>
    </row>
    <row r="2035" spans="1:22" x14ac:dyDescent="0.35">
      <c r="A2035">
        <v>2034</v>
      </c>
      <c r="B2035" t="s">
        <v>207</v>
      </c>
      <c r="C2035" t="s">
        <v>208</v>
      </c>
      <c r="D2035">
        <v>2018</v>
      </c>
      <c r="E2035" t="s">
        <v>90</v>
      </c>
      <c r="F2035">
        <v>133.80000000000001</v>
      </c>
      <c r="G2035" t="s">
        <v>352</v>
      </c>
      <c r="H2035">
        <f>electric_vehicles_dataset[[#This Row],[Battery_Capacity_kWh]]/electric_vehicles_dataset[[#This Row],[Range_km]]</f>
        <v>0.71550802139037439</v>
      </c>
      <c r="I2035">
        <v>187</v>
      </c>
      <c r="J2035" t="s">
        <v>353</v>
      </c>
      <c r="K2035">
        <v>6</v>
      </c>
      <c r="L2035" s="1">
        <v>101973.44</v>
      </c>
      <c r="M2035" s="1" t="str" cm="1">
        <f t="array" ref="M203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35" t="s">
        <v>22</v>
      </c>
      <c r="O2035" t="s">
        <v>182</v>
      </c>
      <c r="P2035" s="2" t="s">
        <v>394</v>
      </c>
      <c r="Q2035">
        <v>1</v>
      </c>
      <c r="R2035" t="s">
        <v>391</v>
      </c>
      <c r="S2035" s="1">
        <f>electric_vehicles_dataset[[#This Row],[Units_Sold_2024]]*electric_vehicles_dataset[[#This Row],[Price_USD]]</f>
        <v>472340974.07999998</v>
      </c>
      <c r="T2035">
        <v>5</v>
      </c>
      <c r="U2035">
        <v>4632</v>
      </c>
      <c r="V2035">
        <v>5</v>
      </c>
    </row>
    <row r="2036" spans="1:22" x14ac:dyDescent="0.35">
      <c r="A2036">
        <v>2035</v>
      </c>
      <c r="B2036" t="s">
        <v>187</v>
      </c>
      <c r="C2036" t="s">
        <v>318</v>
      </c>
      <c r="D2036">
        <v>2020</v>
      </c>
      <c r="E2036" t="s">
        <v>17</v>
      </c>
      <c r="F2036">
        <v>55.7</v>
      </c>
      <c r="G2036" t="s">
        <v>348</v>
      </c>
      <c r="H2036">
        <f>electric_vehicles_dataset[[#This Row],[Battery_Capacity_kWh]]/electric_vehicles_dataset[[#This Row],[Range_km]]</f>
        <v>0.21340996168582377</v>
      </c>
      <c r="I2036">
        <v>261</v>
      </c>
      <c r="J2036" t="s">
        <v>48</v>
      </c>
      <c r="K2036">
        <v>3</v>
      </c>
      <c r="L2036" s="1">
        <v>122315.52</v>
      </c>
      <c r="M2036" s="1" t="str" cm="1">
        <f t="array" ref="M203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36" t="s">
        <v>59</v>
      </c>
      <c r="O2036" t="s">
        <v>169</v>
      </c>
      <c r="P2036" s="2" t="s">
        <v>394</v>
      </c>
      <c r="Q2036">
        <v>1</v>
      </c>
      <c r="R2036" t="s">
        <v>391</v>
      </c>
      <c r="S2036" s="1">
        <f>electric_vehicles_dataset[[#This Row],[Units_Sold_2024]]*electric_vehicles_dataset[[#This Row],[Price_USD]]</f>
        <v>942685712.63999999</v>
      </c>
      <c r="T2036">
        <v>3</v>
      </c>
      <c r="U2036">
        <v>7707</v>
      </c>
      <c r="V2036">
        <v>4</v>
      </c>
    </row>
    <row r="2037" spans="1:22" x14ac:dyDescent="0.35">
      <c r="A2037">
        <v>2036</v>
      </c>
      <c r="B2037" t="s">
        <v>262</v>
      </c>
      <c r="C2037" t="s">
        <v>263</v>
      </c>
      <c r="D2037">
        <v>2023</v>
      </c>
      <c r="E2037" t="s">
        <v>17</v>
      </c>
      <c r="F2037">
        <v>83.6</v>
      </c>
      <c r="G2037" t="s">
        <v>350</v>
      </c>
      <c r="H2037">
        <f>electric_vehicles_dataset[[#This Row],[Battery_Capacity_kWh]]/electric_vehicles_dataset[[#This Row],[Range_km]]</f>
        <v>0.27682119205298011</v>
      </c>
      <c r="I2037">
        <v>302</v>
      </c>
      <c r="J2037" t="s">
        <v>359</v>
      </c>
      <c r="K2037">
        <v>2</v>
      </c>
      <c r="L2037" s="1">
        <v>58862.47</v>
      </c>
      <c r="M2037" s="1" t="str" cm="1">
        <f t="array" ref="M20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37" t="s">
        <v>301</v>
      </c>
      <c r="O2037" t="s">
        <v>95</v>
      </c>
      <c r="P2037" s="2" t="s">
        <v>394</v>
      </c>
      <c r="Q2037">
        <v>1</v>
      </c>
      <c r="R2037" t="s">
        <v>391</v>
      </c>
      <c r="S2037" s="1">
        <f>electric_vehicles_dataset[[#This Row],[Units_Sold_2024]]*electric_vehicles_dataset[[#This Row],[Price_USD]]</f>
        <v>600220606.59000003</v>
      </c>
      <c r="T2037">
        <v>5</v>
      </c>
      <c r="U2037">
        <v>10197</v>
      </c>
      <c r="V2037">
        <v>4</v>
      </c>
    </row>
    <row r="2038" spans="1:22" x14ac:dyDescent="0.35">
      <c r="A2038">
        <v>2037</v>
      </c>
      <c r="B2038" t="s">
        <v>125</v>
      </c>
      <c r="C2038" t="s">
        <v>163</v>
      </c>
      <c r="D2038">
        <v>2023</v>
      </c>
      <c r="E2038" t="s">
        <v>42</v>
      </c>
      <c r="F2038">
        <v>115.9</v>
      </c>
      <c r="G2038" t="s">
        <v>361</v>
      </c>
      <c r="H2038">
        <f>electric_vehicles_dataset[[#This Row],[Battery_Capacity_kWh]]/electric_vehicles_dataset[[#This Row],[Range_km]]</f>
        <v>0.19879931389365352</v>
      </c>
      <c r="I2038">
        <v>583</v>
      </c>
      <c r="J2038" t="s">
        <v>105</v>
      </c>
      <c r="K2038">
        <v>2</v>
      </c>
      <c r="L2038" s="1">
        <v>57706.59</v>
      </c>
      <c r="M2038" s="1" t="str" cm="1">
        <f t="array" ref="M203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38" t="s">
        <v>168</v>
      </c>
      <c r="O2038" t="s">
        <v>20</v>
      </c>
      <c r="P2038" s="2" t="s">
        <v>389</v>
      </c>
      <c r="Q2038">
        <v>1</v>
      </c>
      <c r="R2038" t="s">
        <v>391</v>
      </c>
      <c r="S2038" s="1">
        <f>electric_vehicles_dataset[[#This Row],[Units_Sold_2024]]*electric_vehicles_dataset[[#This Row],[Price_USD]]</f>
        <v>652719239.49000001</v>
      </c>
      <c r="T2038">
        <v>4</v>
      </c>
      <c r="U2038">
        <v>11311</v>
      </c>
      <c r="V2038">
        <v>3</v>
      </c>
    </row>
    <row r="2039" spans="1:22" x14ac:dyDescent="0.35">
      <c r="A2039">
        <v>2038</v>
      </c>
      <c r="B2039" t="s">
        <v>261</v>
      </c>
      <c r="C2039" t="s">
        <v>278</v>
      </c>
      <c r="D2039">
        <v>2022</v>
      </c>
      <c r="E2039" t="s">
        <v>42</v>
      </c>
      <c r="F2039">
        <v>24.9</v>
      </c>
      <c r="G2039" t="s">
        <v>357</v>
      </c>
      <c r="H2039">
        <f>electric_vehicles_dataset[[#This Row],[Battery_Capacity_kWh]]/electric_vehicles_dataset[[#This Row],[Range_km]]</f>
        <v>0.10686695278969957</v>
      </c>
      <c r="I2039">
        <v>233</v>
      </c>
      <c r="J2039" t="s">
        <v>149</v>
      </c>
      <c r="K2039">
        <v>6</v>
      </c>
      <c r="L2039" s="1">
        <v>30584.51</v>
      </c>
      <c r="M2039" s="1" t="str" cm="1">
        <f t="array" ref="M20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39" t="s">
        <v>175</v>
      </c>
      <c r="O2039" t="s">
        <v>147</v>
      </c>
      <c r="P2039" s="2" t="s">
        <v>396</v>
      </c>
      <c r="Q2039">
        <v>2</v>
      </c>
      <c r="R2039" t="s">
        <v>391</v>
      </c>
      <c r="S2039" s="1">
        <f>electric_vehicles_dataset[[#This Row],[Units_Sold_2024]]*electric_vehicles_dataset[[#This Row],[Price_USD]]</f>
        <v>440355774.97999996</v>
      </c>
      <c r="T2039">
        <v>4</v>
      </c>
      <c r="U2039">
        <v>14398</v>
      </c>
      <c r="V2039">
        <v>3</v>
      </c>
    </row>
    <row r="2040" spans="1:22" x14ac:dyDescent="0.35">
      <c r="A2040">
        <v>2039</v>
      </c>
      <c r="B2040" t="s">
        <v>82</v>
      </c>
      <c r="C2040" t="s">
        <v>83</v>
      </c>
      <c r="D2040">
        <v>2019</v>
      </c>
      <c r="E2040" t="s">
        <v>17</v>
      </c>
      <c r="F2040">
        <v>47.8</v>
      </c>
      <c r="G2040" t="s">
        <v>348</v>
      </c>
      <c r="H2040">
        <f>electric_vehicles_dataset[[#This Row],[Battery_Capacity_kWh]]/electric_vehicles_dataset[[#This Row],[Range_km]]</f>
        <v>0.16258503401360544</v>
      </c>
      <c r="I2040">
        <v>294</v>
      </c>
      <c r="J2040" t="s">
        <v>364</v>
      </c>
      <c r="K2040">
        <v>1</v>
      </c>
      <c r="L2040" s="1">
        <v>94681.79</v>
      </c>
      <c r="M2040" s="1" t="str" cm="1">
        <f t="array" ref="M204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40" t="s">
        <v>43</v>
      </c>
      <c r="O2040" t="s">
        <v>93</v>
      </c>
      <c r="P2040" s="2" t="s">
        <v>389</v>
      </c>
      <c r="Q2040">
        <v>0</v>
      </c>
      <c r="R2040" t="s">
        <v>390</v>
      </c>
      <c r="S2040" s="1">
        <f>electric_vehicles_dataset[[#This Row],[Units_Sold_2024]]*electric_vehicles_dataset[[#This Row],[Price_USD]]</f>
        <v>277133599.32999998</v>
      </c>
      <c r="T2040">
        <v>3</v>
      </c>
      <c r="U2040">
        <v>2927</v>
      </c>
      <c r="V2040">
        <v>5</v>
      </c>
    </row>
    <row r="2041" spans="1:22" x14ac:dyDescent="0.35">
      <c r="A2041">
        <v>2040</v>
      </c>
      <c r="B2041" t="s">
        <v>157</v>
      </c>
      <c r="C2041" t="s">
        <v>296</v>
      </c>
      <c r="D2041">
        <v>2021</v>
      </c>
      <c r="E2041" t="s">
        <v>17</v>
      </c>
      <c r="F2041">
        <v>117.3</v>
      </c>
      <c r="G2041" t="s">
        <v>361</v>
      </c>
      <c r="H2041">
        <f>electric_vehicles_dataset[[#This Row],[Battery_Capacity_kWh]]/electric_vehicles_dataset[[#This Row],[Range_km]]</f>
        <v>0.2346</v>
      </c>
      <c r="I2041">
        <v>500</v>
      </c>
      <c r="J2041" t="s">
        <v>38</v>
      </c>
      <c r="K2041">
        <v>4</v>
      </c>
      <c r="L2041" s="1">
        <v>115113.27</v>
      </c>
      <c r="M2041" s="1" t="str" cm="1">
        <f t="array" ref="M204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41" t="s">
        <v>49</v>
      </c>
      <c r="O2041" t="s">
        <v>110</v>
      </c>
      <c r="P2041" s="2" t="s">
        <v>394</v>
      </c>
      <c r="Q2041">
        <v>2</v>
      </c>
      <c r="R2041" t="s">
        <v>391</v>
      </c>
      <c r="S2041" s="1">
        <f>electric_vehicles_dataset[[#This Row],[Units_Sold_2024]]*electric_vehicles_dataset[[#This Row],[Price_USD]]</f>
        <v>1432469531.8800001</v>
      </c>
      <c r="T2041">
        <v>3</v>
      </c>
      <c r="U2041">
        <v>12444</v>
      </c>
      <c r="V2041">
        <v>5</v>
      </c>
    </row>
    <row r="2042" spans="1:22" x14ac:dyDescent="0.35">
      <c r="A2042">
        <v>2041</v>
      </c>
      <c r="B2042" t="s">
        <v>51</v>
      </c>
      <c r="C2042" t="s">
        <v>239</v>
      </c>
      <c r="D2042">
        <v>2018</v>
      </c>
      <c r="E2042" t="s">
        <v>130</v>
      </c>
      <c r="F2042">
        <v>78.8</v>
      </c>
      <c r="G2042" t="s">
        <v>351</v>
      </c>
      <c r="H2042">
        <f>electric_vehicles_dataset[[#This Row],[Battery_Capacity_kWh]]/electric_vehicles_dataset[[#This Row],[Range_km]]</f>
        <v>0.33389830508474577</v>
      </c>
      <c r="I2042">
        <v>236</v>
      </c>
      <c r="J2042" t="s">
        <v>76</v>
      </c>
      <c r="K2042">
        <v>3</v>
      </c>
      <c r="L2042" s="1">
        <v>135274.20000000001</v>
      </c>
      <c r="M2042" s="1" t="str" cm="1">
        <f t="array" ref="M20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42" t="s">
        <v>106</v>
      </c>
      <c r="O2042" t="s">
        <v>134</v>
      </c>
      <c r="P2042" s="2" t="s">
        <v>389</v>
      </c>
      <c r="Q2042">
        <v>2</v>
      </c>
      <c r="R2042" t="s">
        <v>391</v>
      </c>
      <c r="S2042" s="1">
        <f>electric_vehicles_dataset[[#This Row],[Units_Sold_2024]]*electric_vehicles_dataset[[#This Row],[Price_USD]]</f>
        <v>1569857091.0000002</v>
      </c>
      <c r="T2042">
        <v>5</v>
      </c>
      <c r="U2042">
        <v>11605</v>
      </c>
      <c r="V2042">
        <v>5</v>
      </c>
    </row>
    <row r="2043" spans="1:22" x14ac:dyDescent="0.35">
      <c r="A2043">
        <v>2042</v>
      </c>
      <c r="B2043" t="s">
        <v>125</v>
      </c>
      <c r="C2043" t="s">
        <v>126</v>
      </c>
      <c r="D2043">
        <v>2015</v>
      </c>
      <c r="E2043" t="s">
        <v>84</v>
      </c>
      <c r="F2043">
        <v>50</v>
      </c>
      <c r="G2043" t="s">
        <v>348</v>
      </c>
      <c r="H2043">
        <f>electric_vehicles_dataset[[#This Row],[Battery_Capacity_kWh]]/electric_vehicles_dataset[[#This Row],[Range_km]]</f>
        <v>0.4854368932038835</v>
      </c>
      <c r="I2043">
        <v>103</v>
      </c>
      <c r="J2043" t="s">
        <v>364</v>
      </c>
      <c r="K2043">
        <v>2</v>
      </c>
      <c r="L2043" s="1">
        <v>144633.73000000001</v>
      </c>
      <c r="M2043" s="1" t="str" cm="1">
        <f t="array" ref="M204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43" t="s">
        <v>39</v>
      </c>
      <c r="O2043" t="s">
        <v>150</v>
      </c>
      <c r="P2043" s="2" t="s">
        <v>389</v>
      </c>
      <c r="Q2043">
        <v>1</v>
      </c>
      <c r="R2043" t="s">
        <v>391</v>
      </c>
      <c r="S2043" s="1">
        <f>electric_vehicles_dataset[[#This Row],[Units_Sold_2024]]*electric_vehicles_dataset[[#This Row],[Price_USD]]</f>
        <v>2782174430.2800002</v>
      </c>
      <c r="T2043">
        <v>4</v>
      </c>
      <c r="U2043">
        <v>19236</v>
      </c>
      <c r="V2043">
        <v>4</v>
      </c>
    </row>
    <row r="2044" spans="1:22" x14ac:dyDescent="0.35">
      <c r="A2044">
        <v>2043</v>
      </c>
      <c r="B2044" t="s">
        <v>122</v>
      </c>
      <c r="C2044" t="s">
        <v>250</v>
      </c>
      <c r="D2044">
        <v>2017</v>
      </c>
      <c r="E2044" t="s">
        <v>17</v>
      </c>
      <c r="F2044">
        <v>32.9</v>
      </c>
      <c r="G2044" t="s">
        <v>357</v>
      </c>
      <c r="H2044">
        <f>electric_vehicles_dataset[[#This Row],[Battery_Capacity_kWh]]/electric_vehicles_dataset[[#This Row],[Range_km]]</f>
        <v>6.115241635687732E-2</v>
      </c>
      <c r="I2044">
        <v>538</v>
      </c>
      <c r="J2044" t="s">
        <v>345</v>
      </c>
      <c r="K2044">
        <v>9</v>
      </c>
      <c r="L2044" s="1">
        <v>126350.58</v>
      </c>
      <c r="M2044" s="1" t="str" cm="1">
        <f t="array" ref="M20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44" t="s">
        <v>28</v>
      </c>
      <c r="O2044" t="s">
        <v>121</v>
      </c>
      <c r="P2044" s="2" t="s">
        <v>398</v>
      </c>
      <c r="Q2044">
        <v>2</v>
      </c>
      <c r="R2044" t="s">
        <v>391</v>
      </c>
      <c r="S2044" s="1">
        <f>electric_vehicles_dataset[[#This Row],[Units_Sold_2024]]*electric_vehicles_dataset[[#This Row],[Price_USD]]</f>
        <v>1344875573.52</v>
      </c>
      <c r="T2044">
        <v>5</v>
      </c>
      <c r="U2044">
        <v>10644</v>
      </c>
      <c r="V2044">
        <v>5</v>
      </c>
    </row>
    <row r="2045" spans="1:22" x14ac:dyDescent="0.35">
      <c r="A2045">
        <v>2044</v>
      </c>
      <c r="B2045" t="s">
        <v>16</v>
      </c>
      <c r="C2045" t="s">
        <v>347</v>
      </c>
      <c r="D2045">
        <v>2015</v>
      </c>
      <c r="E2045" t="s">
        <v>183</v>
      </c>
      <c r="F2045">
        <v>96.1</v>
      </c>
      <c r="G2045" t="s">
        <v>350</v>
      </c>
      <c r="H2045">
        <f>electric_vehicles_dataset[[#This Row],[Battery_Capacity_kWh]]/electric_vehicles_dataset[[#This Row],[Range_km]]</f>
        <v>0.41422413793103446</v>
      </c>
      <c r="I2045">
        <v>232</v>
      </c>
      <c r="J2045" t="s">
        <v>76</v>
      </c>
      <c r="K2045">
        <v>10</v>
      </c>
      <c r="L2045" s="1">
        <v>102547.12</v>
      </c>
      <c r="M2045" s="1" t="str" cm="1">
        <f t="array" ref="M204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45" t="s">
        <v>143</v>
      </c>
      <c r="O2045" t="s">
        <v>169</v>
      </c>
      <c r="P2045" s="2" t="s">
        <v>394</v>
      </c>
      <c r="Q2045">
        <v>2</v>
      </c>
      <c r="R2045" t="s">
        <v>391</v>
      </c>
      <c r="S2045" s="1">
        <f>electric_vehicles_dataset[[#This Row],[Units_Sold_2024]]*electric_vehicles_dataset[[#This Row],[Price_USD]]</f>
        <v>1383873384.3999999</v>
      </c>
      <c r="T2045">
        <v>3</v>
      </c>
      <c r="U2045">
        <v>13495</v>
      </c>
      <c r="V2045">
        <v>5</v>
      </c>
    </row>
    <row r="2046" spans="1:22" x14ac:dyDescent="0.35">
      <c r="A2046">
        <v>2045</v>
      </c>
      <c r="B2046" t="s">
        <v>170</v>
      </c>
      <c r="C2046" t="s">
        <v>218</v>
      </c>
      <c r="D2046">
        <v>2015</v>
      </c>
      <c r="E2046" t="s">
        <v>31</v>
      </c>
      <c r="F2046">
        <v>55.8</v>
      </c>
      <c r="G2046" t="s">
        <v>348</v>
      </c>
      <c r="H2046">
        <f>electric_vehicles_dataset[[#This Row],[Battery_Capacity_kWh]]/electric_vehicles_dataset[[#This Row],[Range_km]]</f>
        <v>0.1508108108108108</v>
      </c>
      <c r="I2046">
        <v>370</v>
      </c>
      <c r="J2046" t="s">
        <v>105</v>
      </c>
      <c r="K2046">
        <v>7</v>
      </c>
      <c r="L2046" s="1">
        <v>52658.33</v>
      </c>
      <c r="M2046" s="1" t="str" cm="1">
        <f t="array" ref="M20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46" t="s">
        <v>277</v>
      </c>
      <c r="O2046" t="s">
        <v>226</v>
      </c>
      <c r="P2046" s="2" t="s">
        <v>395</v>
      </c>
      <c r="Q2046">
        <v>0</v>
      </c>
      <c r="R2046" t="s">
        <v>390</v>
      </c>
      <c r="S2046" s="1">
        <f>electric_vehicles_dataset[[#This Row],[Units_Sold_2024]]*electric_vehicles_dataset[[#This Row],[Price_USD]]</f>
        <v>984236846.03000009</v>
      </c>
      <c r="T2046">
        <v>4</v>
      </c>
      <c r="U2046">
        <v>18691</v>
      </c>
      <c r="V2046">
        <v>4</v>
      </c>
    </row>
    <row r="2047" spans="1:22" x14ac:dyDescent="0.35">
      <c r="A2047">
        <v>2046</v>
      </c>
      <c r="B2047" t="s">
        <v>215</v>
      </c>
      <c r="C2047" t="s">
        <v>377</v>
      </c>
      <c r="D2047">
        <v>2016</v>
      </c>
      <c r="E2047" t="s">
        <v>133</v>
      </c>
      <c r="F2047">
        <v>125.5</v>
      </c>
      <c r="G2047" t="s">
        <v>352</v>
      </c>
      <c r="H2047">
        <f>electric_vehicles_dataset[[#This Row],[Battery_Capacity_kWh]]/electric_vehicles_dataset[[#This Row],[Range_km]]</f>
        <v>0.31064356435643564</v>
      </c>
      <c r="I2047">
        <v>404</v>
      </c>
      <c r="J2047" t="s">
        <v>149</v>
      </c>
      <c r="K2047">
        <v>3</v>
      </c>
      <c r="L2047" s="1">
        <v>103566.8</v>
      </c>
      <c r="M2047" s="1" t="str" cm="1">
        <f t="array" ref="M20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47" t="s">
        <v>28</v>
      </c>
      <c r="O2047" t="s">
        <v>199</v>
      </c>
      <c r="P2047" s="2" t="s">
        <v>394</v>
      </c>
      <c r="Q2047">
        <v>2</v>
      </c>
      <c r="R2047" t="s">
        <v>391</v>
      </c>
      <c r="S2047" s="1">
        <f>electric_vehicles_dataset[[#This Row],[Units_Sold_2024]]*electric_vehicles_dataset[[#This Row],[Price_USD]]</f>
        <v>1615227812.8</v>
      </c>
      <c r="T2047">
        <v>4</v>
      </c>
      <c r="U2047">
        <v>15596</v>
      </c>
      <c r="V2047">
        <v>5</v>
      </c>
    </row>
    <row r="2048" spans="1:22" x14ac:dyDescent="0.35">
      <c r="A2048">
        <v>2047</v>
      </c>
      <c r="B2048" t="s">
        <v>136</v>
      </c>
      <c r="C2048" t="s">
        <v>137</v>
      </c>
      <c r="D2048">
        <v>2021</v>
      </c>
      <c r="E2048" t="s">
        <v>101</v>
      </c>
      <c r="F2048">
        <v>81.7</v>
      </c>
      <c r="G2048" t="s">
        <v>350</v>
      </c>
      <c r="H2048">
        <f>electric_vehicles_dataset[[#This Row],[Battery_Capacity_kWh]]/electric_vehicles_dataset[[#This Row],[Range_km]]</f>
        <v>0.43924731182795701</v>
      </c>
      <c r="I2048">
        <v>186</v>
      </c>
      <c r="J2048" t="s">
        <v>76</v>
      </c>
      <c r="K2048">
        <v>12</v>
      </c>
      <c r="L2048" s="1">
        <v>43469.52</v>
      </c>
      <c r="M2048" s="1" t="str" cm="1">
        <f t="array" ref="M20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48" t="s">
        <v>277</v>
      </c>
      <c r="O2048" t="s">
        <v>92</v>
      </c>
      <c r="P2048" s="2" t="s">
        <v>394</v>
      </c>
      <c r="Q2048">
        <v>3</v>
      </c>
      <c r="R2048" t="s">
        <v>397</v>
      </c>
      <c r="S2048" s="1">
        <f>electric_vehicles_dataset[[#This Row],[Units_Sold_2024]]*electric_vehicles_dataset[[#This Row],[Price_USD]]</f>
        <v>405309804.47999996</v>
      </c>
      <c r="T2048">
        <v>5</v>
      </c>
      <c r="U2048">
        <v>9324</v>
      </c>
      <c r="V2048">
        <v>5</v>
      </c>
    </row>
    <row r="2049" spans="1:22" x14ac:dyDescent="0.35">
      <c r="A2049">
        <v>2048</v>
      </c>
      <c r="B2049" t="s">
        <v>51</v>
      </c>
      <c r="C2049" t="s">
        <v>239</v>
      </c>
      <c r="D2049">
        <v>2024</v>
      </c>
      <c r="E2049" t="s">
        <v>101</v>
      </c>
      <c r="F2049">
        <v>50.5</v>
      </c>
      <c r="G2049" t="s">
        <v>348</v>
      </c>
      <c r="H2049">
        <f>electric_vehicles_dataset[[#This Row],[Battery_Capacity_kWh]]/electric_vehicles_dataset[[#This Row],[Range_km]]</f>
        <v>0.11348314606741573</v>
      </c>
      <c r="I2049">
        <v>445</v>
      </c>
      <c r="J2049" t="s">
        <v>48</v>
      </c>
      <c r="K2049">
        <v>10</v>
      </c>
      <c r="L2049" s="1">
        <v>115391.86</v>
      </c>
      <c r="M2049" s="1" t="str" cm="1">
        <f t="array" ref="M204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49" t="s">
        <v>114</v>
      </c>
      <c r="O2049" t="s">
        <v>159</v>
      </c>
      <c r="P2049" s="2" t="s">
        <v>389</v>
      </c>
      <c r="Q2049">
        <v>3</v>
      </c>
      <c r="R2049" t="s">
        <v>397</v>
      </c>
      <c r="S2049" s="1">
        <f>electric_vehicles_dataset[[#This Row],[Units_Sold_2024]]*electric_vehicles_dataset[[#This Row],[Price_USD]]</f>
        <v>1839115464.6800001</v>
      </c>
      <c r="T2049">
        <v>5</v>
      </c>
      <c r="U2049">
        <v>15938</v>
      </c>
      <c r="V2049">
        <v>5</v>
      </c>
    </row>
    <row r="2050" spans="1:22" x14ac:dyDescent="0.35">
      <c r="A2050">
        <v>2049</v>
      </c>
      <c r="B2050" t="s">
        <v>200</v>
      </c>
      <c r="C2050" t="s">
        <v>201</v>
      </c>
      <c r="D2050">
        <v>2015</v>
      </c>
      <c r="E2050" t="s">
        <v>58</v>
      </c>
      <c r="F2050">
        <v>77.8</v>
      </c>
      <c r="G2050" t="s">
        <v>351</v>
      </c>
      <c r="H2050">
        <f>electric_vehicles_dataset[[#This Row],[Battery_Capacity_kWh]]/electric_vehicles_dataset[[#This Row],[Range_km]]</f>
        <v>0.23017751479289941</v>
      </c>
      <c r="I2050">
        <v>338</v>
      </c>
      <c r="J2050" t="s">
        <v>48</v>
      </c>
      <c r="K2050">
        <v>2</v>
      </c>
      <c r="L2050" s="1">
        <v>115452.34</v>
      </c>
      <c r="M2050" s="1" t="str" cm="1">
        <f t="array" ref="M205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50" t="s">
        <v>179</v>
      </c>
      <c r="O2050" t="s">
        <v>50</v>
      </c>
      <c r="P2050" s="2" t="s">
        <v>396</v>
      </c>
      <c r="Q2050">
        <v>0</v>
      </c>
      <c r="R2050" t="s">
        <v>390</v>
      </c>
      <c r="S2050" s="1">
        <f>electric_vehicles_dataset[[#This Row],[Units_Sold_2024]]*electric_vehicles_dataset[[#This Row],[Price_USD]]</f>
        <v>2142218168.7</v>
      </c>
      <c r="T2050">
        <v>4</v>
      </c>
      <c r="U2050">
        <v>18555</v>
      </c>
      <c r="V2050">
        <v>4</v>
      </c>
    </row>
    <row r="2051" spans="1:22" x14ac:dyDescent="0.35">
      <c r="A2051">
        <v>2050</v>
      </c>
      <c r="B2051" t="s">
        <v>21</v>
      </c>
      <c r="C2051" t="s">
        <v>363</v>
      </c>
      <c r="D2051">
        <v>2016</v>
      </c>
      <c r="E2051" t="s">
        <v>17</v>
      </c>
      <c r="F2051">
        <v>139.69999999999999</v>
      </c>
      <c r="G2051" t="s">
        <v>352</v>
      </c>
      <c r="H2051">
        <f>electric_vehicles_dataset[[#This Row],[Battery_Capacity_kWh]]/electric_vehicles_dataset[[#This Row],[Range_km]]</f>
        <v>0.56558704453441289</v>
      </c>
      <c r="I2051">
        <v>247</v>
      </c>
      <c r="J2051" t="s">
        <v>85</v>
      </c>
      <c r="K2051">
        <v>8</v>
      </c>
      <c r="L2051" s="1">
        <v>136923.23000000001</v>
      </c>
      <c r="M2051" s="1" t="str" cm="1">
        <f t="array" ref="M205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51" t="s">
        <v>77</v>
      </c>
      <c r="O2051" t="s">
        <v>78</v>
      </c>
      <c r="P2051" s="2" t="s">
        <v>389</v>
      </c>
      <c r="Q2051">
        <v>2</v>
      </c>
      <c r="R2051" t="s">
        <v>391</v>
      </c>
      <c r="S2051" s="1">
        <f>electric_vehicles_dataset[[#This Row],[Units_Sold_2024]]*electric_vehicles_dataset[[#This Row],[Price_USD]]</f>
        <v>906157936.1400001</v>
      </c>
      <c r="T2051">
        <v>5</v>
      </c>
      <c r="U2051">
        <v>6618</v>
      </c>
      <c r="V2051">
        <v>5</v>
      </c>
    </row>
    <row r="2052" spans="1:22" x14ac:dyDescent="0.35">
      <c r="A2052">
        <v>2051</v>
      </c>
      <c r="B2052" t="s">
        <v>192</v>
      </c>
      <c r="C2052" t="s">
        <v>198</v>
      </c>
      <c r="D2052">
        <v>2017</v>
      </c>
      <c r="E2052" t="s">
        <v>73</v>
      </c>
      <c r="F2052">
        <v>89.5</v>
      </c>
      <c r="G2052" t="s">
        <v>350</v>
      </c>
      <c r="H2052">
        <f>electric_vehicles_dataset[[#This Row],[Battery_Capacity_kWh]]/electric_vehicles_dataset[[#This Row],[Range_km]]</f>
        <v>0.26246334310850439</v>
      </c>
      <c r="I2052">
        <v>341</v>
      </c>
      <c r="J2052" t="s">
        <v>149</v>
      </c>
      <c r="K2052">
        <v>10</v>
      </c>
      <c r="L2052" s="1">
        <v>109012.19</v>
      </c>
      <c r="M2052" s="1" t="str" cm="1">
        <f t="array" ref="M205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52" t="s">
        <v>59</v>
      </c>
      <c r="O2052" t="s">
        <v>354</v>
      </c>
      <c r="P2052" s="2" t="s">
        <v>394</v>
      </c>
      <c r="Q2052">
        <v>2</v>
      </c>
      <c r="R2052" t="s">
        <v>391</v>
      </c>
      <c r="S2052" s="1">
        <f>electric_vehicles_dataset[[#This Row],[Units_Sold_2024]]*electric_vehicles_dataset[[#This Row],[Price_USD]]</f>
        <v>1163378091.6800001</v>
      </c>
      <c r="T2052">
        <v>4</v>
      </c>
      <c r="U2052">
        <v>10672</v>
      </c>
      <c r="V2052">
        <v>4</v>
      </c>
    </row>
    <row r="2053" spans="1:22" x14ac:dyDescent="0.35">
      <c r="A2053">
        <v>2052</v>
      </c>
      <c r="B2053" t="s">
        <v>122</v>
      </c>
      <c r="C2053" t="s">
        <v>250</v>
      </c>
      <c r="D2053">
        <v>2022</v>
      </c>
      <c r="E2053" t="s">
        <v>17</v>
      </c>
      <c r="F2053">
        <v>81.400000000000006</v>
      </c>
      <c r="G2053" t="s">
        <v>350</v>
      </c>
      <c r="H2053">
        <f>electric_vehicles_dataset[[#This Row],[Battery_Capacity_kWh]]/electric_vehicles_dataset[[#This Row],[Range_km]]</f>
        <v>0.15564053537284897</v>
      </c>
      <c r="I2053">
        <v>523</v>
      </c>
      <c r="J2053" t="s">
        <v>364</v>
      </c>
      <c r="K2053">
        <v>4</v>
      </c>
      <c r="L2053" s="1">
        <v>97244.12</v>
      </c>
      <c r="M2053" s="1" t="str" cm="1">
        <f t="array" ref="M205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53" t="s">
        <v>254</v>
      </c>
      <c r="O2053" t="s">
        <v>92</v>
      </c>
      <c r="P2053" s="2" t="s">
        <v>394</v>
      </c>
      <c r="Q2053">
        <v>3</v>
      </c>
      <c r="R2053" t="s">
        <v>397</v>
      </c>
      <c r="S2053" s="1">
        <f>electric_vehicles_dataset[[#This Row],[Units_Sold_2024]]*electric_vehicles_dataset[[#This Row],[Price_USD]]</f>
        <v>1894412701.7199998</v>
      </c>
      <c r="T2053">
        <v>5</v>
      </c>
      <c r="U2053">
        <v>19481</v>
      </c>
      <c r="V2053">
        <v>4</v>
      </c>
    </row>
    <row r="2054" spans="1:22" x14ac:dyDescent="0.35">
      <c r="A2054">
        <v>2053</v>
      </c>
      <c r="B2054" t="s">
        <v>29</v>
      </c>
      <c r="C2054" t="s">
        <v>30</v>
      </c>
      <c r="D2054">
        <v>2022</v>
      </c>
      <c r="E2054" t="s">
        <v>17</v>
      </c>
      <c r="F2054">
        <v>95</v>
      </c>
      <c r="G2054" t="s">
        <v>350</v>
      </c>
      <c r="H2054">
        <f>electric_vehicles_dataset[[#This Row],[Battery_Capacity_kWh]]/electric_vehicles_dataset[[#This Row],[Range_km]]</f>
        <v>0.59748427672955973</v>
      </c>
      <c r="I2054">
        <v>159</v>
      </c>
      <c r="J2054" t="s">
        <v>358</v>
      </c>
      <c r="K2054">
        <v>2</v>
      </c>
      <c r="L2054" s="1">
        <v>66083.61</v>
      </c>
      <c r="M2054" s="1" t="str" cm="1">
        <f t="array" ref="M20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54" t="s">
        <v>253</v>
      </c>
      <c r="O2054" t="s">
        <v>161</v>
      </c>
      <c r="P2054" s="2" t="s">
        <v>389</v>
      </c>
      <c r="Q2054">
        <v>5</v>
      </c>
      <c r="R2054" t="s">
        <v>392</v>
      </c>
      <c r="S2054" s="1">
        <f>electric_vehicles_dataset[[#This Row],[Units_Sold_2024]]*electric_vehicles_dataset[[#This Row],[Price_USD]]</f>
        <v>1093155076.6200001</v>
      </c>
      <c r="T2054">
        <v>5</v>
      </c>
      <c r="U2054">
        <v>16542</v>
      </c>
      <c r="V2054">
        <v>3</v>
      </c>
    </row>
    <row r="2055" spans="1:22" x14ac:dyDescent="0.35">
      <c r="A2055">
        <v>2054</v>
      </c>
      <c r="B2055" t="s">
        <v>71</v>
      </c>
      <c r="C2055" t="s">
        <v>255</v>
      </c>
      <c r="D2055">
        <v>2022</v>
      </c>
      <c r="E2055" t="s">
        <v>104</v>
      </c>
      <c r="F2055">
        <v>124</v>
      </c>
      <c r="G2055" t="s">
        <v>352</v>
      </c>
      <c r="H2055">
        <f>electric_vehicles_dataset[[#This Row],[Battery_Capacity_kWh]]/electric_vehicles_dataset[[#This Row],[Range_km]]</f>
        <v>0.65957446808510634</v>
      </c>
      <c r="I2055">
        <v>188</v>
      </c>
      <c r="J2055" t="s">
        <v>54</v>
      </c>
      <c r="K2055">
        <v>11</v>
      </c>
      <c r="L2055" s="1">
        <v>88736.73</v>
      </c>
      <c r="M2055" s="1" t="str" cm="1">
        <f t="array" ref="M205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55" t="s">
        <v>254</v>
      </c>
      <c r="O2055" t="s">
        <v>121</v>
      </c>
      <c r="P2055" s="2" t="s">
        <v>398</v>
      </c>
      <c r="Q2055">
        <v>5</v>
      </c>
      <c r="R2055" t="s">
        <v>392</v>
      </c>
      <c r="S2055" s="1">
        <f>electric_vehicles_dataset[[#This Row],[Units_Sold_2024]]*electric_vehicles_dataset[[#This Row],[Price_USD]]</f>
        <v>701197640.45999992</v>
      </c>
      <c r="T2055">
        <v>3</v>
      </c>
      <c r="U2055">
        <v>7902</v>
      </c>
      <c r="V2055">
        <v>4</v>
      </c>
    </row>
    <row r="2056" spans="1:22" x14ac:dyDescent="0.35">
      <c r="A2056">
        <v>2055</v>
      </c>
      <c r="B2056" t="s">
        <v>259</v>
      </c>
      <c r="C2056" t="s">
        <v>260</v>
      </c>
      <c r="D2056">
        <v>2019</v>
      </c>
      <c r="E2056" t="s">
        <v>47</v>
      </c>
      <c r="F2056">
        <v>107.7</v>
      </c>
      <c r="G2056" t="s">
        <v>361</v>
      </c>
      <c r="H2056">
        <f>electric_vehicles_dataset[[#This Row],[Battery_Capacity_kWh]]/electric_vehicles_dataset[[#This Row],[Range_km]]</f>
        <v>0.18040201005025125</v>
      </c>
      <c r="I2056">
        <v>597</v>
      </c>
      <c r="J2056" t="s">
        <v>356</v>
      </c>
      <c r="K2056">
        <v>6</v>
      </c>
      <c r="L2056" s="1">
        <v>36780.730000000003</v>
      </c>
      <c r="M2056" s="1" t="str" cm="1">
        <f t="array" ref="M205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56" t="s">
        <v>114</v>
      </c>
      <c r="O2056" t="s">
        <v>354</v>
      </c>
      <c r="P2056" s="2" t="s">
        <v>394</v>
      </c>
      <c r="Q2056">
        <v>5</v>
      </c>
      <c r="R2056" t="s">
        <v>392</v>
      </c>
      <c r="S2056" s="1">
        <f>electric_vehicles_dataset[[#This Row],[Units_Sold_2024]]*electric_vehicles_dataset[[#This Row],[Price_USD]]</f>
        <v>114240947.38000001</v>
      </c>
      <c r="T2056">
        <v>4</v>
      </c>
      <c r="U2056">
        <v>3106</v>
      </c>
      <c r="V2056">
        <v>3</v>
      </c>
    </row>
    <row r="2057" spans="1:22" x14ac:dyDescent="0.35">
      <c r="A2057">
        <v>2056</v>
      </c>
      <c r="B2057" t="s">
        <v>200</v>
      </c>
      <c r="C2057" t="s">
        <v>201</v>
      </c>
      <c r="D2057">
        <v>2023</v>
      </c>
      <c r="E2057" t="s">
        <v>101</v>
      </c>
      <c r="F2057">
        <v>118.1</v>
      </c>
      <c r="G2057" t="s">
        <v>361</v>
      </c>
      <c r="H2057">
        <f>electric_vehicles_dataset[[#This Row],[Battery_Capacity_kWh]]/electric_vehicles_dataset[[#This Row],[Range_km]]</f>
        <v>0.38469055374592831</v>
      </c>
      <c r="I2057">
        <v>307</v>
      </c>
      <c r="J2057" t="s">
        <v>356</v>
      </c>
      <c r="K2057">
        <v>7</v>
      </c>
      <c r="L2057" s="1">
        <v>100266.71</v>
      </c>
      <c r="M2057" s="1" t="str" cm="1">
        <f t="array" ref="M205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57" t="s">
        <v>217</v>
      </c>
      <c r="O2057" t="s">
        <v>169</v>
      </c>
      <c r="P2057" s="2" t="s">
        <v>394</v>
      </c>
      <c r="Q2057">
        <v>3</v>
      </c>
      <c r="R2057" t="s">
        <v>397</v>
      </c>
      <c r="S2057" s="1">
        <f>electric_vehicles_dataset[[#This Row],[Units_Sold_2024]]*electric_vehicles_dataset[[#This Row],[Price_USD]]</f>
        <v>1184651178.6500001</v>
      </c>
      <c r="T2057">
        <v>4</v>
      </c>
      <c r="U2057">
        <v>11815</v>
      </c>
      <c r="V2057">
        <v>5</v>
      </c>
    </row>
    <row r="2058" spans="1:22" x14ac:dyDescent="0.35">
      <c r="A2058">
        <v>2057</v>
      </c>
      <c r="B2058" t="s">
        <v>192</v>
      </c>
      <c r="C2058" t="s">
        <v>366</v>
      </c>
      <c r="D2058">
        <v>2018</v>
      </c>
      <c r="E2058" t="s">
        <v>26</v>
      </c>
      <c r="F2058">
        <v>94.2</v>
      </c>
      <c r="G2058" t="s">
        <v>350</v>
      </c>
      <c r="H2058">
        <f>electric_vehicles_dataset[[#This Row],[Battery_Capacity_kWh]]/electric_vehicles_dataset[[#This Row],[Range_km]]</f>
        <v>0.33169014084507042</v>
      </c>
      <c r="I2058">
        <v>284</v>
      </c>
      <c r="J2058" t="s">
        <v>345</v>
      </c>
      <c r="K2058">
        <v>1</v>
      </c>
      <c r="L2058" s="1">
        <v>66892.66</v>
      </c>
      <c r="M2058" s="1" t="str" cm="1">
        <f t="array" ref="M205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58" t="s">
        <v>62</v>
      </c>
      <c r="O2058" t="s">
        <v>121</v>
      </c>
      <c r="P2058" s="2" t="s">
        <v>398</v>
      </c>
      <c r="Q2058">
        <v>3</v>
      </c>
      <c r="R2058" t="s">
        <v>397</v>
      </c>
      <c r="S2058" s="1">
        <f>electric_vehicles_dataset[[#This Row],[Units_Sold_2024]]*electric_vehicles_dataset[[#This Row],[Price_USD]]</f>
        <v>414065565.40000004</v>
      </c>
      <c r="T2058">
        <v>3</v>
      </c>
      <c r="U2058">
        <v>6190</v>
      </c>
      <c r="V2058">
        <v>5</v>
      </c>
    </row>
    <row r="2059" spans="1:22" x14ac:dyDescent="0.35">
      <c r="A2059">
        <v>2058</v>
      </c>
      <c r="B2059" t="s">
        <v>269</v>
      </c>
      <c r="C2059" t="s">
        <v>340</v>
      </c>
      <c r="D2059">
        <v>2015</v>
      </c>
      <c r="E2059" t="s">
        <v>26</v>
      </c>
      <c r="F2059">
        <v>118.4</v>
      </c>
      <c r="G2059" t="s">
        <v>361</v>
      </c>
      <c r="H2059">
        <f>electric_vehicles_dataset[[#This Row],[Battery_Capacity_kWh]]/electric_vehicles_dataset[[#This Row],[Range_km]]</f>
        <v>0.29379652605459061</v>
      </c>
      <c r="I2059">
        <v>403</v>
      </c>
      <c r="J2059" t="s">
        <v>76</v>
      </c>
      <c r="K2059">
        <v>6</v>
      </c>
      <c r="L2059" s="1">
        <v>127289.11</v>
      </c>
      <c r="M2059" s="1" t="str" cm="1">
        <f t="array" ref="M205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59" t="s">
        <v>214</v>
      </c>
      <c r="O2059" t="s">
        <v>121</v>
      </c>
      <c r="P2059" s="2" t="s">
        <v>398</v>
      </c>
      <c r="Q2059">
        <v>4</v>
      </c>
      <c r="R2059" t="s">
        <v>392</v>
      </c>
      <c r="S2059" s="1">
        <f>electric_vehicles_dataset[[#This Row],[Units_Sold_2024]]*electric_vehicles_dataset[[#This Row],[Price_USD]]</f>
        <v>1812851504.6200001</v>
      </c>
      <c r="T2059">
        <v>4</v>
      </c>
      <c r="U2059">
        <v>14242</v>
      </c>
      <c r="V2059">
        <v>5</v>
      </c>
    </row>
    <row r="2060" spans="1:22" x14ac:dyDescent="0.35">
      <c r="A2060">
        <v>2059</v>
      </c>
      <c r="B2060" t="s">
        <v>128</v>
      </c>
      <c r="C2060" t="s">
        <v>268</v>
      </c>
      <c r="D2060">
        <v>2015</v>
      </c>
      <c r="E2060" t="s">
        <v>130</v>
      </c>
      <c r="F2060">
        <v>124.1</v>
      </c>
      <c r="G2060" t="s">
        <v>352</v>
      </c>
      <c r="H2060">
        <f>electric_vehicles_dataset[[#This Row],[Battery_Capacity_kWh]]/electric_vehicles_dataset[[#This Row],[Range_km]]</f>
        <v>0.24525691699604743</v>
      </c>
      <c r="I2060">
        <v>506</v>
      </c>
      <c r="J2060" t="s">
        <v>27</v>
      </c>
      <c r="K2060">
        <v>7</v>
      </c>
      <c r="L2060" s="1">
        <v>136716.24</v>
      </c>
      <c r="M2060" s="1" t="str" cm="1">
        <f t="array" ref="M206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60" t="s">
        <v>246</v>
      </c>
      <c r="O2060" t="s">
        <v>78</v>
      </c>
      <c r="P2060" s="2" t="s">
        <v>389</v>
      </c>
      <c r="Q2060">
        <v>2</v>
      </c>
      <c r="R2060" t="s">
        <v>391</v>
      </c>
      <c r="S2060" s="1">
        <f>electric_vehicles_dataset[[#This Row],[Units_Sold_2024]]*electric_vehicles_dataset[[#This Row],[Price_USD]]</f>
        <v>1949573582.3999999</v>
      </c>
      <c r="T2060">
        <v>5</v>
      </c>
      <c r="U2060">
        <v>14260</v>
      </c>
      <c r="V2060">
        <v>4</v>
      </c>
    </row>
    <row r="2061" spans="1:22" x14ac:dyDescent="0.35">
      <c r="A2061">
        <v>2060</v>
      </c>
      <c r="B2061" t="s">
        <v>259</v>
      </c>
      <c r="C2061" t="s">
        <v>266</v>
      </c>
      <c r="D2061">
        <v>2023</v>
      </c>
      <c r="E2061" t="s">
        <v>130</v>
      </c>
      <c r="F2061">
        <v>132.5</v>
      </c>
      <c r="G2061" t="s">
        <v>352</v>
      </c>
      <c r="H2061">
        <f>electric_vehicles_dataset[[#This Row],[Battery_Capacity_kWh]]/electric_vehicles_dataset[[#This Row],[Range_km]]</f>
        <v>0.2292387543252595</v>
      </c>
      <c r="I2061">
        <v>578</v>
      </c>
      <c r="J2061" t="s">
        <v>85</v>
      </c>
      <c r="K2061">
        <v>8</v>
      </c>
      <c r="L2061" s="1">
        <v>71713.58</v>
      </c>
      <c r="M2061" s="1" t="str" cm="1">
        <f t="array" ref="M206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61" t="s">
        <v>77</v>
      </c>
      <c r="O2061" t="s">
        <v>226</v>
      </c>
      <c r="P2061" s="2" t="s">
        <v>395</v>
      </c>
      <c r="Q2061">
        <v>5</v>
      </c>
      <c r="R2061" t="s">
        <v>392</v>
      </c>
      <c r="S2061" s="1">
        <f>electric_vehicles_dataset[[#This Row],[Units_Sold_2024]]*electric_vehicles_dataset[[#This Row],[Price_USD]]</f>
        <v>744100106.08000004</v>
      </c>
      <c r="T2061">
        <v>4</v>
      </c>
      <c r="U2061">
        <v>10376</v>
      </c>
      <c r="V2061">
        <v>4</v>
      </c>
    </row>
    <row r="2062" spans="1:22" x14ac:dyDescent="0.35">
      <c r="A2062">
        <v>2061</v>
      </c>
      <c r="B2062" t="s">
        <v>60</v>
      </c>
      <c r="C2062" t="s">
        <v>209</v>
      </c>
      <c r="D2062">
        <v>2022</v>
      </c>
      <c r="E2062" t="s">
        <v>42</v>
      </c>
      <c r="F2062">
        <v>66.900000000000006</v>
      </c>
      <c r="G2062" t="s">
        <v>351</v>
      </c>
      <c r="H2062">
        <f>electric_vehicles_dataset[[#This Row],[Battery_Capacity_kWh]]/electric_vehicles_dataset[[#This Row],[Range_km]]</f>
        <v>0.27759336099585064</v>
      </c>
      <c r="I2062">
        <v>241</v>
      </c>
      <c r="J2062" t="s">
        <v>364</v>
      </c>
      <c r="K2062">
        <v>9</v>
      </c>
      <c r="L2062" s="1">
        <v>91179.74</v>
      </c>
      <c r="M2062" s="1" t="str" cm="1">
        <f t="array" ref="M20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62" t="s">
        <v>246</v>
      </c>
      <c r="O2062" t="s">
        <v>93</v>
      </c>
      <c r="P2062" s="2" t="s">
        <v>389</v>
      </c>
      <c r="Q2062">
        <v>4</v>
      </c>
      <c r="R2062" t="s">
        <v>392</v>
      </c>
      <c r="S2062" s="1">
        <f>electric_vehicles_dataset[[#This Row],[Units_Sold_2024]]*electric_vehicles_dataset[[#This Row],[Price_USD]]</f>
        <v>10394490.360000001</v>
      </c>
      <c r="T2062">
        <v>4</v>
      </c>
      <c r="U2062">
        <v>114</v>
      </c>
      <c r="V2062">
        <v>3</v>
      </c>
    </row>
    <row r="2063" spans="1:22" x14ac:dyDescent="0.35">
      <c r="A2063">
        <v>2062</v>
      </c>
      <c r="B2063" t="s">
        <v>112</v>
      </c>
      <c r="C2063" t="s">
        <v>113</v>
      </c>
      <c r="D2063">
        <v>2020</v>
      </c>
      <c r="E2063" t="s">
        <v>183</v>
      </c>
      <c r="F2063">
        <v>37.200000000000003</v>
      </c>
      <c r="G2063" t="s">
        <v>357</v>
      </c>
      <c r="H2063">
        <f>electric_vehicles_dataset[[#This Row],[Battery_Capacity_kWh]]/electric_vehicles_dataset[[#This Row],[Range_km]]</f>
        <v>0.21136363636363639</v>
      </c>
      <c r="I2063">
        <v>176</v>
      </c>
      <c r="J2063" t="s">
        <v>27</v>
      </c>
      <c r="K2063">
        <v>3</v>
      </c>
      <c r="L2063" s="1">
        <v>146996.23000000001</v>
      </c>
      <c r="M2063" s="1" t="str" cm="1">
        <f t="array" ref="M20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63" t="s">
        <v>253</v>
      </c>
      <c r="O2063" t="s">
        <v>118</v>
      </c>
      <c r="P2063" s="2" t="s">
        <v>389</v>
      </c>
      <c r="Q2063">
        <v>1</v>
      </c>
      <c r="R2063" t="s">
        <v>391</v>
      </c>
      <c r="S2063" s="1">
        <f>electric_vehicles_dataset[[#This Row],[Units_Sold_2024]]*electric_vehicles_dataset[[#This Row],[Price_USD]]</f>
        <v>1873319955.1200001</v>
      </c>
      <c r="T2063">
        <v>5</v>
      </c>
      <c r="U2063">
        <v>12744</v>
      </c>
      <c r="V2063">
        <v>5</v>
      </c>
    </row>
    <row r="2064" spans="1:22" x14ac:dyDescent="0.35">
      <c r="A2064">
        <v>2063</v>
      </c>
      <c r="B2064" t="s">
        <v>180</v>
      </c>
      <c r="C2064" t="s">
        <v>181</v>
      </c>
      <c r="D2064">
        <v>2017</v>
      </c>
      <c r="E2064" t="s">
        <v>53</v>
      </c>
      <c r="F2064">
        <v>68.3</v>
      </c>
      <c r="G2064" t="s">
        <v>351</v>
      </c>
      <c r="H2064">
        <f>electric_vehicles_dataset[[#This Row],[Battery_Capacity_kWh]]/electric_vehicles_dataset[[#This Row],[Range_km]]</f>
        <v>0.20950920245398771</v>
      </c>
      <c r="I2064">
        <v>326</v>
      </c>
      <c r="J2064" t="s">
        <v>353</v>
      </c>
      <c r="K2064">
        <v>3</v>
      </c>
      <c r="L2064" s="1">
        <v>103414.52</v>
      </c>
      <c r="M2064" s="1" t="str" cm="1">
        <f t="array" ref="M206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64" t="s">
        <v>66</v>
      </c>
      <c r="O2064" t="s">
        <v>95</v>
      </c>
      <c r="P2064" s="2" t="s">
        <v>394</v>
      </c>
      <c r="Q2064">
        <v>3</v>
      </c>
      <c r="R2064" t="s">
        <v>397</v>
      </c>
      <c r="S2064" s="1">
        <f>electric_vehicles_dataset[[#This Row],[Units_Sold_2024]]*electric_vehicles_dataset[[#This Row],[Price_USD]]</f>
        <v>1291337111.24</v>
      </c>
      <c r="T2064">
        <v>3</v>
      </c>
      <c r="U2064">
        <v>12487</v>
      </c>
      <c r="V2064">
        <v>3</v>
      </c>
    </row>
    <row r="2065" spans="1:22" x14ac:dyDescent="0.35">
      <c r="A2065">
        <v>2064</v>
      </c>
      <c r="B2065" t="s">
        <v>313</v>
      </c>
      <c r="C2065" t="s">
        <v>314</v>
      </c>
      <c r="D2065">
        <v>2021</v>
      </c>
      <c r="E2065" t="s">
        <v>47</v>
      </c>
      <c r="F2065">
        <v>64.599999999999994</v>
      </c>
      <c r="G2065" t="s">
        <v>351</v>
      </c>
      <c r="H2065">
        <f>electric_vehicles_dataset[[#This Row],[Battery_Capacity_kWh]]/electric_vehicles_dataset[[#This Row],[Range_km]]</f>
        <v>0.14988399071925754</v>
      </c>
      <c r="I2065">
        <v>431</v>
      </c>
      <c r="J2065" t="s">
        <v>18</v>
      </c>
      <c r="K2065">
        <v>4</v>
      </c>
      <c r="L2065" s="1">
        <v>77965.45</v>
      </c>
      <c r="M2065" s="1" t="str" cm="1">
        <f t="array" ref="M206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65" t="s">
        <v>152</v>
      </c>
      <c r="O2065" t="s">
        <v>33</v>
      </c>
      <c r="P2065" s="2" t="s">
        <v>393</v>
      </c>
      <c r="Q2065">
        <v>3</v>
      </c>
      <c r="R2065" t="s">
        <v>397</v>
      </c>
      <c r="S2065" s="1">
        <f>electric_vehicles_dataset[[#This Row],[Units_Sold_2024]]*electric_vehicles_dataset[[#This Row],[Price_USD]]</f>
        <v>1468323319.8499999</v>
      </c>
      <c r="T2065">
        <v>4</v>
      </c>
      <c r="U2065">
        <v>18833</v>
      </c>
      <c r="V2065">
        <v>5</v>
      </c>
    </row>
    <row r="2066" spans="1:22" x14ac:dyDescent="0.35">
      <c r="A2066">
        <v>2065</v>
      </c>
      <c r="B2066" t="s">
        <v>144</v>
      </c>
      <c r="C2066" t="s">
        <v>273</v>
      </c>
      <c r="D2066">
        <v>2020</v>
      </c>
      <c r="E2066" t="s">
        <v>26</v>
      </c>
      <c r="F2066">
        <v>129</v>
      </c>
      <c r="G2066" t="s">
        <v>352</v>
      </c>
      <c r="H2066">
        <f>electric_vehicles_dataset[[#This Row],[Battery_Capacity_kWh]]/electric_vehicles_dataset[[#This Row],[Range_km]]</f>
        <v>0.62318840579710144</v>
      </c>
      <c r="I2066">
        <v>207</v>
      </c>
      <c r="J2066" t="s">
        <v>34</v>
      </c>
      <c r="K2066">
        <v>9</v>
      </c>
      <c r="L2066" s="1">
        <v>122048.3</v>
      </c>
      <c r="M2066" s="1" t="str" cm="1">
        <f t="array" ref="M20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66" t="s">
        <v>160</v>
      </c>
      <c r="O2066" t="s">
        <v>124</v>
      </c>
      <c r="P2066" s="2" t="s">
        <v>389</v>
      </c>
      <c r="Q2066">
        <v>3</v>
      </c>
      <c r="R2066" t="s">
        <v>397</v>
      </c>
      <c r="S2066" s="1">
        <f>electric_vehicles_dataset[[#This Row],[Units_Sold_2024]]*electric_vehicles_dataset[[#This Row],[Price_USD]]</f>
        <v>517972985.19999999</v>
      </c>
      <c r="T2066">
        <v>4</v>
      </c>
      <c r="U2066">
        <v>4244</v>
      </c>
      <c r="V2066">
        <v>3</v>
      </c>
    </row>
    <row r="2067" spans="1:22" x14ac:dyDescent="0.35">
      <c r="A2067">
        <v>2066</v>
      </c>
      <c r="B2067" t="s">
        <v>82</v>
      </c>
      <c r="C2067" t="s">
        <v>281</v>
      </c>
      <c r="D2067">
        <v>2021</v>
      </c>
      <c r="E2067" t="s">
        <v>101</v>
      </c>
      <c r="F2067">
        <v>120.5</v>
      </c>
      <c r="G2067" t="s">
        <v>352</v>
      </c>
      <c r="H2067">
        <f>electric_vehicles_dataset[[#This Row],[Battery_Capacity_kWh]]/electric_vehicles_dataset[[#This Row],[Range_km]]</f>
        <v>0.24392712550607287</v>
      </c>
      <c r="I2067">
        <v>494</v>
      </c>
      <c r="J2067" t="s">
        <v>353</v>
      </c>
      <c r="K2067">
        <v>6</v>
      </c>
      <c r="L2067" s="1">
        <v>137425.14000000001</v>
      </c>
      <c r="M2067" s="1" t="str" cm="1">
        <f t="array" ref="M206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67" t="s">
        <v>142</v>
      </c>
      <c r="O2067" t="s">
        <v>159</v>
      </c>
      <c r="P2067" s="2" t="s">
        <v>389</v>
      </c>
      <c r="Q2067">
        <v>1</v>
      </c>
      <c r="R2067" t="s">
        <v>391</v>
      </c>
      <c r="S2067" s="1">
        <f>electric_vehicles_dataset[[#This Row],[Units_Sold_2024]]*electric_vehicles_dataset[[#This Row],[Price_USD]]</f>
        <v>459274817.88000005</v>
      </c>
      <c r="T2067">
        <v>3</v>
      </c>
      <c r="U2067">
        <v>3342</v>
      </c>
      <c r="V2067">
        <v>3</v>
      </c>
    </row>
    <row r="2068" spans="1:22" x14ac:dyDescent="0.35">
      <c r="A2068">
        <v>2067</v>
      </c>
      <c r="B2068" t="s">
        <v>128</v>
      </c>
      <c r="C2068" t="s">
        <v>268</v>
      </c>
      <c r="D2068">
        <v>2022</v>
      </c>
      <c r="E2068" t="s">
        <v>26</v>
      </c>
      <c r="F2068">
        <v>119.7</v>
      </c>
      <c r="G2068" t="s">
        <v>361</v>
      </c>
      <c r="H2068">
        <f>electric_vehicles_dataset[[#This Row],[Battery_Capacity_kWh]]/electric_vehicles_dataset[[#This Row],[Range_km]]</f>
        <v>0.26192560175054708</v>
      </c>
      <c r="I2068">
        <v>457</v>
      </c>
      <c r="J2068" t="s">
        <v>27</v>
      </c>
      <c r="K2068">
        <v>1</v>
      </c>
      <c r="L2068" s="1">
        <v>113151.16</v>
      </c>
      <c r="M2068" s="1" t="str" cm="1">
        <f t="array" ref="M206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68" t="s">
        <v>127</v>
      </c>
      <c r="O2068" t="s">
        <v>44</v>
      </c>
      <c r="P2068" s="2" t="s">
        <v>389</v>
      </c>
      <c r="Q2068">
        <v>2</v>
      </c>
      <c r="R2068" t="s">
        <v>391</v>
      </c>
      <c r="S2068" s="1">
        <f>electric_vehicles_dataset[[#This Row],[Units_Sold_2024]]*electric_vehicles_dataset[[#This Row],[Price_USD]]</f>
        <v>1652798994.1200001</v>
      </c>
      <c r="T2068">
        <v>4</v>
      </c>
      <c r="U2068">
        <v>14607</v>
      </c>
      <c r="V2068">
        <v>3</v>
      </c>
    </row>
    <row r="2069" spans="1:22" x14ac:dyDescent="0.35">
      <c r="A2069">
        <v>2068</v>
      </c>
      <c r="B2069" t="s">
        <v>122</v>
      </c>
      <c r="C2069" t="s">
        <v>186</v>
      </c>
      <c r="D2069">
        <v>2018</v>
      </c>
      <c r="E2069" t="s">
        <v>31</v>
      </c>
      <c r="F2069">
        <v>135.30000000000001</v>
      </c>
      <c r="G2069" t="s">
        <v>352</v>
      </c>
      <c r="H2069">
        <f>electric_vehicles_dataset[[#This Row],[Battery_Capacity_kWh]]/electric_vehicles_dataset[[#This Row],[Range_km]]</f>
        <v>0.6765000000000001</v>
      </c>
      <c r="I2069">
        <v>200</v>
      </c>
      <c r="J2069" t="s">
        <v>48</v>
      </c>
      <c r="K2069">
        <v>8</v>
      </c>
      <c r="L2069" s="1">
        <v>94488.74</v>
      </c>
      <c r="M2069" s="1" t="str" cm="1">
        <f t="array" ref="M20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69" t="s">
        <v>271</v>
      </c>
      <c r="O2069" t="s">
        <v>206</v>
      </c>
      <c r="P2069" s="2" t="s">
        <v>394</v>
      </c>
      <c r="Q2069">
        <v>2</v>
      </c>
      <c r="R2069" t="s">
        <v>391</v>
      </c>
      <c r="S2069" s="1">
        <f>electric_vehicles_dataset[[#This Row],[Units_Sold_2024]]*electric_vehicles_dataset[[#This Row],[Price_USD]]</f>
        <v>395907820.60000002</v>
      </c>
      <c r="T2069">
        <v>3</v>
      </c>
      <c r="U2069">
        <v>4190</v>
      </c>
      <c r="V2069">
        <v>4</v>
      </c>
    </row>
    <row r="2070" spans="1:22" x14ac:dyDescent="0.35">
      <c r="A2070">
        <v>2069</v>
      </c>
      <c r="B2070" t="s">
        <v>224</v>
      </c>
      <c r="C2070" t="s">
        <v>303</v>
      </c>
      <c r="D2070">
        <v>2023</v>
      </c>
      <c r="E2070" t="s">
        <v>73</v>
      </c>
      <c r="F2070">
        <v>139.80000000000001</v>
      </c>
      <c r="G2070" t="s">
        <v>352</v>
      </c>
      <c r="H2070">
        <f>electric_vehicles_dataset[[#This Row],[Battery_Capacity_kWh]]/electric_vehicles_dataset[[#This Row],[Range_km]]</f>
        <v>0.58987341772151902</v>
      </c>
      <c r="I2070">
        <v>237</v>
      </c>
      <c r="J2070" t="s">
        <v>345</v>
      </c>
      <c r="K2070">
        <v>3</v>
      </c>
      <c r="L2070" s="1">
        <v>42123.32</v>
      </c>
      <c r="M2070" s="1" t="str" cm="1">
        <f t="array" ref="M207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70" t="s">
        <v>212</v>
      </c>
      <c r="O2070" t="s">
        <v>33</v>
      </c>
      <c r="P2070" s="2" t="s">
        <v>393</v>
      </c>
      <c r="Q2070">
        <v>5</v>
      </c>
      <c r="R2070" t="s">
        <v>392</v>
      </c>
      <c r="S2070" s="1">
        <f>electric_vehicles_dataset[[#This Row],[Units_Sold_2024]]*electric_vehicles_dataset[[#This Row],[Price_USD]]</f>
        <v>788632797.03999996</v>
      </c>
      <c r="T2070">
        <v>4</v>
      </c>
      <c r="U2070">
        <v>18722</v>
      </c>
      <c r="V2070">
        <v>5</v>
      </c>
    </row>
    <row r="2071" spans="1:22" x14ac:dyDescent="0.35">
      <c r="A2071">
        <v>2070</v>
      </c>
      <c r="B2071" t="s">
        <v>24</v>
      </c>
      <c r="C2071" t="s">
        <v>264</v>
      </c>
      <c r="D2071">
        <v>2025</v>
      </c>
      <c r="E2071" t="s">
        <v>73</v>
      </c>
      <c r="F2071">
        <v>70.2</v>
      </c>
      <c r="G2071" t="s">
        <v>351</v>
      </c>
      <c r="H2071">
        <f>electric_vehicles_dataset[[#This Row],[Battery_Capacity_kWh]]/electric_vehicles_dataset[[#This Row],[Range_km]]</f>
        <v>0.24290657439446367</v>
      </c>
      <c r="I2071">
        <v>289</v>
      </c>
      <c r="J2071" t="s">
        <v>149</v>
      </c>
      <c r="K2071">
        <v>4</v>
      </c>
      <c r="L2071" s="1">
        <v>117348.77</v>
      </c>
      <c r="M2071" s="1" t="str" cm="1">
        <f t="array" ref="M207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71" t="s">
        <v>35</v>
      </c>
      <c r="O2071" t="s">
        <v>44</v>
      </c>
      <c r="P2071" s="2" t="s">
        <v>389</v>
      </c>
      <c r="Q2071">
        <v>5</v>
      </c>
      <c r="R2071" t="s">
        <v>392</v>
      </c>
      <c r="S2071" s="1">
        <f>electric_vehicles_dataset[[#This Row],[Units_Sold_2024]]*electric_vehicles_dataset[[#This Row],[Price_USD]]</f>
        <v>1782527816.3</v>
      </c>
      <c r="T2071">
        <v>3</v>
      </c>
      <c r="U2071">
        <v>15190</v>
      </c>
      <c r="V2071">
        <v>5</v>
      </c>
    </row>
    <row r="2072" spans="1:22" x14ac:dyDescent="0.35">
      <c r="A2072">
        <v>2071</v>
      </c>
      <c r="B2072" t="s">
        <v>68</v>
      </c>
      <c r="C2072" t="s">
        <v>103</v>
      </c>
      <c r="D2072">
        <v>2021</v>
      </c>
      <c r="E2072" t="s">
        <v>133</v>
      </c>
      <c r="F2072">
        <v>23.9</v>
      </c>
      <c r="G2072" t="s">
        <v>357</v>
      </c>
      <c r="H2072">
        <f>electric_vehicles_dataset[[#This Row],[Battery_Capacity_kWh]]/electric_vehicles_dataset[[#This Row],[Range_km]]</f>
        <v>0.11658536585365853</v>
      </c>
      <c r="I2072">
        <v>205</v>
      </c>
      <c r="J2072" t="s">
        <v>18</v>
      </c>
      <c r="K2072">
        <v>8</v>
      </c>
      <c r="L2072" s="1">
        <v>84036.26</v>
      </c>
      <c r="M2072" s="1" t="str" cm="1">
        <f t="array" ref="M207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72" t="s">
        <v>39</v>
      </c>
      <c r="O2072" t="s">
        <v>139</v>
      </c>
      <c r="P2072" s="2" t="s">
        <v>389</v>
      </c>
      <c r="Q2072">
        <v>4</v>
      </c>
      <c r="R2072" t="s">
        <v>392</v>
      </c>
      <c r="S2072" s="1">
        <f>electric_vehicles_dataset[[#This Row],[Units_Sold_2024]]*electric_vehicles_dataset[[#This Row],[Price_USD]]</f>
        <v>365641767.25999999</v>
      </c>
      <c r="T2072">
        <v>5</v>
      </c>
      <c r="U2072">
        <v>4351</v>
      </c>
      <c r="V2072">
        <v>5</v>
      </c>
    </row>
    <row r="2073" spans="1:22" x14ac:dyDescent="0.35">
      <c r="A2073">
        <v>2072</v>
      </c>
      <c r="B2073" t="s">
        <v>21</v>
      </c>
      <c r="C2073" t="s">
        <v>349</v>
      </c>
      <c r="D2073">
        <v>2025</v>
      </c>
      <c r="E2073" t="s">
        <v>183</v>
      </c>
      <c r="F2073">
        <v>94.4</v>
      </c>
      <c r="G2073" t="s">
        <v>350</v>
      </c>
      <c r="H2073">
        <f>electric_vehicles_dataset[[#This Row],[Battery_Capacity_kWh]]/electric_vehicles_dataset[[#This Row],[Range_km]]</f>
        <v>0.4431924882629108</v>
      </c>
      <c r="I2073">
        <v>213</v>
      </c>
      <c r="J2073" t="s">
        <v>345</v>
      </c>
      <c r="K2073">
        <v>8</v>
      </c>
      <c r="L2073" s="1">
        <v>102862.66</v>
      </c>
      <c r="M2073" s="1" t="str" cm="1">
        <f t="array" ref="M207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73" t="s">
        <v>106</v>
      </c>
      <c r="O2073" t="s">
        <v>121</v>
      </c>
      <c r="P2073" s="2" t="s">
        <v>398</v>
      </c>
      <c r="Q2073">
        <v>5</v>
      </c>
      <c r="R2073" t="s">
        <v>392</v>
      </c>
      <c r="S2073" s="1">
        <f>electric_vehicles_dataset[[#This Row],[Units_Sold_2024]]*electric_vehicles_dataset[[#This Row],[Price_USD]]</f>
        <v>802225885.34000003</v>
      </c>
      <c r="T2073">
        <v>3</v>
      </c>
      <c r="U2073">
        <v>7799</v>
      </c>
      <c r="V2073">
        <v>3</v>
      </c>
    </row>
    <row r="2074" spans="1:22" x14ac:dyDescent="0.35">
      <c r="A2074">
        <v>2073</v>
      </c>
      <c r="B2074" t="s">
        <v>184</v>
      </c>
      <c r="C2074" t="s">
        <v>251</v>
      </c>
      <c r="D2074">
        <v>2024</v>
      </c>
      <c r="E2074" t="s">
        <v>26</v>
      </c>
      <c r="F2074">
        <v>107.6</v>
      </c>
      <c r="G2074" t="s">
        <v>361</v>
      </c>
      <c r="H2074">
        <f>electric_vehicles_dataset[[#This Row],[Battery_Capacity_kWh]]/electric_vehicles_dataset[[#This Row],[Range_km]]</f>
        <v>0.18145025295109612</v>
      </c>
      <c r="I2074">
        <v>593</v>
      </c>
      <c r="J2074" t="s">
        <v>149</v>
      </c>
      <c r="K2074">
        <v>10</v>
      </c>
      <c r="L2074" s="1">
        <v>123525.29</v>
      </c>
      <c r="M2074" s="1" t="str" cm="1">
        <f t="array" ref="M207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74" t="s">
        <v>106</v>
      </c>
      <c r="O2074" t="s">
        <v>135</v>
      </c>
      <c r="P2074" s="2" t="s">
        <v>389</v>
      </c>
      <c r="Q2074">
        <v>5</v>
      </c>
      <c r="R2074" t="s">
        <v>392</v>
      </c>
      <c r="S2074" s="1">
        <f>electric_vehicles_dataset[[#This Row],[Units_Sold_2024]]*electric_vehicles_dataset[[#This Row],[Price_USD]]</f>
        <v>2120929229.3</v>
      </c>
      <c r="T2074">
        <v>5</v>
      </c>
      <c r="U2074">
        <v>17170</v>
      </c>
      <c r="V2074">
        <v>4</v>
      </c>
    </row>
    <row r="2075" spans="1:22" x14ac:dyDescent="0.35">
      <c r="A2075">
        <v>2074</v>
      </c>
      <c r="B2075" t="s">
        <v>16</v>
      </c>
      <c r="C2075" t="s">
        <v>347</v>
      </c>
      <c r="D2075">
        <v>2021</v>
      </c>
      <c r="E2075" t="s">
        <v>73</v>
      </c>
      <c r="F2075">
        <v>79.5</v>
      </c>
      <c r="G2075" t="s">
        <v>351</v>
      </c>
      <c r="H2075">
        <f>electric_vehicles_dataset[[#This Row],[Battery_Capacity_kWh]]/electric_vehicles_dataset[[#This Row],[Range_km]]</f>
        <v>0.31547619047619047</v>
      </c>
      <c r="I2075">
        <v>252</v>
      </c>
      <c r="J2075" t="s">
        <v>356</v>
      </c>
      <c r="K2075">
        <v>5</v>
      </c>
      <c r="L2075" s="1">
        <v>41234.44</v>
      </c>
      <c r="M2075" s="1" t="str" cm="1">
        <f t="array" ref="M207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75" t="s">
        <v>127</v>
      </c>
      <c r="O2075" t="s">
        <v>182</v>
      </c>
      <c r="P2075" s="2" t="s">
        <v>394</v>
      </c>
      <c r="Q2075">
        <v>4</v>
      </c>
      <c r="R2075" t="s">
        <v>392</v>
      </c>
      <c r="S2075" s="1">
        <f>electric_vehicles_dataset[[#This Row],[Units_Sold_2024]]*electric_vehicles_dataset[[#This Row],[Price_USD]]</f>
        <v>484216028.92000002</v>
      </c>
      <c r="T2075">
        <v>5</v>
      </c>
      <c r="U2075">
        <v>11743</v>
      </c>
      <c r="V2075">
        <v>5</v>
      </c>
    </row>
    <row r="2076" spans="1:22" x14ac:dyDescent="0.35">
      <c r="A2076">
        <v>2075</v>
      </c>
      <c r="B2076" t="s">
        <v>155</v>
      </c>
      <c r="C2076" t="s">
        <v>156</v>
      </c>
      <c r="D2076">
        <v>2015</v>
      </c>
      <c r="E2076" t="s">
        <v>31</v>
      </c>
      <c r="F2076">
        <v>88.6</v>
      </c>
      <c r="G2076" t="s">
        <v>350</v>
      </c>
      <c r="H2076">
        <f>electric_vehicles_dataset[[#This Row],[Battery_Capacity_kWh]]/electric_vehicles_dataset[[#This Row],[Range_km]]</f>
        <v>0.45670103092783504</v>
      </c>
      <c r="I2076">
        <v>194</v>
      </c>
      <c r="J2076" t="s">
        <v>54</v>
      </c>
      <c r="K2076">
        <v>2</v>
      </c>
      <c r="L2076" s="1">
        <v>86364.33</v>
      </c>
      <c r="M2076" s="1" t="str" cm="1">
        <f t="array" ref="M207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76" t="s">
        <v>177</v>
      </c>
      <c r="O2076" t="s">
        <v>44</v>
      </c>
      <c r="P2076" s="2" t="s">
        <v>389</v>
      </c>
      <c r="Q2076">
        <v>4</v>
      </c>
      <c r="R2076" t="s">
        <v>392</v>
      </c>
      <c r="S2076" s="1">
        <f>electric_vehicles_dataset[[#This Row],[Units_Sold_2024]]*electric_vehicles_dataset[[#This Row],[Price_USD]]</f>
        <v>1250123676.75</v>
      </c>
      <c r="T2076">
        <v>3</v>
      </c>
      <c r="U2076">
        <v>14475</v>
      </c>
      <c r="V2076">
        <v>4</v>
      </c>
    </row>
    <row r="2077" spans="1:22" x14ac:dyDescent="0.35">
      <c r="A2077">
        <v>2076</v>
      </c>
      <c r="B2077" t="s">
        <v>192</v>
      </c>
      <c r="C2077" t="s">
        <v>366</v>
      </c>
      <c r="D2077">
        <v>2025</v>
      </c>
      <c r="E2077" t="s">
        <v>42</v>
      </c>
      <c r="F2077">
        <v>49.6</v>
      </c>
      <c r="G2077" t="s">
        <v>348</v>
      </c>
      <c r="H2077">
        <f>electric_vehicles_dataset[[#This Row],[Battery_Capacity_kWh]]/electric_vehicles_dataset[[#This Row],[Range_km]]</f>
        <v>0.12127139364303179</v>
      </c>
      <c r="I2077">
        <v>409</v>
      </c>
      <c r="J2077" t="s">
        <v>105</v>
      </c>
      <c r="K2077">
        <v>8</v>
      </c>
      <c r="L2077" s="1">
        <v>140034.46</v>
      </c>
      <c r="M2077" s="1" t="str" cm="1">
        <f t="array" ref="M207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77" t="s">
        <v>179</v>
      </c>
      <c r="O2077" t="s">
        <v>115</v>
      </c>
      <c r="P2077" s="2" t="s">
        <v>396</v>
      </c>
      <c r="Q2077">
        <v>4</v>
      </c>
      <c r="R2077" t="s">
        <v>392</v>
      </c>
      <c r="S2077" s="1">
        <f>electric_vehicles_dataset[[#This Row],[Units_Sold_2024]]*electric_vehicles_dataset[[#This Row],[Price_USD]]</f>
        <v>1903068311.3999999</v>
      </c>
      <c r="T2077">
        <v>4</v>
      </c>
      <c r="U2077">
        <v>13590</v>
      </c>
      <c r="V2077">
        <v>4</v>
      </c>
    </row>
    <row r="2078" spans="1:22" x14ac:dyDescent="0.35">
      <c r="A2078">
        <v>2077</v>
      </c>
      <c r="B2078" t="s">
        <v>222</v>
      </c>
      <c r="C2078" t="s">
        <v>232</v>
      </c>
      <c r="D2078">
        <v>2018</v>
      </c>
      <c r="E2078" t="s">
        <v>58</v>
      </c>
      <c r="F2078">
        <v>81.099999999999994</v>
      </c>
      <c r="G2078" t="s">
        <v>350</v>
      </c>
      <c r="H2078">
        <f>electric_vehicles_dataset[[#This Row],[Battery_Capacity_kWh]]/electric_vehicles_dataset[[#This Row],[Range_km]]</f>
        <v>0.22403314917127071</v>
      </c>
      <c r="I2078">
        <v>362</v>
      </c>
      <c r="J2078" t="s">
        <v>356</v>
      </c>
      <c r="K2078">
        <v>3</v>
      </c>
      <c r="L2078" s="1">
        <v>36429.040000000001</v>
      </c>
      <c r="M2078" s="1" t="str" cm="1">
        <f t="array" ref="M207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78" t="s">
        <v>277</v>
      </c>
      <c r="O2078" t="s">
        <v>20</v>
      </c>
      <c r="P2078" s="2" t="s">
        <v>389</v>
      </c>
      <c r="Q2078">
        <v>4</v>
      </c>
      <c r="R2078" t="s">
        <v>392</v>
      </c>
      <c r="S2078" s="1">
        <f>electric_vehicles_dataset[[#This Row],[Units_Sold_2024]]*electric_vehicles_dataset[[#This Row],[Price_USD]]</f>
        <v>243528132.40000001</v>
      </c>
      <c r="T2078">
        <v>4</v>
      </c>
      <c r="U2078">
        <v>6685</v>
      </c>
      <c r="V2078">
        <v>4</v>
      </c>
    </row>
    <row r="2079" spans="1:22" x14ac:dyDescent="0.35">
      <c r="A2079">
        <v>2078</v>
      </c>
      <c r="B2079" t="s">
        <v>68</v>
      </c>
      <c r="C2079" t="s">
        <v>69</v>
      </c>
      <c r="D2079">
        <v>2018</v>
      </c>
      <c r="E2079" t="s">
        <v>73</v>
      </c>
      <c r="F2079">
        <v>116.6</v>
      </c>
      <c r="G2079" t="s">
        <v>361</v>
      </c>
      <c r="H2079">
        <f>electric_vehicles_dataset[[#This Row],[Battery_Capacity_kWh]]/electric_vehicles_dataset[[#This Row],[Range_km]]</f>
        <v>0.63027027027027027</v>
      </c>
      <c r="I2079">
        <v>185</v>
      </c>
      <c r="J2079" t="s">
        <v>149</v>
      </c>
      <c r="K2079">
        <v>9</v>
      </c>
      <c r="L2079" s="1">
        <v>108817.41</v>
      </c>
      <c r="M2079" s="1" t="str" cm="1">
        <f t="array" ref="M207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79" t="s">
        <v>32</v>
      </c>
      <c r="O2079" t="s">
        <v>124</v>
      </c>
      <c r="P2079" s="2" t="s">
        <v>389</v>
      </c>
      <c r="Q2079">
        <v>1</v>
      </c>
      <c r="R2079" t="s">
        <v>391</v>
      </c>
      <c r="S2079" s="1">
        <f>electric_vehicles_dataset[[#This Row],[Units_Sold_2024]]*electric_vehicles_dataset[[#This Row],[Price_USD]]</f>
        <v>1800601683.27</v>
      </c>
      <c r="T2079">
        <v>4</v>
      </c>
      <c r="U2079">
        <v>16547</v>
      </c>
      <c r="V2079">
        <v>4</v>
      </c>
    </row>
    <row r="2080" spans="1:22" x14ac:dyDescent="0.35">
      <c r="A2080">
        <v>2079</v>
      </c>
      <c r="B2080" t="s">
        <v>122</v>
      </c>
      <c r="C2080" t="s">
        <v>250</v>
      </c>
      <c r="D2080">
        <v>2018</v>
      </c>
      <c r="E2080" t="s">
        <v>90</v>
      </c>
      <c r="F2080">
        <v>147.4</v>
      </c>
      <c r="G2080" t="s">
        <v>386</v>
      </c>
      <c r="H2080">
        <f>electric_vehicles_dataset[[#This Row],[Battery_Capacity_kWh]]/electric_vehicles_dataset[[#This Row],[Range_km]]</f>
        <v>0.46352201257861636</v>
      </c>
      <c r="I2080">
        <v>318</v>
      </c>
      <c r="J2080" t="s">
        <v>34</v>
      </c>
      <c r="K2080">
        <v>1</v>
      </c>
      <c r="L2080" s="1">
        <v>41524.589999999997</v>
      </c>
      <c r="M2080" s="1" t="str" cm="1">
        <f t="array" ref="M20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80" t="s">
        <v>43</v>
      </c>
      <c r="O2080" t="s">
        <v>95</v>
      </c>
      <c r="P2080" s="2" t="s">
        <v>394</v>
      </c>
      <c r="Q2080">
        <v>2</v>
      </c>
      <c r="R2080" t="s">
        <v>391</v>
      </c>
      <c r="S2080" s="1">
        <f>electric_vehicles_dataset[[#This Row],[Units_Sold_2024]]*electric_vehicles_dataset[[#This Row],[Price_USD]]</f>
        <v>31143442.499999996</v>
      </c>
      <c r="T2080">
        <v>5</v>
      </c>
      <c r="U2080">
        <v>750</v>
      </c>
      <c r="V2080">
        <v>5</v>
      </c>
    </row>
    <row r="2081" spans="1:22" x14ac:dyDescent="0.35">
      <c r="A2081">
        <v>2080</v>
      </c>
      <c r="B2081" t="s">
        <v>96</v>
      </c>
      <c r="C2081" t="s">
        <v>292</v>
      </c>
      <c r="D2081">
        <v>2017</v>
      </c>
      <c r="E2081" t="s">
        <v>42</v>
      </c>
      <c r="F2081">
        <v>60.2</v>
      </c>
      <c r="G2081" t="s">
        <v>351</v>
      </c>
      <c r="H2081">
        <f>electric_vehicles_dataset[[#This Row],[Battery_Capacity_kWh]]/electric_vehicles_dataset[[#This Row],[Range_km]]</f>
        <v>0.10506108202443282</v>
      </c>
      <c r="I2081">
        <v>573</v>
      </c>
      <c r="J2081" t="s">
        <v>345</v>
      </c>
      <c r="K2081">
        <v>9</v>
      </c>
      <c r="L2081" s="1">
        <v>96914.46</v>
      </c>
      <c r="M2081" s="1" t="str" cm="1">
        <f t="array" ref="M20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81" t="s">
        <v>59</v>
      </c>
      <c r="O2081" t="s">
        <v>63</v>
      </c>
      <c r="P2081" s="2" t="s">
        <v>389</v>
      </c>
      <c r="Q2081">
        <v>4</v>
      </c>
      <c r="R2081" t="s">
        <v>392</v>
      </c>
      <c r="S2081" s="1">
        <f>electric_vehicles_dataset[[#This Row],[Units_Sold_2024]]*electric_vehicles_dataset[[#This Row],[Price_USD]]</f>
        <v>290064978.78000003</v>
      </c>
      <c r="T2081">
        <v>4</v>
      </c>
      <c r="U2081">
        <v>2993</v>
      </c>
      <c r="V2081">
        <v>4</v>
      </c>
    </row>
    <row r="2082" spans="1:22" x14ac:dyDescent="0.35">
      <c r="A2082">
        <v>2081</v>
      </c>
      <c r="B2082" t="s">
        <v>222</v>
      </c>
      <c r="C2082" t="s">
        <v>223</v>
      </c>
      <c r="D2082">
        <v>2024</v>
      </c>
      <c r="E2082" t="s">
        <v>73</v>
      </c>
      <c r="F2082">
        <v>23</v>
      </c>
      <c r="G2082" t="s">
        <v>357</v>
      </c>
      <c r="H2082">
        <f>electric_vehicles_dataset[[#This Row],[Battery_Capacity_kWh]]/electric_vehicles_dataset[[#This Row],[Range_km]]</f>
        <v>0.11442786069651742</v>
      </c>
      <c r="I2082">
        <v>201</v>
      </c>
      <c r="J2082" t="s">
        <v>356</v>
      </c>
      <c r="K2082">
        <v>2</v>
      </c>
      <c r="L2082" s="1">
        <v>79780.039999999994</v>
      </c>
      <c r="M2082" s="1" t="str" cm="1">
        <f t="array" ref="M208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82" t="s">
        <v>168</v>
      </c>
      <c r="O2082" t="s">
        <v>33</v>
      </c>
      <c r="P2082" s="2" t="s">
        <v>393</v>
      </c>
      <c r="Q2082">
        <v>4</v>
      </c>
      <c r="R2082" t="s">
        <v>392</v>
      </c>
      <c r="S2082" s="1">
        <f>electric_vehicles_dataset[[#This Row],[Units_Sold_2024]]*electric_vehicles_dataset[[#This Row],[Price_USD]]</f>
        <v>645500303.63999999</v>
      </c>
      <c r="T2082">
        <v>4</v>
      </c>
      <c r="U2082">
        <v>8091</v>
      </c>
      <c r="V2082">
        <v>5</v>
      </c>
    </row>
    <row r="2083" spans="1:22" x14ac:dyDescent="0.35">
      <c r="A2083">
        <v>2082</v>
      </c>
      <c r="B2083" t="s">
        <v>122</v>
      </c>
      <c r="C2083" t="s">
        <v>123</v>
      </c>
      <c r="D2083">
        <v>2021</v>
      </c>
      <c r="E2083" t="s">
        <v>90</v>
      </c>
      <c r="F2083">
        <v>128.6</v>
      </c>
      <c r="G2083" t="s">
        <v>352</v>
      </c>
      <c r="H2083">
        <f>electric_vehicles_dataset[[#This Row],[Battery_Capacity_kWh]]/electric_vehicles_dataset[[#This Row],[Range_km]]</f>
        <v>0.55913043478260871</v>
      </c>
      <c r="I2083">
        <v>230</v>
      </c>
      <c r="J2083" t="s">
        <v>356</v>
      </c>
      <c r="K2083">
        <v>10</v>
      </c>
      <c r="L2083" s="1">
        <v>112639.94</v>
      </c>
      <c r="M2083" s="1" t="str" cm="1">
        <f t="array" ref="M208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83" t="s">
        <v>102</v>
      </c>
      <c r="O2083" t="s">
        <v>107</v>
      </c>
      <c r="P2083" s="2" t="s">
        <v>394</v>
      </c>
      <c r="Q2083">
        <v>4</v>
      </c>
      <c r="R2083" t="s">
        <v>392</v>
      </c>
      <c r="S2083" s="1">
        <f>electric_vehicles_dataset[[#This Row],[Units_Sold_2024]]*electric_vehicles_dataset[[#This Row],[Price_USD]]</f>
        <v>1201642879.9200001</v>
      </c>
      <c r="T2083">
        <v>5</v>
      </c>
      <c r="U2083">
        <v>10668</v>
      </c>
      <c r="V2083">
        <v>3</v>
      </c>
    </row>
    <row r="2084" spans="1:22" x14ac:dyDescent="0.35">
      <c r="A2084">
        <v>2083</v>
      </c>
      <c r="B2084" t="s">
        <v>140</v>
      </c>
      <c r="C2084" t="s">
        <v>339</v>
      </c>
      <c r="D2084">
        <v>2025</v>
      </c>
      <c r="E2084" t="s">
        <v>104</v>
      </c>
      <c r="F2084">
        <v>70.599999999999994</v>
      </c>
      <c r="G2084" t="s">
        <v>351</v>
      </c>
      <c r="H2084">
        <f>electric_vehicles_dataset[[#This Row],[Battery_Capacity_kWh]]/electric_vehicles_dataset[[#This Row],[Range_km]]</f>
        <v>0.25579710144927537</v>
      </c>
      <c r="I2084">
        <v>276</v>
      </c>
      <c r="J2084" t="s">
        <v>364</v>
      </c>
      <c r="K2084">
        <v>7</v>
      </c>
      <c r="L2084" s="1">
        <v>83100.25</v>
      </c>
      <c r="M2084" s="1" t="str" cm="1">
        <f t="array" ref="M208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84" t="s">
        <v>271</v>
      </c>
      <c r="O2084" t="s">
        <v>111</v>
      </c>
      <c r="P2084" s="2" t="s">
        <v>389</v>
      </c>
      <c r="Q2084">
        <v>3</v>
      </c>
      <c r="R2084" t="s">
        <v>397</v>
      </c>
      <c r="S2084" s="1">
        <f>electric_vehicles_dataset[[#This Row],[Units_Sold_2024]]*electric_vehicles_dataset[[#This Row],[Price_USD]]</f>
        <v>1368162516</v>
      </c>
      <c r="T2084">
        <v>5</v>
      </c>
      <c r="U2084">
        <v>16464</v>
      </c>
      <c r="V2084">
        <v>3</v>
      </c>
    </row>
    <row r="2085" spans="1:22" x14ac:dyDescent="0.35">
      <c r="A2085">
        <v>2084</v>
      </c>
      <c r="B2085" t="s">
        <v>96</v>
      </c>
      <c r="C2085" t="s">
        <v>116</v>
      </c>
      <c r="D2085">
        <v>2018</v>
      </c>
      <c r="E2085" t="s">
        <v>26</v>
      </c>
      <c r="F2085">
        <v>54.3</v>
      </c>
      <c r="G2085" t="s">
        <v>348</v>
      </c>
      <c r="H2085">
        <f>electric_vehicles_dataset[[#This Row],[Battery_Capacity_kWh]]/electric_vehicles_dataset[[#This Row],[Range_km]]</f>
        <v>0.44508196721311472</v>
      </c>
      <c r="I2085">
        <v>122</v>
      </c>
      <c r="J2085" t="s">
        <v>34</v>
      </c>
      <c r="K2085">
        <v>6</v>
      </c>
      <c r="L2085" s="1">
        <v>104276.36</v>
      </c>
      <c r="M2085" s="1" t="str" cm="1">
        <f t="array" ref="M208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85" t="s">
        <v>246</v>
      </c>
      <c r="O2085" t="s">
        <v>95</v>
      </c>
      <c r="P2085" s="2" t="s">
        <v>394</v>
      </c>
      <c r="Q2085">
        <v>5</v>
      </c>
      <c r="R2085" t="s">
        <v>392</v>
      </c>
      <c r="S2085" s="1">
        <f>electric_vehicles_dataset[[#This Row],[Units_Sold_2024]]*electric_vehicles_dataset[[#This Row],[Price_USD]]</f>
        <v>1747671793.5999999</v>
      </c>
      <c r="T2085">
        <v>3</v>
      </c>
      <c r="U2085">
        <v>16760</v>
      </c>
      <c r="V2085">
        <v>5</v>
      </c>
    </row>
    <row r="2086" spans="1:22" x14ac:dyDescent="0.35">
      <c r="A2086">
        <v>2085</v>
      </c>
      <c r="B2086" t="s">
        <v>224</v>
      </c>
      <c r="C2086" t="s">
        <v>303</v>
      </c>
      <c r="D2086">
        <v>2019</v>
      </c>
      <c r="E2086" t="s">
        <v>42</v>
      </c>
      <c r="F2086">
        <v>124.3</v>
      </c>
      <c r="G2086" t="s">
        <v>352</v>
      </c>
      <c r="H2086">
        <f>electric_vehicles_dataset[[#This Row],[Battery_Capacity_kWh]]/electric_vehicles_dataset[[#This Row],[Range_km]]</f>
        <v>0.21175468483816012</v>
      </c>
      <c r="I2086">
        <v>587</v>
      </c>
      <c r="J2086" t="s">
        <v>85</v>
      </c>
      <c r="K2086">
        <v>4</v>
      </c>
      <c r="L2086" s="1">
        <v>56674.96</v>
      </c>
      <c r="M2086" s="1" t="str" cm="1">
        <f t="array" ref="M208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86" t="s">
        <v>168</v>
      </c>
      <c r="O2086" t="s">
        <v>159</v>
      </c>
      <c r="P2086" s="2" t="s">
        <v>389</v>
      </c>
      <c r="Q2086">
        <v>4</v>
      </c>
      <c r="R2086" t="s">
        <v>392</v>
      </c>
      <c r="S2086" s="1">
        <f>electric_vehicles_dataset[[#This Row],[Units_Sold_2024]]*electric_vehicles_dataset[[#This Row],[Price_USD]]</f>
        <v>346624055.36000001</v>
      </c>
      <c r="T2086">
        <v>3</v>
      </c>
      <c r="U2086">
        <v>6116</v>
      </c>
      <c r="V2086">
        <v>3</v>
      </c>
    </row>
    <row r="2087" spans="1:22" x14ac:dyDescent="0.35">
      <c r="A2087">
        <v>2086</v>
      </c>
      <c r="B2087" t="s">
        <v>94</v>
      </c>
      <c r="C2087" t="s">
        <v>294</v>
      </c>
      <c r="D2087">
        <v>2021</v>
      </c>
      <c r="E2087" t="s">
        <v>84</v>
      </c>
      <c r="F2087">
        <v>126.9</v>
      </c>
      <c r="G2087" t="s">
        <v>352</v>
      </c>
      <c r="H2087">
        <f>electric_vehicles_dataset[[#This Row],[Battery_Capacity_kWh]]/electric_vehicles_dataset[[#This Row],[Range_km]]</f>
        <v>0.35446927374301679</v>
      </c>
      <c r="I2087">
        <v>358</v>
      </c>
      <c r="J2087" t="s">
        <v>345</v>
      </c>
      <c r="K2087">
        <v>1</v>
      </c>
      <c r="L2087" s="1">
        <v>92533.56</v>
      </c>
      <c r="M2087" s="1" t="str" cm="1">
        <f t="array" ref="M208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87" t="s">
        <v>210</v>
      </c>
      <c r="O2087" t="s">
        <v>124</v>
      </c>
      <c r="P2087" s="2" t="s">
        <v>389</v>
      </c>
      <c r="Q2087">
        <v>2</v>
      </c>
      <c r="R2087" t="s">
        <v>391</v>
      </c>
      <c r="S2087" s="1">
        <f>electric_vehicles_dataset[[#This Row],[Units_Sold_2024]]*electric_vehicles_dataset[[#This Row],[Price_USD]]</f>
        <v>2035738.3199999998</v>
      </c>
      <c r="T2087">
        <v>4</v>
      </c>
      <c r="U2087">
        <v>22</v>
      </c>
      <c r="V2087">
        <v>4</v>
      </c>
    </row>
    <row r="2088" spans="1:22" x14ac:dyDescent="0.35">
      <c r="A2088">
        <v>2087</v>
      </c>
      <c r="B2088" t="s">
        <v>41</v>
      </c>
      <c r="C2088" t="s">
        <v>380</v>
      </c>
      <c r="D2088">
        <v>2018</v>
      </c>
      <c r="E2088" t="s">
        <v>130</v>
      </c>
      <c r="F2088">
        <v>72.3</v>
      </c>
      <c r="G2088" t="s">
        <v>351</v>
      </c>
      <c r="H2088">
        <f>electric_vehicles_dataset[[#This Row],[Battery_Capacity_kWh]]/electric_vehicles_dataset[[#This Row],[Range_km]]</f>
        <v>0.22246153846153846</v>
      </c>
      <c r="I2088">
        <v>325</v>
      </c>
      <c r="J2088" t="s">
        <v>105</v>
      </c>
      <c r="K2088">
        <v>6</v>
      </c>
      <c r="L2088" s="1">
        <v>118158.64</v>
      </c>
      <c r="M2088" s="1" t="str" cm="1">
        <f t="array" ref="M208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88" t="s">
        <v>98</v>
      </c>
      <c r="O2088" t="s">
        <v>147</v>
      </c>
      <c r="P2088" s="2" t="s">
        <v>396</v>
      </c>
      <c r="Q2088">
        <v>0</v>
      </c>
      <c r="R2088" t="s">
        <v>390</v>
      </c>
      <c r="S2088" s="1">
        <f>electric_vehicles_dataset[[#This Row],[Units_Sold_2024]]*electric_vehicles_dataset[[#This Row],[Price_USD]]</f>
        <v>1308725096.6400001</v>
      </c>
      <c r="T2088">
        <v>3</v>
      </c>
      <c r="U2088">
        <v>11076</v>
      </c>
      <c r="V2088">
        <v>3</v>
      </c>
    </row>
    <row r="2089" spans="1:22" x14ac:dyDescent="0.35">
      <c r="A2089">
        <v>2088</v>
      </c>
      <c r="B2089" t="s">
        <v>51</v>
      </c>
      <c r="C2089" t="s">
        <v>52</v>
      </c>
      <c r="D2089">
        <v>2024</v>
      </c>
      <c r="E2089" t="s">
        <v>26</v>
      </c>
      <c r="F2089">
        <v>108.5</v>
      </c>
      <c r="G2089" t="s">
        <v>361</v>
      </c>
      <c r="H2089">
        <f>electric_vehicles_dataset[[#This Row],[Battery_Capacity_kWh]]/electric_vehicles_dataset[[#This Row],[Range_km]]</f>
        <v>0.237417943107221</v>
      </c>
      <c r="I2089">
        <v>457</v>
      </c>
      <c r="J2089" t="s">
        <v>38</v>
      </c>
      <c r="K2089">
        <v>12</v>
      </c>
      <c r="L2089" s="1">
        <v>96149.9</v>
      </c>
      <c r="M2089" s="1" t="str" cm="1">
        <f t="array" ref="M20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89" t="s">
        <v>70</v>
      </c>
      <c r="O2089" t="s">
        <v>206</v>
      </c>
      <c r="P2089" s="2" t="s">
        <v>394</v>
      </c>
      <c r="Q2089">
        <v>5</v>
      </c>
      <c r="R2089" t="s">
        <v>392</v>
      </c>
      <c r="S2089" s="1">
        <f>electric_vehicles_dataset[[#This Row],[Units_Sold_2024]]*electric_vehicles_dataset[[#This Row],[Price_USD]]</f>
        <v>139898104.5</v>
      </c>
      <c r="T2089">
        <v>5</v>
      </c>
      <c r="U2089">
        <v>1455</v>
      </c>
      <c r="V2089">
        <v>3</v>
      </c>
    </row>
    <row r="2090" spans="1:22" x14ac:dyDescent="0.35">
      <c r="A2090">
        <v>2089</v>
      </c>
      <c r="B2090" t="s">
        <v>170</v>
      </c>
      <c r="C2090" t="s">
        <v>218</v>
      </c>
      <c r="D2090">
        <v>2016</v>
      </c>
      <c r="E2090" t="s">
        <v>104</v>
      </c>
      <c r="F2090">
        <v>87.7</v>
      </c>
      <c r="G2090" t="s">
        <v>350</v>
      </c>
      <c r="H2090">
        <f>electric_vehicles_dataset[[#This Row],[Battery_Capacity_kWh]]/electric_vehicles_dataset[[#This Row],[Range_km]]</f>
        <v>0.41173708920187796</v>
      </c>
      <c r="I2090">
        <v>213</v>
      </c>
      <c r="J2090" t="s">
        <v>359</v>
      </c>
      <c r="K2090">
        <v>3</v>
      </c>
      <c r="L2090" s="1">
        <v>45722.66</v>
      </c>
      <c r="M2090" s="1" t="str" cm="1">
        <f t="array" ref="M209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90" t="s">
        <v>19</v>
      </c>
      <c r="O2090" t="s">
        <v>169</v>
      </c>
      <c r="P2090" s="2" t="s">
        <v>394</v>
      </c>
      <c r="Q2090">
        <v>5</v>
      </c>
      <c r="R2090" t="s">
        <v>392</v>
      </c>
      <c r="S2090" s="1">
        <f>electric_vehicles_dataset[[#This Row],[Units_Sold_2024]]*electric_vehicles_dataset[[#This Row],[Price_USD]]</f>
        <v>772484340.70000005</v>
      </c>
      <c r="T2090">
        <v>3</v>
      </c>
      <c r="U2090">
        <v>16895</v>
      </c>
      <c r="V2090">
        <v>4</v>
      </c>
    </row>
    <row r="2091" spans="1:22" x14ac:dyDescent="0.35">
      <c r="A2091">
        <v>2090</v>
      </c>
      <c r="B2091" t="s">
        <v>56</v>
      </c>
      <c r="C2091" t="s">
        <v>57</v>
      </c>
      <c r="D2091">
        <v>2015</v>
      </c>
      <c r="E2091" t="s">
        <v>101</v>
      </c>
      <c r="F2091">
        <v>96.2</v>
      </c>
      <c r="G2091" t="s">
        <v>350</v>
      </c>
      <c r="H2091">
        <f>electric_vehicles_dataset[[#This Row],[Battery_Capacity_kWh]]/electric_vehicles_dataset[[#This Row],[Range_km]]</f>
        <v>0.19163346613545817</v>
      </c>
      <c r="I2091">
        <v>502</v>
      </c>
      <c r="J2091" t="s">
        <v>356</v>
      </c>
      <c r="K2091">
        <v>3</v>
      </c>
      <c r="L2091" s="1">
        <v>92238.99</v>
      </c>
      <c r="M2091" s="1" t="str" cm="1">
        <f t="array" ref="M209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91" t="s">
        <v>175</v>
      </c>
      <c r="O2091" t="s">
        <v>135</v>
      </c>
      <c r="P2091" s="2" t="s">
        <v>389</v>
      </c>
      <c r="Q2091">
        <v>5</v>
      </c>
      <c r="R2091" t="s">
        <v>392</v>
      </c>
      <c r="S2091" s="1">
        <f>electric_vehicles_dataset[[#This Row],[Units_Sold_2024]]*electric_vehicles_dataset[[#This Row],[Price_USD]]</f>
        <v>286125346.98000002</v>
      </c>
      <c r="T2091">
        <v>4</v>
      </c>
      <c r="U2091">
        <v>3102</v>
      </c>
      <c r="V2091">
        <v>5</v>
      </c>
    </row>
    <row r="2092" spans="1:22" x14ac:dyDescent="0.35">
      <c r="A2092">
        <v>2091</v>
      </c>
      <c r="B2092" t="s">
        <v>200</v>
      </c>
      <c r="C2092" t="s">
        <v>327</v>
      </c>
      <c r="D2092">
        <v>2023</v>
      </c>
      <c r="E2092" t="s">
        <v>84</v>
      </c>
      <c r="F2092">
        <v>70</v>
      </c>
      <c r="G2092" t="s">
        <v>351</v>
      </c>
      <c r="H2092">
        <f>electric_vehicles_dataset[[#This Row],[Battery_Capacity_kWh]]/electric_vehicles_dataset[[#This Row],[Range_km]]</f>
        <v>0.12323943661971831</v>
      </c>
      <c r="I2092">
        <v>568</v>
      </c>
      <c r="J2092" t="s">
        <v>364</v>
      </c>
      <c r="K2092">
        <v>7</v>
      </c>
      <c r="L2092" s="1">
        <v>102910.26</v>
      </c>
      <c r="M2092" s="1" t="str" cm="1">
        <f t="array" ref="M209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92" t="s">
        <v>168</v>
      </c>
      <c r="O2092" t="s">
        <v>167</v>
      </c>
      <c r="P2092" s="2" t="s">
        <v>394</v>
      </c>
      <c r="Q2092">
        <v>5</v>
      </c>
      <c r="R2092" t="s">
        <v>392</v>
      </c>
      <c r="S2092" s="1">
        <f>electric_vehicles_dataset[[#This Row],[Units_Sold_2024]]*electric_vehicles_dataset[[#This Row],[Price_USD]]</f>
        <v>1260033223.4399998</v>
      </c>
      <c r="T2092">
        <v>5</v>
      </c>
      <c r="U2092">
        <v>12244</v>
      </c>
      <c r="V2092">
        <v>3</v>
      </c>
    </row>
    <row r="2093" spans="1:22" x14ac:dyDescent="0.35">
      <c r="A2093">
        <v>2092</v>
      </c>
      <c r="B2093" t="s">
        <v>243</v>
      </c>
      <c r="C2093" t="s">
        <v>371</v>
      </c>
      <c r="D2093">
        <v>2016</v>
      </c>
      <c r="E2093" t="s">
        <v>90</v>
      </c>
      <c r="F2093">
        <v>32.299999999999997</v>
      </c>
      <c r="G2093" t="s">
        <v>357</v>
      </c>
      <c r="H2093">
        <f>electric_vehicles_dataset[[#This Row],[Battery_Capacity_kWh]]/electric_vehicles_dataset[[#This Row],[Range_km]]</f>
        <v>6.2596899224806199E-2</v>
      </c>
      <c r="I2093">
        <v>516</v>
      </c>
      <c r="J2093" t="s">
        <v>353</v>
      </c>
      <c r="K2093">
        <v>10</v>
      </c>
      <c r="L2093" s="1">
        <v>99166.6</v>
      </c>
      <c r="M2093" s="1" t="str" cm="1">
        <f t="array" ref="M209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93" t="s">
        <v>19</v>
      </c>
      <c r="O2093" t="s">
        <v>236</v>
      </c>
      <c r="P2093" s="2" t="s">
        <v>394</v>
      </c>
      <c r="Q2093">
        <v>5</v>
      </c>
      <c r="R2093" t="s">
        <v>392</v>
      </c>
      <c r="S2093" s="1">
        <f>electric_vehicles_dataset[[#This Row],[Units_Sold_2024]]*electric_vehicles_dataset[[#This Row],[Price_USD]]</f>
        <v>1569509778.2</v>
      </c>
      <c r="T2093">
        <v>3</v>
      </c>
      <c r="U2093">
        <v>15827</v>
      </c>
      <c r="V2093">
        <v>3</v>
      </c>
    </row>
    <row r="2094" spans="1:22" x14ac:dyDescent="0.35">
      <c r="A2094">
        <v>2093</v>
      </c>
      <c r="B2094" t="s">
        <v>82</v>
      </c>
      <c r="C2094" t="s">
        <v>83</v>
      </c>
      <c r="D2094">
        <v>2025</v>
      </c>
      <c r="E2094" t="s">
        <v>133</v>
      </c>
      <c r="F2094">
        <v>99.3</v>
      </c>
      <c r="G2094" t="s">
        <v>350</v>
      </c>
      <c r="H2094">
        <f>electric_vehicles_dataset[[#This Row],[Battery_Capacity_kWh]]/electric_vehicles_dataset[[#This Row],[Range_km]]</f>
        <v>0.56742857142857139</v>
      </c>
      <c r="I2094">
        <v>175</v>
      </c>
      <c r="J2094" t="s">
        <v>359</v>
      </c>
      <c r="K2094">
        <v>9</v>
      </c>
      <c r="L2094" s="1">
        <v>120145.63</v>
      </c>
      <c r="M2094" s="1" t="str" cm="1">
        <f t="array" ref="M20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94" t="s">
        <v>77</v>
      </c>
      <c r="O2094" t="s">
        <v>354</v>
      </c>
      <c r="P2094" s="2" t="s">
        <v>394</v>
      </c>
      <c r="Q2094">
        <v>2</v>
      </c>
      <c r="R2094" t="s">
        <v>391</v>
      </c>
      <c r="S2094" s="1">
        <f>electric_vehicles_dataset[[#This Row],[Units_Sold_2024]]*electric_vehicles_dataset[[#This Row],[Price_USD]]</f>
        <v>399243928.49000001</v>
      </c>
      <c r="T2094">
        <v>5</v>
      </c>
      <c r="U2094">
        <v>3323</v>
      </c>
      <c r="V2094">
        <v>5</v>
      </c>
    </row>
    <row r="2095" spans="1:22" x14ac:dyDescent="0.35">
      <c r="A2095">
        <v>2094</v>
      </c>
      <c r="B2095" t="s">
        <v>222</v>
      </c>
      <c r="C2095" t="s">
        <v>223</v>
      </c>
      <c r="D2095">
        <v>2017</v>
      </c>
      <c r="E2095" t="s">
        <v>90</v>
      </c>
      <c r="F2095">
        <v>48.6</v>
      </c>
      <c r="G2095" t="s">
        <v>348</v>
      </c>
      <c r="H2095">
        <f>electric_vehicles_dataset[[#This Row],[Battery_Capacity_kWh]]/electric_vehicles_dataset[[#This Row],[Range_km]]</f>
        <v>9.4186046511627916E-2</v>
      </c>
      <c r="I2095">
        <v>516</v>
      </c>
      <c r="J2095" t="s">
        <v>18</v>
      </c>
      <c r="K2095">
        <v>1</v>
      </c>
      <c r="L2095" s="1">
        <v>53365.59</v>
      </c>
      <c r="M2095" s="1" t="str" cm="1">
        <f t="array" ref="M209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095" t="s">
        <v>59</v>
      </c>
      <c r="O2095" t="s">
        <v>202</v>
      </c>
      <c r="P2095" s="2" t="s">
        <v>393</v>
      </c>
      <c r="Q2095">
        <v>1</v>
      </c>
      <c r="R2095" t="s">
        <v>391</v>
      </c>
      <c r="S2095" s="1">
        <f>electric_vehicles_dataset[[#This Row],[Units_Sold_2024]]*electric_vehicles_dataset[[#This Row],[Price_USD]]</f>
        <v>72257008.859999999</v>
      </c>
      <c r="T2095">
        <v>4</v>
      </c>
      <c r="U2095">
        <v>1354</v>
      </c>
      <c r="V2095">
        <v>5</v>
      </c>
    </row>
    <row r="2096" spans="1:22" x14ac:dyDescent="0.35">
      <c r="A2096">
        <v>2095</v>
      </c>
      <c r="B2096" t="s">
        <v>71</v>
      </c>
      <c r="C2096" t="s">
        <v>315</v>
      </c>
      <c r="D2096">
        <v>2022</v>
      </c>
      <c r="E2096" t="s">
        <v>26</v>
      </c>
      <c r="F2096">
        <v>107.9</v>
      </c>
      <c r="G2096" t="s">
        <v>361</v>
      </c>
      <c r="H2096">
        <f>electric_vehicles_dataset[[#This Row],[Battery_Capacity_kWh]]/electric_vehicles_dataset[[#This Row],[Range_km]]</f>
        <v>0.18635578583765114</v>
      </c>
      <c r="I2096">
        <v>579</v>
      </c>
      <c r="J2096" t="s">
        <v>356</v>
      </c>
      <c r="K2096">
        <v>6</v>
      </c>
      <c r="L2096" s="1">
        <v>92658.04</v>
      </c>
      <c r="M2096" s="1" t="str" cm="1">
        <f t="array" ref="M209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096" t="s">
        <v>91</v>
      </c>
      <c r="O2096" t="s">
        <v>110</v>
      </c>
      <c r="P2096" s="2" t="s">
        <v>394</v>
      </c>
      <c r="Q2096">
        <v>3</v>
      </c>
      <c r="R2096" t="s">
        <v>397</v>
      </c>
      <c r="S2096" s="1">
        <f>electric_vehicles_dataset[[#This Row],[Units_Sold_2024]]*electric_vehicles_dataset[[#This Row],[Price_USD]]</f>
        <v>1212708427.52</v>
      </c>
      <c r="T2096">
        <v>4</v>
      </c>
      <c r="U2096">
        <v>13088</v>
      </c>
      <c r="V2096">
        <v>3</v>
      </c>
    </row>
    <row r="2097" spans="1:22" x14ac:dyDescent="0.35">
      <c r="A2097">
        <v>2096</v>
      </c>
      <c r="B2097" t="s">
        <v>29</v>
      </c>
      <c r="C2097" t="s">
        <v>197</v>
      </c>
      <c r="D2097">
        <v>2021</v>
      </c>
      <c r="E2097" t="s">
        <v>183</v>
      </c>
      <c r="F2097">
        <v>146.9</v>
      </c>
      <c r="G2097" t="s">
        <v>386</v>
      </c>
      <c r="H2097">
        <f>electric_vehicles_dataset[[#This Row],[Battery_Capacity_kWh]]/electric_vehicles_dataset[[#This Row],[Range_km]]</f>
        <v>0.87964071856287429</v>
      </c>
      <c r="I2097">
        <v>167</v>
      </c>
      <c r="J2097" t="s">
        <v>27</v>
      </c>
      <c r="K2097">
        <v>8</v>
      </c>
      <c r="L2097" s="1">
        <v>140022</v>
      </c>
      <c r="M2097" s="1" t="str" cm="1">
        <f t="array" ref="M209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97" t="s">
        <v>28</v>
      </c>
      <c r="O2097" t="s">
        <v>167</v>
      </c>
      <c r="P2097" s="2" t="s">
        <v>394</v>
      </c>
      <c r="Q2097">
        <v>2</v>
      </c>
      <c r="R2097" t="s">
        <v>391</v>
      </c>
      <c r="S2097" s="1">
        <f>electric_vehicles_dataset[[#This Row],[Units_Sold_2024]]*electric_vehicles_dataset[[#This Row],[Price_USD]]</f>
        <v>428047254</v>
      </c>
      <c r="T2097">
        <v>4</v>
      </c>
      <c r="U2097">
        <v>3057</v>
      </c>
      <c r="V2097">
        <v>3</v>
      </c>
    </row>
    <row r="2098" spans="1:22" x14ac:dyDescent="0.35">
      <c r="A2098">
        <v>2097</v>
      </c>
      <c r="B2098" t="s">
        <v>64</v>
      </c>
      <c r="C2098" t="s">
        <v>65</v>
      </c>
      <c r="D2098">
        <v>2023</v>
      </c>
      <c r="E2098" t="s">
        <v>42</v>
      </c>
      <c r="F2098">
        <v>26.2</v>
      </c>
      <c r="G2098" t="s">
        <v>357</v>
      </c>
      <c r="H2098">
        <f>electric_vehicles_dataset[[#This Row],[Battery_Capacity_kWh]]/electric_vehicles_dataset[[#This Row],[Range_km]]</f>
        <v>6.1072261072261068E-2</v>
      </c>
      <c r="I2098">
        <v>429</v>
      </c>
      <c r="J2098" t="s">
        <v>364</v>
      </c>
      <c r="K2098">
        <v>7</v>
      </c>
      <c r="L2098" s="1">
        <v>137906.09</v>
      </c>
      <c r="M2098" s="1" t="str" cm="1">
        <f t="array" ref="M209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98" t="s">
        <v>117</v>
      </c>
      <c r="O2098" t="s">
        <v>150</v>
      </c>
      <c r="P2098" s="2" t="s">
        <v>389</v>
      </c>
      <c r="Q2098">
        <v>5</v>
      </c>
      <c r="R2098" t="s">
        <v>392</v>
      </c>
      <c r="S2098" s="1">
        <f>electric_vehicles_dataset[[#This Row],[Units_Sold_2024]]*electric_vehicles_dataset[[#This Row],[Price_USD]]</f>
        <v>2750536965.0499997</v>
      </c>
      <c r="T2098">
        <v>5</v>
      </c>
      <c r="U2098">
        <v>19945</v>
      </c>
      <c r="V2098">
        <v>3</v>
      </c>
    </row>
    <row r="2099" spans="1:22" x14ac:dyDescent="0.35">
      <c r="A2099">
        <v>2098</v>
      </c>
      <c r="B2099" t="s">
        <v>112</v>
      </c>
      <c r="C2099" t="s">
        <v>138</v>
      </c>
      <c r="D2099">
        <v>2017</v>
      </c>
      <c r="E2099" t="s">
        <v>104</v>
      </c>
      <c r="F2099">
        <v>66.400000000000006</v>
      </c>
      <c r="G2099" t="s">
        <v>351</v>
      </c>
      <c r="H2099">
        <f>electric_vehicles_dataset[[#This Row],[Battery_Capacity_kWh]]/electric_vehicles_dataset[[#This Row],[Range_km]]</f>
        <v>0.1213893967093236</v>
      </c>
      <c r="I2099">
        <v>547</v>
      </c>
      <c r="J2099" t="s">
        <v>356</v>
      </c>
      <c r="K2099">
        <v>7</v>
      </c>
      <c r="L2099" s="1">
        <v>139833.04</v>
      </c>
      <c r="M2099" s="1" t="str" cm="1">
        <f t="array" ref="M209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099" t="s">
        <v>279</v>
      </c>
      <c r="O2099" t="s">
        <v>199</v>
      </c>
      <c r="P2099" s="2" t="s">
        <v>394</v>
      </c>
      <c r="Q2099">
        <v>1</v>
      </c>
      <c r="R2099" t="s">
        <v>391</v>
      </c>
      <c r="S2099" s="1">
        <f>electric_vehicles_dataset[[#This Row],[Units_Sold_2024]]*electric_vehicles_dataset[[#This Row],[Price_USD]]</f>
        <v>1561655390.72</v>
      </c>
      <c r="T2099">
        <v>5</v>
      </c>
      <c r="U2099">
        <v>11168</v>
      </c>
      <c r="V2099">
        <v>5</v>
      </c>
    </row>
    <row r="2100" spans="1:22" x14ac:dyDescent="0.35">
      <c r="A2100">
        <v>2099</v>
      </c>
      <c r="B2100" t="s">
        <v>222</v>
      </c>
      <c r="C2100" t="s">
        <v>223</v>
      </c>
      <c r="D2100">
        <v>2015</v>
      </c>
      <c r="E2100" t="s">
        <v>53</v>
      </c>
      <c r="F2100">
        <v>95.7</v>
      </c>
      <c r="G2100" t="s">
        <v>350</v>
      </c>
      <c r="H2100">
        <f>electric_vehicles_dataset[[#This Row],[Battery_Capacity_kWh]]/electric_vehicles_dataset[[#This Row],[Range_km]]</f>
        <v>0.32114093959731543</v>
      </c>
      <c r="I2100">
        <v>298</v>
      </c>
      <c r="J2100" t="s">
        <v>48</v>
      </c>
      <c r="K2100">
        <v>7</v>
      </c>
      <c r="L2100" s="1">
        <v>78547.360000000001</v>
      </c>
      <c r="M2100" s="1" t="str" cm="1">
        <f t="array" ref="M210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00" t="s">
        <v>114</v>
      </c>
      <c r="O2100" t="s">
        <v>67</v>
      </c>
      <c r="P2100" s="2" t="s">
        <v>394</v>
      </c>
      <c r="Q2100">
        <v>2</v>
      </c>
      <c r="R2100" t="s">
        <v>391</v>
      </c>
      <c r="S2100" s="1">
        <f>electric_vehicles_dataset[[#This Row],[Units_Sold_2024]]*electric_vehicles_dataset[[#This Row],[Price_USD]]</f>
        <v>362810255.83999997</v>
      </c>
      <c r="T2100">
        <v>3</v>
      </c>
      <c r="U2100">
        <v>4619</v>
      </c>
      <c r="V2100">
        <v>3</v>
      </c>
    </row>
    <row r="2101" spans="1:22" x14ac:dyDescent="0.35">
      <c r="A2101">
        <v>2100</v>
      </c>
      <c r="B2101" t="s">
        <v>192</v>
      </c>
      <c r="C2101" t="s">
        <v>198</v>
      </c>
      <c r="D2101">
        <v>2015</v>
      </c>
      <c r="E2101" t="s">
        <v>47</v>
      </c>
      <c r="F2101">
        <v>35.9</v>
      </c>
      <c r="G2101" t="s">
        <v>357</v>
      </c>
      <c r="H2101">
        <f>electric_vehicles_dataset[[#This Row],[Battery_Capacity_kWh]]/electric_vehicles_dataset[[#This Row],[Range_km]]</f>
        <v>7.151394422310757E-2</v>
      </c>
      <c r="I2101">
        <v>502</v>
      </c>
      <c r="J2101" t="s">
        <v>105</v>
      </c>
      <c r="K2101">
        <v>9</v>
      </c>
      <c r="L2101" s="1">
        <v>142970.97</v>
      </c>
      <c r="M2101" s="1" t="str" cm="1">
        <f t="array" ref="M21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01" t="s">
        <v>114</v>
      </c>
      <c r="O2101" t="s">
        <v>115</v>
      </c>
      <c r="P2101" s="2" t="s">
        <v>396</v>
      </c>
      <c r="Q2101">
        <v>5</v>
      </c>
      <c r="R2101" t="s">
        <v>392</v>
      </c>
      <c r="S2101" s="1">
        <f>electric_vehicles_dataset[[#This Row],[Units_Sold_2024]]*electric_vehicles_dataset[[#This Row],[Price_USD]]</f>
        <v>2535018269.0700002</v>
      </c>
      <c r="T2101">
        <v>3</v>
      </c>
      <c r="U2101">
        <v>17731</v>
      </c>
      <c r="V2101">
        <v>5</v>
      </c>
    </row>
    <row r="2102" spans="1:22" x14ac:dyDescent="0.35">
      <c r="A2102">
        <v>2101</v>
      </c>
      <c r="B2102" t="s">
        <v>29</v>
      </c>
      <c r="C2102" t="s">
        <v>378</v>
      </c>
      <c r="D2102">
        <v>2022</v>
      </c>
      <c r="E2102" t="s">
        <v>53</v>
      </c>
      <c r="F2102">
        <v>33.299999999999997</v>
      </c>
      <c r="G2102" t="s">
        <v>357</v>
      </c>
      <c r="H2102">
        <f>electric_vehicles_dataset[[#This Row],[Battery_Capacity_kWh]]/electric_vehicles_dataset[[#This Row],[Range_km]]</f>
        <v>0.27983193277310919</v>
      </c>
      <c r="I2102">
        <v>119</v>
      </c>
      <c r="J2102" t="s">
        <v>353</v>
      </c>
      <c r="K2102">
        <v>4</v>
      </c>
      <c r="L2102" s="1">
        <v>97670.76</v>
      </c>
      <c r="M2102" s="1" t="str" cm="1">
        <f t="array" ref="M21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02" t="s">
        <v>189</v>
      </c>
      <c r="O2102" t="s">
        <v>134</v>
      </c>
      <c r="P2102" s="2" t="s">
        <v>389</v>
      </c>
      <c r="Q2102">
        <v>2</v>
      </c>
      <c r="R2102" t="s">
        <v>391</v>
      </c>
      <c r="S2102" s="1">
        <f>electric_vehicles_dataset[[#This Row],[Units_Sold_2024]]*electric_vehicles_dataset[[#This Row],[Price_USD]]</f>
        <v>1063829917.92</v>
      </c>
      <c r="T2102">
        <v>5</v>
      </c>
      <c r="U2102">
        <v>10892</v>
      </c>
      <c r="V2102">
        <v>5</v>
      </c>
    </row>
    <row r="2103" spans="1:22" x14ac:dyDescent="0.35">
      <c r="A2103">
        <v>2102</v>
      </c>
      <c r="B2103" t="s">
        <v>108</v>
      </c>
      <c r="C2103" t="s">
        <v>325</v>
      </c>
      <c r="D2103">
        <v>2017</v>
      </c>
      <c r="E2103" t="s">
        <v>17</v>
      </c>
      <c r="F2103">
        <v>142.80000000000001</v>
      </c>
      <c r="G2103" t="s">
        <v>386</v>
      </c>
      <c r="H2103">
        <f>electric_vehicles_dataset[[#This Row],[Battery_Capacity_kWh]]/electric_vehicles_dataset[[#This Row],[Range_km]]</f>
        <v>0.61025641025641031</v>
      </c>
      <c r="I2103">
        <v>234</v>
      </c>
      <c r="J2103" t="s">
        <v>38</v>
      </c>
      <c r="K2103">
        <v>5</v>
      </c>
      <c r="L2103" s="1">
        <v>101294.52</v>
      </c>
      <c r="M2103" s="1" t="str" cm="1">
        <f t="array" ref="M210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03" t="s">
        <v>102</v>
      </c>
      <c r="O2103" t="s">
        <v>118</v>
      </c>
      <c r="P2103" s="2" t="s">
        <v>389</v>
      </c>
      <c r="Q2103">
        <v>2</v>
      </c>
      <c r="R2103" t="s">
        <v>391</v>
      </c>
      <c r="S2103" s="1">
        <f>electric_vehicles_dataset[[#This Row],[Units_Sold_2024]]*electric_vehicles_dataset[[#This Row],[Price_USD]]</f>
        <v>855938694</v>
      </c>
      <c r="T2103">
        <v>4</v>
      </c>
      <c r="U2103">
        <v>8450</v>
      </c>
      <c r="V2103">
        <v>3</v>
      </c>
    </row>
    <row r="2104" spans="1:22" x14ac:dyDescent="0.35">
      <c r="A2104">
        <v>2103</v>
      </c>
      <c r="B2104" t="s">
        <v>157</v>
      </c>
      <c r="C2104" t="s">
        <v>158</v>
      </c>
      <c r="D2104">
        <v>2016</v>
      </c>
      <c r="E2104" t="s">
        <v>133</v>
      </c>
      <c r="F2104">
        <v>38.6</v>
      </c>
      <c r="G2104" t="s">
        <v>357</v>
      </c>
      <c r="H2104">
        <f>electric_vehicles_dataset[[#This Row],[Battery_Capacity_kWh]]/electric_vehicles_dataset[[#This Row],[Range_km]]</f>
        <v>9.2788461538461542E-2</v>
      </c>
      <c r="I2104">
        <v>416</v>
      </c>
      <c r="J2104" t="s">
        <v>76</v>
      </c>
      <c r="K2104">
        <v>4</v>
      </c>
      <c r="L2104" s="1">
        <v>73090.41</v>
      </c>
      <c r="M2104" s="1" t="str" cm="1">
        <f t="array" ref="M210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04" t="s">
        <v>39</v>
      </c>
      <c r="O2104" t="s">
        <v>236</v>
      </c>
      <c r="P2104" s="2" t="s">
        <v>394</v>
      </c>
      <c r="Q2104">
        <v>1</v>
      </c>
      <c r="R2104" t="s">
        <v>391</v>
      </c>
      <c r="S2104" s="1">
        <f>electric_vehicles_dataset[[#This Row],[Units_Sold_2024]]*electric_vehicles_dataset[[#This Row],[Price_USD]]</f>
        <v>1278058909.26</v>
      </c>
      <c r="T2104">
        <v>5</v>
      </c>
      <c r="U2104">
        <v>17486</v>
      </c>
      <c r="V2104">
        <v>4</v>
      </c>
    </row>
    <row r="2105" spans="1:22" x14ac:dyDescent="0.35">
      <c r="A2105">
        <v>2104</v>
      </c>
      <c r="B2105" t="s">
        <v>45</v>
      </c>
      <c r="C2105" t="s">
        <v>283</v>
      </c>
      <c r="D2105">
        <v>2021</v>
      </c>
      <c r="E2105" t="s">
        <v>90</v>
      </c>
      <c r="F2105">
        <v>31.1</v>
      </c>
      <c r="G2105" t="s">
        <v>357</v>
      </c>
      <c r="H2105">
        <f>electric_vehicles_dataset[[#This Row],[Battery_Capacity_kWh]]/electric_vehicles_dataset[[#This Row],[Range_km]]</f>
        <v>7.6412776412776412E-2</v>
      </c>
      <c r="I2105">
        <v>407</v>
      </c>
      <c r="J2105" t="s">
        <v>149</v>
      </c>
      <c r="K2105">
        <v>3</v>
      </c>
      <c r="L2105" s="1">
        <v>41487.15</v>
      </c>
      <c r="M2105" s="1" t="str" cm="1">
        <f t="array" ref="M21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05" t="s">
        <v>77</v>
      </c>
      <c r="O2105" t="s">
        <v>265</v>
      </c>
      <c r="P2105" s="2" t="s">
        <v>389</v>
      </c>
      <c r="Q2105">
        <v>4</v>
      </c>
      <c r="R2105" t="s">
        <v>392</v>
      </c>
      <c r="S2105" s="1">
        <f>electric_vehicles_dataset[[#This Row],[Units_Sold_2024]]*electric_vehicles_dataset[[#This Row],[Price_USD]]</f>
        <v>398981921.55000001</v>
      </c>
      <c r="T2105">
        <v>4</v>
      </c>
      <c r="U2105">
        <v>9617</v>
      </c>
      <c r="V2105">
        <v>5</v>
      </c>
    </row>
    <row r="2106" spans="1:22" x14ac:dyDescent="0.35">
      <c r="A2106">
        <v>2105</v>
      </c>
      <c r="B2106" t="s">
        <v>215</v>
      </c>
      <c r="C2106" t="s">
        <v>377</v>
      </c>
      <c r="D2106">
        <v>2023</v>
      </c>
      <c r="E2106" t="s">
        <v>104</v>
      </c>
      <c r="F2106">
        <v>95.7</v>
      </c>
      <c r="G2106" t="s">
        <v>350</v>
      </c>
      <c r="H2106">
        <f>electric_vehicles_dataset[[#This Row],[Battery_Capacity_kWh]]/electric_vehicles_dataset[[#This Row],[Range_km]]</f>
        <v>0.89439252336448605</v>
      </c>
      <c r="I2106">
        <v>107</v>
      </c>
      <c r="J2106" t="s">
        <v>18</v>
      </c>
      <c r="K2106">
        <v>12</v>
      </c>
      <c r="L2106" s="1">
        <v>145431.6</v>
      </c>
      <c r="M2106" s="1" t="str" cm="1">
        <f t="array" ref="M210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06" t="s">
        <v>28</v>
      </c>
      <c r="O2106" t="s">
        <v>150</v>
      </c>
      <c r="P2106" s="2" t="s">
        <v>389</v>
      </c>
      <c r="Q2106">
        <v>3</v>
      </c>
      <c r="R2106" t="s">
        <v>397</v>
      </c>
      <c r="S2106" s="1">
        <f>electric_vehicles_dataset[[#This Row],[Units_Sold_2024]]*electric_vehicles_dataset[[#This Row],[Price_USD]]</f>
        <v>1859633869.2</v>
      </c>
      <c r="T2106">
        <v>4</v>
      </c>
      <c r="U2106">
        <v>12787</v>
      </c>
      <c r="V2106">
        <v>4</v>
      </c>
    </row>
    <row r="2107" spans="1:22" x14ac:dyDescent="0.35">
      <c r="A2107">
        <v>2106</v>
      </c>
      <c r="B2107" t="s">
        <v>60</v>
      </c>
      <c r="C2107" t="s">
        <v>233</v>
      </c>
      <c r="D2107">
        <v>2023</v>
      </c>
      <c r="E2107" t="s">
        <v>42</v>
      </c>
      <c r="F2107">
        <v>76.599999999999994</v>
      </c>
      <c r="G2107" t="s">
        <v>351</v>
      </c>
      <c r="H2107">
        <f>electric_vehicles_dataset[[#This Row],[Battery_Capacity_kWh]]/electric_vehicles_dataset[[#This Row],[Range_km]]</f>
        <v>0.15537525354969572</v>
      </c>
      <c r="I2107">
        <v>493</v>
      </c>
      <c r="J2107" t="s">
        <v>359</v>
      </c>
      <c r="K2107">
        <v>4</v>
      </c>
      <c r="L2107" s="1">
        <v>92651.21</v>
      </c>
      <c r="M2107" s="1" t="str" cm="1">
        <f t="array" ref="M21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07" t="s">
        <v>49</v>
      </c>
      <c r="O2107" t="s">
        <v>164</v>
      </c>
      <c r="P2107" s="2" t="s">
        <v>394</v>
      </c>
      <c r="Q2107">
        <v>4</v>
      </c>
      <c r="R2107" t="s">
        <v>392</v>
      </c>
      <c r="S2107" s="1">
        <f>electric_vehicles_dataset[[#This Row],[Units_Sold_2024]]*electric_vehicles_dataset[[#This Row],[Price_USD]]</f>
        <v>1254034127.3500001</v>
      </c>
      <c r="T2107">
        <v>5</v>
      </c>
      <c r="U2107">
        <v>13535</v>
      </c>
      <c r="V2107">
        <v>4</v>
      </c>
    </row>
    <row r="2108" spans="1:22" x14ac:dyDescent="0.35">
      <c r="A2108">
        <v>2107</v>
      </c>
      <c r="B2108" t="s">
        <v>224</v>
      </c>
      <c r="C2108" t="s">
        <v>280</v>
      </c>
      <c r="D2108">
        <v>2016</v>
      </c>
      <c r="E2108" t="s">
        <v>42</v>
      </c>
      <c r="F2108">
        <v>68</v>
      </c>
      <c r="G2108" t="s">
        <v>351</v>
      </c>
      <c r="H2108">
        <f>electric_vehicles_dataset[[#This Row],[Battery_Capacity_kWh]]/electric_vehicles_dataset[[#This Row],[Range_km]]</f>
        <v>0.37777777777777777</v>
      </c>
      <c r="I2108">
        <v>180</v>
      </c>
      <c r="J2108" t="s">
        <v>356</v>
      </c>
      <c r="K2108">
        <v>9</v>
      </c>
      <c r="L2108" s="1">
        <v>128582.41</v>
      </c>
      <c r="M2108" s="1" t="str" cm="1">
        <f t="array" ref="M21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08" t="s">
        <v>179</v>
      </c>
      <c r="O2108" t="s">
        <v>95</v>
      </c>
      <c r="P2108" s="2" t="s">
        <v>394</v>
      </c>
      <c r="Q2108">
        <v>2</v>
      </c>
      <c r="R2108" t="s">
        <v>391</v>
      </c>
      <c r="S2108" s="1">
        <f>electric_vehicles_dataset[[#This Row],[Units_Sold_2024]]*electric_vehicles_dataset[[#This Row],[Price_USD]]</f>
        <v>869088509.19000006</v>
      </c>
      <c r="T2108">
        <v>3</v>
      </c>
      <c r="U2108">
        <v>6759</v>
      </c>
      <c r="V2108">
        <v>3</v>
      </c>
    </row>
    <row r="2109" spans="1:22" x14ac:dyDescent="0.35">
      <c r="A2109">
        <v>2108</v>
      </c>
      <c r="B2109" t="s">
        <v>215</v>
      </c>
      <c r="C2109" t="s">
        <v>216</v>
      </c>
      <c r="D2109">
        <v>2020</v>
      </c>
      <c r="E2109" t="s">
        <v>101</v>
      </c>
      <c r="F2109">
        <v>55.6</v>
      </c>
      <c r="G2109" t="s">
        <v>348</v>
      </c>
      <c r="H2109">
        <f>electric_vehicles_dataset[[#This Row],[Battery_Capacity_kWh]]/electric_vehicles_dataset[[#This Row],[Range_km]]</f>
        <v>9.3918918918918917E-2</v>
      </c>
      <c r="I2109">
        <v>592</v>
      </c>
      <c r="J2109" t="s">
        <v>359</v>
      </c>
      <c r="K2109">
        <v>4</v>
      </c>
      <c r="L2109" s="1">
        <v>70988.53</v>
      </c>
      <c r="M2109" s="1" t="str" cm="1">
        <f t="array" ref="M210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09" t="s">
        <v>277</v>
      </c>
      <c r="O2109" t="s">
        <v>110</v>
      </c>
      <c r="P2109" s="2" t="s">
        <v>394</v>
      </c>
      <c r="Q2109">
        <v>0</v>
      </c>
      <c r="R2109" t="s">
        <v>390</v>
      </c>
      <c r="S2109" s="1">
        <f>electric_vehicles_dataset[[#This Row],[Units_Sold_2024]]*electric_vehicles_dataset[[#This Row],[Price_USD]]</f>
        <v>718545900.65999997</v>
      </c>
      <c r="T2109">
        <v>5</v>
      </c>
      <c r="U2109">
        <v>10122</v>
      </c>
      <c r="V2109">
        <v>5</v>
      </c>
    </row>
    <row r="2110" spans="1:22" x14ac:dyDescent="0.35">
      <c r="A2110">
        <v>2109</v>
      </c>
      <c r="B2110" t="s">
        <v>24</v>
      </c>
      <c r="C2110" t="s">
        <v>25</v>
      </c>
      <c r="D2110">
        <v>2022</v>
      </c>
      <c r="E2110" t="s">
        <v>101</v>
      </c>
      <c r="F2110">
        <v>34</v>
      </c>
      <c r="G2110" t="s">
        <v>357</v>
      </c>
      <c r="H2110">
        <f>electric_vehicles_dataset[[#This Row],[Battery_Capacity_kWh]]/electric_vehicles_dataset[[#This Row],[Range_km]]</f>
        <v>5.7724957555178265E-2</v>
      </c>
      <c r="I2110">
        <v>589</v>
      </c>
      <c r="J2110" t="s">
        <v>27</v>
      </c>
      <c r="K2110">
        <v>4</v>
      </c>
      <c r="L2110" s="1">
        <v>48023.85</v>
      </c>
      <c r="M2110" s="1" t="str" cm="1">
        <f t="array" ref="M211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10" t="s">
        <v>238</v>
      </c>
      <c r="O2110" t="s">
        <v>33</v>
      </c>
      <c r="P2110" s="2" t="s">
        <v>393</v>
      </c>
      <c r="Q2110">
        <v>1</v>
      </c>
      <c r="R2110" t="s">
        <v>391</v>
      </c>
      <c r="S2110" s="1">
        <f>electric_vehicles_dataset[[#This Row],[Units_Sold_2024]]*electric_vehicles_dataset[[#This Row],[Price_USD]]</f>
        <v>187293015</v>
      </c>
      <c r="T2110">
        <v>3</v>
      </c>
      <c r="U2110">
        <v>3900</v>
      </c>
      <c r="V2110">
        <v>5</v>
      </c>
    </row>
    <row r="2111" spans="1:22" x14ac:dyDescent="0.35">
      <c r="A2111">
        <v>2110</v>
      </c>
      <c r="B2111" t="s">
        <v>122</v>
      </c>
      <c r="C2111" t="s">
        <v>123</v>
      </c>
      <c r="D2111">
        <v>2021</v>
      </c>
      <c r="E2111" t="s">
        <v>84</v>
      </c>
      <c r="F2111">
        <v>62.8</v>
      </c>
      <c r="G2111" t="s">
        <v>351</v>
      </c>
      <c r="H2111">
        <f>electric_vehicles_dataset[[#This Row],[Battery_Capacity_kWh]]/electric_vehicles_dataset[[#This Row],[Range_km]]</f>
        <v>0.10626057529610829</v>
      </c>
      <c r="I2111">
        <v>591</v>
      </c>
      <c r="J2111" t="s">
        <v>353</v>
      </c>
      <c r="K2111">
        <v>4</v>
      </c>
      <c r="L2111" s="1">
        <v>47929.64</v>
      </c>
      <c r="M2111" s="1" t="str" cm="1">
        <f t="array" ref="M21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11" t="s">
        <v>240</v>
      </c>
      <c r="O2111" t="s">
        <v>150</v>
      </c>
      <c r="P2111" s="2" t="s">
        <v>389</v>
      </c>
      <c r="Q2111">
        <v>5</v>
      </c>
      <c r="R2111" t="s">
        <v>392</v>
      </c>
      <c r="S2111" s="1">
        <f>electric_vehicles_dataset[[#This Row],[Units_Sold_2024]]*electric_vehicles_dataset[[#This Row],[Price_USD]]</f>
        <v>908793904.03999996</v>
      </c>
      <c r="T2111">
        <v>3</v>
      </c>
      <c r="U2111">
        <v>18961</v>
      </c>
      <c r="V2111">
        <v>4</v>
      </c>
    </row>
    <row r="2112" spans="1:22" x14ac:dyDescent="0.35">
      <c r="A2112">
        <v>2111</v>
      </c>
      <c r="B2112" t="s">
        <v>180</v>
      </c>
      <c r="C2112" t="s">
        <v>379</v>
      </c>
      <c r="D2112">
        <v>2018</v>
      </c>
      <c r="E2112" t="s">
        <v>17</v>
      </c>
      <c r="F2112">
        <v>34.200000000000003</v>
      </c>
      <c r="G2112" t="s">
        <v>357</v>
      </c>
      <c r="H2112">
        <f>electric_vehicles_dataset[[#This Row],[Battery_Capacity_kWh]]/electric_vehicles_dataset[[#This Row],[Range_km]]</f>
        <v>6.627906976744187E-2</v>
      </c>
      <c r="I2112">
        <v>516</v>
      </c>
      <c r="J2112" t="s">
        <v>105</v>
      </c>
      <c r="K2112">
        <v>11</v>
      </c>
      <c r="L2112" s="1">
        <v>106881.03</v>
      </c>
      <c r="M2112" s="1" t="str" cm="1">
        <f t="array" ref="M211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12" t="s">
        <v>228</v>
      </c>
      <c r="O2112" t="s">
        <v>134</v>
      </c>
      <c r="P2112" s="2" t="s">
        <v>389</v>
      </c>
      <c r="Q2112">
        <v>4</v>
      </c>
      <c r="R2112" t="s">
        <v>392</v>
      </c>
      <c r="S2112" s="1">
        <f>electric_vehicles_dataset[[#This Row],[Units_Sold_2024]]*electric_vehicles_dataset[[#This Row],[Price_USD]]</f>
        <v>928903031.73000002</v>
      </c>
      <c r="T2112">
        <v>3</v>
      </c>
      <c r="U2112">
        <v>8691</v>
      </c>
      <c r="V2112">
        <v>5</v>
      </c>
    </row>
    <row r="2113" spans="1:22" x14ac:dyDescent="0.35">
      <c r="A2113">
        <v>2112</v>
      </c>
      <c r="B2113" t="s">
        <v>74</v>
      </c>
      <c r="C2113" t="s">
        <v>75</v>
      </c>
      <c r="D2113">
        <v>2025</v>
      </c>
      <c r="E2113" t="s">
        <v>26</v>
      </c>
      <c r="F2113">
        <v>102.6</v>
      </c>
      <c r="G2113" t="s">
        <v>361</v>
      </c>
      <c r="H2113">
        <f>electric_vehicles_dataset[[#This Row],[Battery_Capacity_kWh]]/electric_vehicles_dataset[[#This Row],[Range_km]]</f>
        <v>0.18722627737226277</v>
      </c>
      <c r="I2113">
        <v>548</v>
      </c>
      <c r="J2113" t="s">
        <v>356</v>
      </c>
      <c r="K2113">
        <v>7</v>
      </c>
      <c r="L2113" s="1">
        <v>95278.98</v>
      </c>
      <c r="M2113" s="1" t="str" cm="1">
        <f t="array" ref="M211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13" t="s">
        <v>35</v>
      </c>
      <c r="O2113" t="s">
        <v>111</v>
      </c>
      <c r="P2113" s="2" t="s">
        <v>389</v>
      </c>
      <c r="Q2113">
        <v>4</v>
      </c>
      <c r="R2113" t="s">
        <v>392</v>
      </c>
      <c r="S2113" s="1">
        <f>electric_vehicles_dataset[[#This Row],[Units_Sold_2024]]*electric_vehicles_dataset[[#This Row],[Price_USD]]</f>
        <v>1657473136.0799999</v>
      </c>
      <c r="T2113">
        <v>4</v>
      </c>
      <c r="U2113">
        <v>17396</v>
      </c>
      <c r="V2113">
        <v>3</v>
      </c>
    </row>
    <row r="2114" spans="1:22" x14ac:dyDescent="0.35">
      <c r="A2114">
        <v>2113</v>
      </c>
      <c r="B2114" t="s">
        <v>128</v>
      </c>
      <c r="C2114" t="s">
        <v>284</v>
      </c>
      <c r="D2114">
        <v>2018</v>
      </c>
      <c r="E2114" t="s">
        <v>130</v>
      </c>
      <c r="F2114">
        <v>101</v>
      </c>
      <c r="G2114" t="s">
        <v>361</v>
      </c>
      <c r="H2114">
        <f>electric_vehicles_dataset[[#This Row],[Battery_Capacity_kWh]]/electric_vehicles_dataset[[#This Row],[Range_km]]</f>
        <v>0.25964010282776351</v>
      </c>
      <c r="I2114">
        <v>389</v>
      </c>
      <c r="J2114" t="s">
        <v>364</v>
      </c>
      <c r="K2114">
        <v>6</v>
      </c>
      <c r="L2114" s="1">
        <v>108377.23</v>
      </c>
      <c r="M2114" s="1" t="str" cm="1">
        <f t="array" ref="M211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14" t="s">
        <v>210</v>
      </c>
      <c r="O2114" t="s">
        <v>182</v>
      </c>
      <c r="P2114" s="2" t="s">
        <v>394</v>
      </c>
      <c r="Q2114">
        <v>2</v>
      </c>
      <c r="R2114" t="s">
        <v>391</v>
      </c>
      <c r="S2114" s="1">
        <f>electric_vehicles_dataset[[#This Row],[Units_Sold_2024]]*electric_vehicles_dataset[[#This Row],[Price_USD]]</f>
        <v>1844255322.9099998</v>
      </c>
      <c r="T2114">
        <v>4</v>
      </c>
      <c r="U2114">
        <v>17017</v>
      </c>
      <c r="V2114">
        <v>5</v>
      </c>
    </row>
    <row r="2115" spans="1:22" x14ac:dyDescent="0.35">
      <c r="A2115">
        <v>2114</v>
      </c>
      <c r="B2115" t="s">
        <v>51</v>
      </c>
      <c r="C2115" t="s">
        <v>239</v>
      </c>
      <c r="D2115">
        <v>2018</v>
      </c>
      <c r="E2115" t="s">
        <v>73</v>
      </c>
      <c r="F2115">
        <v>63.2</v>
      </c>
      <c r="G2115" t="s">
        <v>351</v>
      </c>
      <c r="H2115">
        <f>electric_vehicles_dataset[[#This Row],[Battery_Capacity_kWh]]/electric_vehicles_dataset[[#This Row],[Range_km]]</f>
        <v>0.17653631284916202</v>
      </c>
      <c r="I2115">
        <v>358</v>
      </c>
      <c r="J2115" t="s">
        <v>356</v>
      </c>
      <c r="K2115">
        <v>6</v>
      </c>
      <c r="L2115" s="1">
        <v>63868.89</v>
      </c>
      <c r="M2115" s="1" t="str" cm="1">
        <f t="array" ref="M211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15" t="s">
        <v>91</v>
      </c>
      <c r="O2115" t="s">
        <v>150</v>
      </c>
      <c r="P2115" s="2" t="s">
        <v>389</v>
      </c>
      <c r="Q2115">
        <v>5</v>
      </c>
      <c r="R2115" t="s">
        <v>392</v>
      </c>
      <c r="S2115" s="1">
        <f>electric_vehicles_dataset[[#This Row],[Units_Sold_2024]]*electric_vehicles_dataset[[#This Row],[Price_USD]]</f>
        <v>300694734.12</v>
      </c>
      <c r="T2115">
        <v>5</v>
      </c>
      <c r="U2115">
        <v>4708</v>
      </c>
      <c r="V2115">
        <v>3</v>
      </c>
    </row>
    <row r="2116" spans="1:22" x14ac:dyDescent="0.35">
      <c r="A2116">
        <v>2115</v>
      </c>
      <c r="B2116" t="s">
        <v>269</v>
      </c>
      <c r="C2116" t="s">
        <v>340</v>
      </c>
      <c r="D2116">
        <v>2025</v>
      </c>
      <c r="E2116" t="s">
        <v>101</v>
      </c>
      <c r="F2116">
        <v>60.9</v>
      </c>
      <c r="G2116" t="s">
        <v>351</v>
      </c>
      <c r="H2116">
        <f>electric_vehicles_dataset[[#This Row],[Battery_Capacity_kWh]]/electric_vehicles_dataset[[#This Row],[Range_km]]</f>
        <v>0.24262948207171314</v>
      </c>
      <c r="I2116">
        <v>251</v>
      </c>
      <c r="J2116" t="s">
        <v>85</v>
      </c>
      <c r="K2116">
        <v>2</v>
      </c>
      <c r="L2116" s="1">
        <v>68631.570000000007</v>
      </c>
      <c r="M2116" s="1" t="str" cm="1">
        <f t="array" ref="M211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16" t="s">
        <v>146</v>
      </c>
      <c r="O2116" t="s">
        <v>147</v>
      </c>
      <c r="P2116" s="2" t="s">
        <v>396</v>
      </c>
      <c r="Q2116">
        <v>5</v>
      </c>
      <c r="R2116" t="s">
        <v>392</v>
      </c>
      <c r="S2116" s="1">
        <f>electric_vehicles_dataset[[#This Row],[Units_Sold_2024]]*electric_vehicles_dataset[[#This Row],[Price_USD]]</f>
        <v>419544787.41000003</v>
      </c>
      <c r="T2116">
        <v>5</v>
      </c>
      <c r="U2116">
        <v>6113</v>
      </c>
      <c r="V2116">
        <v>5</v>
      </c>
    </row>
    <row r="2117" spans="1:22" x14ac:dyDescent="0.35">
      <c r="A2117">
        <v>2116</v>
      </c>
      <c r="B2117" t="s">
        <v>144</v>
      </c>
      <c r="C2117" t="s">
        <v>145</v>
      </c>
      <c r="D2117">
        <v>2015</v>
      </c>
      <c r="E2117" t="s">
        <v>31</v>
      </c>
      <c r="F2117">
        <v>52.7</v>
      </c>
      <c r="G2117" t="s">
        <v>348</v>
      </c>
      <c r="H2117">
        <f>electric_vehicles_dataset[[#This Row],[Battery_Capacity_kWh]]/electric_vehicles_dataset[[#This Row],[Range_km]]</f>
        <v>0.18362369337979095</v>
      </c>
      <c r="I2117">
        <v>287</v>
      </c>
      <c r="J2117" t="s">
        <v>353</v>
      </c>
      <c r="K2117">
        <v>7</v>
      </c>
      <c r="L2117" s="1">
        <v>93272.08</v>
      </c>
      <c r="M2117" s="1" t="str" cm="1">
        <f t="array" ref="M21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17" t="s">
        <v>246</v>
      </c>
      <c r="O2117" t="s">
        <v>226</v>
      </c>
      <c r="P2117" s="2" t="s">
        <v>395</v>
      </c>
      <c r="Q2117">
        <v>2</v>
      </c>
      <c r="R2117" t="s">
        <v>391</v>
      </c>
      <c r="S2117" s="1">
        <f>electric_vehicles_dataset[[#This Row],[Units_Sold_2024]]*electric_vehicles_dataset[[#This Row],[Price_USD]]</f>
        <v>1157879601.1200001</v>
      </c>
      <c r="T2117">
        <v>4</v>
      </c>
      <c r="U2117">
        <v>12414</v>
      </c>
      <c r="V2117">
        <v>5</v>
      </c>
    </row>
    <row r="2118" spans="1:22" x14ac:dyDescent="0.35">
      <c r="A2118">
        <v>2117</v>
      </c>
      <c r="B2118" t="s">
        <v>108</v>
      </c>
      <c r="C2118" t="s">
        <v>308</v>
      </c>
      <c r="D2118">
        <v>2017</v>
      </c>
      <c r="E2118" t="s">
        <v>47</v>
      </c>
      <c r="F2118">
        <v>91</v>
      </c>
      <c r="G2118" t="s">
        <v>350</v>
      </c>
      <c r="H2118">
        <f>electric_vehicles_dataset[[#This Row],[Battery_Capacity_kWh]]/electric_vehicles_dataset[[#This Row],[Range_km]]</f>
        <v>0.25779036827195467</v>
      </c>
      <c r="I2118">
        <v>353</v>
      </c>
      <c r="J2118" t="s">
        <v>54</v>
      </c>
      <c r="K2118">
        <v>4</v>
      </c>
      <c r="L2118" s="1">
        <v>113555.61</v>
      </c>
      <c r="M2118" s="1" t="str" cm="1">
        <f t="array" ref="M21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18" t="s">
        <v>246</v>
      </c>
      <c r="O2118" t="s">
        <v>236</v>
      </c>
      <c r="P2118" s="2" t="s">
        <v>394</v>
      </c>
      <c r="Q2118">
        <v>2</v>
      </c>
      <c r="R2118" t="s">
        <v>391</v>
      </c>
      <c r="S2118" s="1">
        <f>electric_vehicles_dataset[[#This Row],[Units_Sold_2024]]*electric_vehicles_dataset[[#This Row],[Price_USD]]</f>
        <v>1758635732.0699999</v>
      </c>
      <c r="T2118">
        <v>4</v>
      </c>
      <c r="U2118">
        <v>15487</v>
      </c>
      <c r="V2118">
        <v>4</v>
      </c>
    </row>
    <row r="2119" spans="1:22" x14ac:dyDescent="0.35">
      <c r="A2119">
        <v>2118</v>
      </c>
      <c r="B2119" t="s">
        <v>192</v>
      </c>
      <c r="C2119" t="s">
        <v>316</v>
      </c>
      <c r="D2119">
        <v>2025</v>
      </c>
      <c r="E2119" t="s">
        <v>26</v>
      </c>
      <c r="F2119">
        <v>126.8</v>
      </c>
      <c r="G2119" t="s">
        <v>352</v>
      </c>
      <c r="H2119">
        <f>electric_vehicles_dataset[[#This Row],[Battery_Capacity_kWh]]/electric_vehicles_dataset[[#This Row],[Range_km]]</f>
        <v>0.27210300429184547</v>
      </c>
      <c r="I2119">
        <v>466</v>
      </c>
      <c r="J2119" t="s">
        <v>34</v>
      </c>
      <c r="K2119">
        <v>7</v>
      </c>
      <c r="L2119" s="1">
        <v>102501.27</v>
      </c>
      <c r="M2119" s="1" t="str" cm="1">
        <f t="array" ref="M211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19" t="s">
        <v>175</v>
      </c>
      <c r="O2119" t="s">
        <v>33</v>
      </c>
      <c r="P2119" s="2" t="s">
        <v>393</v>
      </c>
      <c r="Q2119">
        <v>5</v>
      </c>
      <c r="R2119" t="s">
        <v>392</v>
      </c>
      <c r="S2119" s="1">
        <f>electric_vehicles_dataset[[#This Row],[Units_Sold_2024]]*electric_vehicles_dataset[[#This Row],[Price_USD]]</f>
        <v>115723933.83</v>
      </c>
      <c r="T2119">
        <v>5</v>
      </c>
      <c r="U2119">
        <v>1129</v>
      </c>
      <c r="V2119">
        <v>4</v>
      </c>
    </row>
    <row r="2120" spans="1:22" x14ac:dyDescent="0.35">
      <c r="A2120">
        <v>2119</v>
      </c>
      <c r="B2120" t="s">
        <v>176</v>
      </c>
      <c r="C2120" t="s">
        <v>326</v>
      </c>
      <c r="D2120">
        <v>2019</v>
      </c>
      <c r="E2120" t="s">
        <v>183</v>
      </c>
      <c r="F2120">
        <v>144.1</v>
      </c>
      <c r="G2120" t="s">
        <v>386</v>
      </c>
      <c r="H2120">
        <f>electric_vehicles_dataset[[#This Row],[Battery_Capacity_kWh]]/electric_vehicles_dataset[[#This Row],[Range_km]]</f>
        <v>0.67971698113207546</v>
      </c>
      <c r="I2120">
        <v>212</v>
      </c>
      <c r="J2120" t="s">
        <v>76</v>
      </c>
      <c r="K2120">
        <v>8</v>
      </c>
      <c r="L2120" s="1">
        <v>44613.74</v>
      </c>
      <c r="M2120" s="1" t="str" cm="1">
        <f t="array" ref="M212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20" t="s">
        <v>271</v>
      </c>
      <c r="O2120" t="s">
        <v>110</v>
      </c>
      <c r="P2120" s="2" t="s">
        <v>394</v>
      </c>
      <c r="Q2120">
        <v>5</v>
      </c>
      <c r="R2120" t="s">
        <v>392</v>
      </c>
      <c r="S2120" s="1">
        <f>electric_vehicles_dataset[[#This Row],[Units_Sold_2024]]*electric_vehicles_dataset[[#This Row],[Price_USD]]</f>
        <v>873447801.71999991</v>
      </c>
      <c r="T2120">
        <v>5</v>
      </c>
      <c r="U2120">
        <v>19578</v>
      </c>
      <c r="V2120">
        <v>4</v>
      </c>
    </row>
    <row r="2121" spans="1:22" x14ac:dyDescent="0.35">
      <c r="A2121">
        <v>2120</v>
      </c>
      <c r="B2121" t="s">
        <v>234</v>
      </c>
      <c r="C2121" t="s">
        <v>235</v>
      </c>
      <c r="D2121">
        <v>2022</v>
      </c>
      <c r="E2121" t="s">
        <v>133</v>
      </c>
      <c r="F2121">
        <v>55.3</v>
      </c>
      <c r="G2121" t="s">
        <v>348</v>
      </c>
      <c r="H2121">
        <f>electric_vehicles_dataset[[#This Row],[Battery_Capacity_kWh]]/electric_vehicles_dataset[[#This Row],[Range_km]]</f>
        <v>0.271078431372549</v>
      </c>
      <c r="I2121">
        <v>204</v>
      </c>
      <c r="J2121" t="s">
        <v>359</v>
      </c>
      <c r="K2121">
        <v>1</v>
      </c>
      <c r="L2121" s="1">
        <v>125483.6</v>
      </c>
      <c r="M2121" s="1" t="str" cm="1">
        <f t="array" ref="M212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21" t="s">
        <v>77</v>
      </c>
      <c r="O2121" t="s">
        <v>226</v>
      </c>
      <c r="P2121" s="2" t="s">
        <v>395</v>
      </c>
      <c r="Q2121">
        <v>5</v>
      </c>
      <c r="R2121" t="s">
        <v>392</v>
      </c>
      <c r="S2121" s="1">
        <f>electric_vehicles_dataset[[#This Row],[Units_Sold_2024]]*electric_vehicles_dataset[[#This Row],[Price_USD]]</f>
        <v>933723467.60000002</v>
      </c>
      <c r="T2121">
        <v>3</v>
      </c>
      <c r="U2121">
        <v>7441</v>
      </c>
      <c r="V2121">
        <v>3</v>
      </c>
    </row>
    <row r="2122" spans="1:22" x14ac:dyDescent="0.35">
      <c r="A2122">
        <v>2121</v>
      </c>
      <c r="B2122" t="s">
        <v>122</v>
      </c>
      <c r="C2122" t="s">
        <v>250</v>
      </c>
      <c r="D2122">
        <v>2022</v>
      </c>
      <c r="E2122" t="s">
        <v>101</v>
      </c>
      <c r="F2122">
        <v>100.9</v>
      </c>
      <c r="G2122" t="s">
        <v>361</v>
      </c>
      <c r="H2122">
        <f>electric_vehicles_dataset[[#This Row],[Battery_Capacity_kWh]]/electric_vehicles_dataset[[#This Row],[Range_km]]</f>
        <v>0.19001883239171377</v>
      </c>
      <c r="I2122">
        <v>531</v>
      </c>
      <c r="J2122" t="s">
        <v>345</v>
      </c>
      <c r="K2122">
        <v>1</v>
      </c>
      <c r="L2122" s="1">
        <v>33018.07</v>
      </c>
      <c r="M2122" s="1" t="str" cm="1">
        <f t="array" ref="M212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22" t="s">
        <v>210</v>
      </c>
      <c r="O2122" t="s">
        <v>124</v>
      </c>
      <c r="P2122" s="2" t="s">
        <v>389</v>
      </c>
      <c r="Q2122">
        <v>2</v>
      </c>
      <c r="R2122" t="s">
        <v>391</v>
      </c>
      <c r="S2122" s="1">
        <f>electric_vehicles_dataset[[#This Row],[Units_Sold_2024]]*electric_vehicles_dataset[[#This Row],[Price_USD]]</f>
        <v>536972872.40999997</v>
      </c>
      <c r="T2122">
        <v>5</v>
      </c>
      <c r="U2122">
        <v>16263</v>
      </c>
      <c r="V2122">
        <v>4</v>
      </c>
    </row>
    <row r="2123" spans="1:22" x14ac:dyDescent="0.35">
      <c r="A2123">
        <v>2122</v>
      </c>
      <c r="B2123" t="s">
        <v>269</v>
      </c>
      <c r="C2123" t="s">
        <v>270</v>
      </c>
      <c r="D2123">
        <v>2023</v>
      </c>
      <c r="E2123" t="s">
        <v>17</v>
      </c>
      <c r="F2123">
        <v>73.7</v>
      </c>
      <c r="G2123" t="s">
        <v>351</v>
      </c>
      <c r="H2123">
        <f>electric_vehicles_dataset[[#This Row],[Battery_Capacity_kWh]]/electric_vehicles_dataset[[#This Row],[Range_km]]</f>
        <v>0.54592592592592593</v>
      </c>
      <c r="I2123">
        <v>135</v>
      </c>
      <c r="J2123" t="s">
        <v>364</v>
      </c>
      <c r="K2123">
        <v>10</v>
      </c>
      <c r="L2123" s="1">
        <v>87139.51</v>
      </c>
      <c r="M2123" s="1" t="str" cm="1">
        <f t="array" ref="M212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23" t="s">
        <v>253</v>
      </c>
      <c r="O2123" t="s">
        <v>67</v>
      </c>
      <c r="P2123" s="2" t="s">
        <v>394</v>
      </c>
      <c r="Q2123">
        <v>1</v>
      </c>
      <c r="R2123" t="s">
        <v>391</v>
      </c>
      <c r="S2123" s="1">
        <f>electric_vehicles_dataset[[#This Row],[Units_Sold_2024]]*electric_vehicles_dataset[[#This Row],[Price_USD]]</f>
        <v>1425166686.05</v>
      </c>
      <c r="T2123">
        <v>3</v>
      </c>
      <c r="U2123">
        <v>16355</v>
      </c>
      <c r="V2123">
        <v>5</v>
      </c>
    </row>
    <row r="2124" spans="1:22" x14ac:dyDescent="0.35">
      <c r="A2124">
        <v>2123</v>
      </c>
      <c r="B2124" t="s">
        <v>180</v>
      </c>
      <c r="C2124" t="s">
        <v>285</v>
      </c>
      <c r="D2124">
        <v>2022</v>
      </c>
      <c r="E2124" t="s">
        <v>42</v>
      </c>
      <c r="F2124">
        <v>147.1</v>
      </c>
      <c r="G2124" t="s">
        <v>386</v>
      </c>
      <c r="H2124">
        <f>electric_vehicles_dataset[[#This Row],[Battery_Capacity_kWh]]/electric_vehicles_dataset[[#This Row],[Range_km]]</f>
        <v>0.69386792452830182</v>
      </c>
      <c r="I2124">
        <v>212</v>
      </c>
      <c r="J2124" t="s">
        <v>18</v>
      </c>
      <c r="K2124">
        <v>6</v>
      </c>
      <c r="L2124" s="1">
        <v>64615.92</v>
      </c>
      <c r="M2124" s="1" t="str" cm="1">
        <f t="array" ref="M212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24" t="s">
        <v>210</v>
      </c>
      <c r="O2124" t="s">
        <v>124</v>
      </c>
      <c r="P2124" s="2" t="s">
        <v>389</v>
      </c>
      <c r="Q2124">
        <v>1</v>
      </c>
      <c r="R2124" t="s">
        <v>391</v>
      </c>
      <c r="S2124" s="1">
        <f>electric_vehicles_dataset[[#This Row],[Units_Sold_2024]]*electric_vehicles_dataset[[#This Row],[Price_USD]]</f>
        <v>680664101.27999997</v>
      </c>
      <c r="T2124">
        <v>5</v>
      </c>
      <c r="U2124">
        <v>10534</v>
      </c>
      <c r="V2124">
        <v>4</v>
      </c>
    </row>
    <row r="2125" spans="1:22" x14ac:dyDescent="0.35">
      <c r="A2125">
        <v>2124</v>
      </c>
      <c r="B2125" t="s">
        <v>21</v>
      </c>
      <c r="C2125" t="s">
        <v>349</v>
      </c>
      <c r="D2125">
        <v>2022</v>
      </c>
      <c r="E2125" t="s">
        <v>84</v>
      </c>
      <c r="F2125">
        <v>57.7</v>
      </c>
      <c r="G2125" t="s">
        <v>348</v>
      </c>
      <c r="H2125">
        <f>electric_vehicles_dataset[[#This Row],[Battery_Capacity_kWh]]/electric_vehicles_dataset[[#This Row],[Range_km]]</f>
        <v>0.28146341463414637</v>
      </c>
      <c r="I2125">
        <v>205</v>
      </c>
      <c r="J2125" t="s">
        <v>48</v>
      </c>
      <c r="K2125">
        <v>12</v>
      </c>
      <c r="L2125" s="1">
        <v>117820.3</v>
      </c>
      <c r="M2125" s="1" t="str" cm="1">
        <f t="array" ref="M212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25" t="s">
        <v>277</v>
      </c>
      <c r="O2125" t="s">
        <v>121</v>
      </c>
      <c r="P2125" s="2" t="s">
        <v>398</v>
      </c>
      <c r="Q2125">
        <v>3</v>
      </c>
      <c r="R2125" t="s">
        <v>397</v>
      </c>
      <c r="S2125" s="1">
        <f>electric_vehicles_dataset[[#This Row],[Units_Sold_2024]]*electric_vehicles_dataset[[#This Row],[Price_USD]]</f>
        <v>1916347179.5</v>
      </c>
      <c r="T2125">
        <v>4</v>
      </c>
      <c r="U2125">
        <v>16265</v>
      </c>
      <c r="V2125">
        <v>4</v>
      </c>
    </row>
    <row r="2126" spans="1:22" x14ac:dyDescent="0.35">
      <c r="A2126">
        <v>2125</v>
      </c>
      <c r="B2126" t="s">
        <v>79</v>
      </c>
      <c r="C2126" t="s">
        <v>80</v>
      </c>
      <c r="D2126">
        <v>2015</v>
      </c>
      <c r="E2126" t="s">
        <v>31</v>
      </c>
      <c r="F2126">
        <v>72.3</v>
      </c>
      <c r="G2126" t="s">
        <v>351</v>
      </c>
      <c r="H2126">
        <f>electric_vehicles_dataset[[#This Row],[Battery_Capacity_kWh]]/electric_vehicles_dataset[[#This Row],[Range_km]]</f>
        <v>0.23322580645161289</v>
      </c>
      <c r="I2126">
        <v>310</v>
      </c>
      <c r="J2126" t="s">
        <v>149</v>
      </c>
      <c r="K2126">
        <v>5</v>
      </c>
      <c r="L2126" s="1">
        <v>30447.82</v>
      </c>
      <c r="M2126" s="1" t="str" cm="1">
        <f t="array" ref="M212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26" t="s">
        <v>172</v>
      </c>
      <c r="O2126" t="s">
        <v>110</v>
      </c>
      <c r="P2126" s="2" t="s">
        <v>394</v>
      </c>
      <c r="Q2126">
        <v>1</v>
      </c>
      <c r="R2126" t="s">
        <v>391</v>
      </c>
      <c r="S2126" s="1">
        <f>electric_vehicles_dataset[[#This Row],[Units_Sold_2024]]*electric_vehicles_dataset[[#This Row],[Price_USD]]</f>
        <v>119842619.52</v>
      </c>
      <c r="T2126">
        <v>3</v>
      </c>
      <c r="U2126">
        <v>3936</v>
      </c>
      <c r="V2126">
        <v>3</v>
      </c>
    </row>
    <row r="2127" spans="1:22" x14ac:dyDescent="0.35">
      <c r="A2127">
        <v>2126</v>
      </c>
      <c r="B2127" t="s">
        <v>170</v>
      </c>
      <c r="C2127" t="s">
        <v>367</v>
      </c>
      <c r="D2127">
        <v>2017</v>
      </c>
      <c r="E2127" t="s">
        <v>58</v>
      </c>
      <c r="F2127">
        <v>95.5</v>
      </c>
      <c r="G2127" t="s">
        <v>350</v>
      </c>
      <c r="H2127">
        <f>electric_vehicles_dataset[[#This Row],[Battery_Capacity_kWh]]/electric_vehicles_dataset[[#This Row],[Range_km]]</f>
        <v>0.16608695652173913</v>
      </c>
      <c r="I2127">
        <v>575</v>
      </c>
      <c r="J2127" t="s">
        <v>359</v>
      </c>
      <c r="K2127">
        <v>10</v>
      </c>
      <c r="L2127" s="1">
        <v>90413.440000000002</v>
      </c>
      <c r="M2127" s="1" t="str" cm="1">
        <f t="array" ref="M212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27" t="s">
        <v>19</v>
      </c>
      <c r="O2127" t="s">
        <v>23</v>
      </c>
      <c r="P2127" s="2" t="s">
        <v>389</v>
      </c>
      <c r="Q2127">
        <v>2</v>
      </c>
      <c r="R2127" t="s">
        <v>391</v>
      </c>
      <c r="S2127" s="1">
        <f>electric_vehicles_dataset[[#This Row],[Units_Sold_2024]]*electric_vehicles_dataset[[#This Row],[Price_USD]]</f>
        <v>638409299.84000003</v>
      </c>
      <c r="T2127">
        <v>4</v>
      </c>
      <c r="U2127">
        <v>7061</v>
      </c>
      <c r="V2127">
        <v>5</v>
      </c>
    </row>
    <row r="2128" spans="1:22" x14ac:dyDescent="0.35">
      <c r="A2128">
        <v>2127</v>
      </c>
      <c r="B2128" t="s">
        <v>192</v>
      </c>
      <c r="C2128" t="s">
        <v>316</v>
      </c>
      <c r="D2128">
        <v>2015</v>
      </c>
      <c r="E2128" t="s">
        <v>53</v>
      </c>
      <c r="F2128">
        <v>58.9</v>
      </c>
      <c r="G2128" t="s">
        <v>348</v>
      </c>
      <c r="H2128">
        <f>electric_vehicles_dataset[[#This Row],[Battery_Capacity_kWh]]/electric_vehicles_dataset[[#This Row],[Range_km]]</f>
        <v>0.1182730923694779</v>
      </c>
      <c r="I2128">
        <v>498</v>
      </c>
      <c r="J2128" t="s">
        <v>149</v>
      </c>
      <c r="K2128">
        <v>8</v>
      </c>
      <c r="L2128" s="1">
        <v>149796</v>
      </c>
      <c r="M2128" s="1" t="str" cm="1">
        <f t="array" ref="M21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28" t="s">
        <v>196</v>
      </c>
      <c r="O2128" t="s">
        <v>182</v>
      </c>
      <c r="P2128" s="2" t="s">
        <v>394</v>
      </c>
      <c r="Q2128">
        <v>0</v>
      </c>
      <c r="R2128" t="s">
        <v>390</v>
      </c>
      <c r="S2128" s="1">
        <f>electric_vehicles_dataset[[#This Row],[Units_Sold_2024]]*electric_vehicles_dataset[[#This Row],[Price_USD]]</f>
        <v>159233148</v>
      </c>
      <c r="T2128">
        <v>4</v>
      </c>
      <c r="U2128">
        <v>1063</v>
      </c>
      <c r="V2128">
        <v>4</v>
      </c>
    </row>
    <row r="2129" spans="1:22" x14ac:dyDescent="0.35">
      <c r="A2129">
        <v>2128</v>
      </c>
      <c r="B2129" t="s">
        <v>82</v>
      </c>
      <c r="C2129" t="s">
        <v>281</v>
      </c>
      <c r="D2129">
        <v>2018</v>
      </c>
      <c r="E2129" t="s">
        <v>58</v>
      </c>
      <c r="F2129">
        <v>43.6</v>
      </c>
      <c r="G2129" t="s">
        <v>348</v>
      </c>
      <c r="H2129">
        <f>electric_vehicles_dataset[[#This Row],[Battery_Capacity_kWh]]/electric_vehicles_dataset[[#This Row],[Range_km]]</f>
        <v>0.19039301310043669</v>
      </c>
      <c r="I2129">
        <v>229</v>
      </c>
      <c r="J2129" t="s">
        <v>105</v>
      </c>
      <c r="K2129">
        <v>3</v>
      </c>
      <c r="L2129" s="1">
        <v>70806.210000000006</v>
      </c>
      <c r="M2129" s="1" t="str" cm="1">
        <f t="array" ref="M212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29" t="s">
        <v>271</v>
      </c>
      <c r="O2129" t="s">
        <v>134</v>
      </c>
      <c r="P2129" s="2" t="s">
        <v>389</v>
      </c>
      <c r="Q2129">
        <v>4</v>
      </c>
      <c r="R2129" t="s">
        <v>392</v>
      </c>
      <c r="S2129" s="1">
        <f>electric_vehicles_dataset[[#This Row],[Units_Sold_2024]]*electric_vehicles_dataset[[#This Row],[Price_USD]]</f>
        <v>717550132.1400001</v>
      </c>
      <c r="T2129">
        <v>5</v>
      </c>
      <c r="U2129">
        <v>10134</v>
      </c>
      <c r="V2129">
        <v>4</v>
      </c>
    </row>
    <row r="2130" spans="1:22" x14ac:dyDescent="0.35">
      <c r="A2130">
        <v>2129</v>
      </c>
      <c r="B2130" t="s">
        <v>243</v>
      </c>
      <c r="C2130" t="s">
        <v>244</v>
      </c>
      <c r="D2130">
        <v>2017</v>
      </c>
      <c r="E2130" t="s">
        <v>133</v>
      </c>
      <c r="F2130">
        <v>43.6</v>
      </c>
      <c r="G2130" t="s">
        <v>348</v>
      </c>
      <c r="H2130">
        <f>electric_vehicles_dataset[[#This Row],[Battery_Capacity_kWh]]/electric_vehicles_dataset[[#This Row],[Range_km]]</f>
        <v>0.38245614035087722</v>
      </c>
      <c r="I2130">
        <v>114</v>
      </c>
      <c r="J2130" t="s">
        <v>34</v>
      </c>
      <c r="K2130">
        <v>9</v>
      </c>
      <c r="L2130" s="1">
        <v>86121.91</v>
      </c>
      <c r="M2130" s="1" t="str" cm="1">
        <f t="array" ref="M213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30" t="s">
        <v>106</v>
      </c>
      <c r="O2130" t="s">
        <v>20</v>
      </c>
      <c r="P2130" s="2" t="s">
        <v>389</v>
      </c>
      <c r="Q2130">
        <v>5</v>
      </c>
      <c r="R2130" t="s">
        <v>392</v>
      </c>
      <c r="S2130" s="1">
        <f>electric_vehicles_dataset[[#This Row],[Units_Sold_2024]]*electric_vehicles_dataset[[#This Row],[Price_USD]]</f>
        <v>636354792.99000001</v>
      </c>
      <c r="T2130">
        <v>5</v>
      </c>
      <c r="U2130">
        <v>7389</v>
      </c>
      <c r="V2130">
        <v>4</v>
      </c>
    </row>
    <row r="2131" spans="1:22" x14ac:dyDescent="0.35">
      <c r="A2131">
        <v>2130</v>
      </c>
      <c r="B2131" t="s">
        <v>180</v>
      </c>
      <c r="C2131" t="s">
        <v>379</v>
      </c>
      <c r="D2131">
        <v>2023</v>
      </c>
      <c r="E2131" t="s">
        <v>58</v>
      </c>
      <c r="F2131">
        <v>30.8</v>
      </c>
      <c r="G2131" t="s">
        <v>357</v>
      </c>
      <c r="H2131">
        <f>electric_vehicles_dataset[[#This Row],[Battery_Capacity_kWh]]/electric_vehicles_dataset[[#This Row],[Range_km]]</f>
        <v>9.9354838709677415E-2</v>
      </c>
      <c r="I2131">
        <v>310</v>
      </c>
      <c r="J2131" t="s">
        <v>38</v>
      </c>
      <c r="K2131">
        <v>7</v>
      </c>
      <c r="L2131" s="1">
        <v>141085.96</v>
      </c>
      <c r="M2131" s="1" t="str" cm="1">
        <f t="array" ref="M213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31" t="s">
        <v>277</v>
      </c>
      <c r="O2131" t="s">
        <v>354</v>
      </c>
      <c r="P2131" s="2" t="s">
        <v>394</v>
      </c>
      <c r="Q2131">
        <v>5</v>
      </c>
      <c r="R2131" t="s">
        <v>392</v>
      </c>
      <c r="S2131" s="1">
        <f>electric_vehicles_dataset[[#This Row],[Units_Sold_2024]]*electric_vehicles_dataset[[#This Row],[Price_USD]]</f>
        <v>338606304</v>
      </c>
      <c r="T2131">
        <v>3</v>
      </c>
      <c r="U2131">
        <v>2400</v>
      </c>
      <c r="V2131">
        <v>5</v>
      </c>
    </row>
    <row r="2132" spans="1:22" x14ac:dyDescent="0.35">
      <c r="A2132">
        <v>2131</v>
      </c>
      <c r="B2132" t="s">
        <v>87</v>
      </c>
      <c r="C2132" t="s">
        <v>381</v>
      </c>
      <c r="D2132">
        <v>2024</v>
      </c>
      <c r="E2132" t="s">
        <v>183</v>
      </c>
      <c r="F2132">
        <v>45.7</v>
      </c>
      <c r="G2132" t="s">
        <v>348</v>
      </c>
      <c r="H2132">
        <f>electric_vehicles_dataset[[#This Row],[Battery_Capacity_kWh]]/electric_vehicles_dataset[[#This Row],[Range_km]]</f>
        <v>0.29869281045751633</v>
      </c>
      <c r="I2132">
        <v>153</v>
      </c>
      <c r="J2132" t="s">
        <v>359</v>
      </c>
      <c r="K2132">
        <v>9</v>
      </c>
      <c r="L2132" s="1">
        <v>79213.58</v>
      </c>
      <c r="M2132" s="1" t="str" cm="1">
        <f t="array" ref="M21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32" t="s">
        <v>35</v>
      </c>
      <c r="O2132" t="s">
        <v>164</v>
      </c>
      <c r="P2132" s="2" t="s">
        <v>394</v>
      </c>
      <c r="Q2132">
        <v>3</v>
      </c>
      <c r="R2132" t="s">
        <v>397</v>
      </c>
      <c r="S2132" s="1">
        <f>electric_vehicles_dataset[[#This Row],[Units_Sold_2024]]*electric_vehicles_dataset[[#This Row],[Price_USD]]</f>
        <v>1348848840.24</v>
      </c>
      <c r="T2132">
        <v>4</v>
      </c>
      <c r="U2132">
        <v>17028</v>
      </c>
      <c r="V2132">
        <v>4</v>
      </c>
    </row>
    <row r="2133" spans="1:22" x14ac:dyDescent="0.35">
      <c r="A2133">
        <v>2132</v>
      </c>
      <c r="B2133" t="s">
        <v>173</v>
      </c>
      <c r="C2133" t="s">
        <v>174</v>
      </c>
      <c r="D2133">
        <v>2020</v>
      </c>
      <c r="E2133" t="s">
        <v>90</v>
      </c>
      <c r="F2133">
        <v>47.2</v>
      </c>
      <c r="G2133" t="s">
        <v>348</v>
      </c>
      <c r="H2133">
        <f>electric_vehicles_dataset[[#This Row],[Battery_Capacity_kWh]]/electric_vehicles_dataset[[#This Row],[Range_km]]</f>
        <v>9.3836978131212723E-2</v>
      </c>
      <c r="I2133">
        <v>503</v>
      </c>
      <c r="J2133" t="s">
        <v>358</v>
      </c>
      <c r="K2133">
        <v>1</v>
      </c>
      <c r="L2133" s="1">
        <v>130013.9</v>
      </c>
      <c r="M2133" s="1" t="str" cm="1">
        <f t="array" ref="M21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33" t="s">
        <v>127</v>
      </c>
      <c r="O2133" t="s">
        <v>20</v>
      </c>
      <c r="P2133" s="2" t="s">
        <v>389</v>
      </c>
      <c r="Q2133">
        <v>4</v>
      </c>
      <c r="R2133" t="s">
        <v>392</v>
      </c>
      <c r="S2133" s="1">
        <f>electric_vehicles_dataset[[#This Row],[Units_Sold_2024]]*electric_vehicles_dataset[[#This Row],[Price_USD]]</f>
        <v>99980689.099999994</v>
      </c>
      <c r="T2133">
        <v>5</v>
      </c>
      <c r="U2133">
        <v>769</v>
      </c>
      <c r="V2133">
        <v>5</v>
      </c>
    </row>
    <row r="2134" spans="1:22" x14ac:dyDescent="0.35">
      <c r="A2134">
        <v>2133</v>
      </c>
      <c r="B2134" t="s">
        <v>224</v>
      </c>
      <c r="C2134" t="s">
        <v>225</v>
      </c>
      <c r="D2134">
        <v>2017</v>
      </c>
      <c r="E2134" t="s">
        <v>42</v>
      </c>
      <c r="F2134">
        <v>122.3</v>
      </c>
      <c r="G2134" t="s">
        <v>352</v>
      </c>
      <c r="H2134">
        <f>electric_vehicles_dataset[[#This Row],[Battery_Capacity_kWh]]/electric_vehicles_dataset[[#This Row],[Range_km]]</f>
        <v>0.22774674115456237</v>
      </c>
      <c r="I2134">
        <v>537</v>
      </c>
      <c r="J2134" t="s">
        <v>18</v>
      </c>
      <c r="K2134">
        <v>3</v>
      </c>
      <c r="L2134" s="1">
        <v>102936.67</v>
      </c>
      <c r="M2134" s="1" t="str" cm="1">
        <f t="array" ref="M21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34" t="s">
        <v>22</v>
      </c>
      <c r="O2134" t="s">
        <v>230</v>
      </c>
      <c r="P2134" s="2" t="s">
        <v>389</v>
      </c>
      <c r="Q2134">
        <v>0</v>
      </c>
      <c r="R2134" t="s">
        <v>390</v>
      </c>
      <c r="S2134" s="1">
        <f>electric_vehicles_dataset[[#This Row],[Units_Sold_2024]]*electric_vehicles_dataset[[#This Row],[Price_USD]]</f>
        <v>316942006.93000001</v>
      </c>
      <c r="T2134">
        <v>4</v>
      </c>
      <c r="U2134">
        <v>3079</v>
      </c>
      <c r="V2134">
        <v>3</v>
      </c>
    </row>
    <row r="2135" spans="1:22" x14ac:dyDescent="0.35">
      <c r="A2135">
        <v>2134</v>
      </c>
      <c r="B2135" t="s">
        <v>200</v>
      </c>
      <c r="C2135" t="s">
        <v>338</v>
      </c>
      <c r="D2135">
        <v>2024</v>
      </c>
      <c r="E2135" t="s">
        <v>58</v>
      </c>
      <c r="F2135">
        <v>63.5</v>
      </c>
      <c r="G2135" t="s">
        <v>351</v>
      </c>
      <c r="H2135">
        <f>electric_vehicles_dataset[[#This Row],[Battery_Capacity_kWh]]/electric_vehicles_dataset[[#This Row],[Range_km]]</f>
        <v>0.17208672086720866</v>
      </c>
      <c r="I2135">
        <v>369</v>
      </c>
      <c r="J2135" t="s">
        <v>76</v>
      </c>
      <c r="K2135">
        <v>4</v>
      </c>
      <c r="L2135" s="1">
        <v>52011.44</v>
      </c>
      <c r="M2135" s="1" t="str" cm="1">
        <f t="array" ref="M21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35" t="s">
        <v>55</v>
      </c>
      <c r="O2135" t="s">
        <v>169</v>
      </c>
      <c r="P2135" s="2" t="s">
        <v>394</v>
      </c>
      <c r="Q2135">
        <v>3</v>
      </c>
      <c r="R2135" t="s">
        <v>397</v>
      </c>
      <c r="S2135" s="1">
        <f>electric_vehicles_dataset[[#This Row],[Units_Sold_2024]]*electric_vehicles_dataset[[#This Row],[Price_USD]]</f>
        <v>997059304.80000007</v>
      </c>
      <c r="T2135">
        <v>4</v>
      </c>
      <c r="U2135">
        <v>19170</v>
      </c>
      <c r="V2135">
        <v>5</v>
      </c>
    </row>
    <row r="2136" spans="1:22" x14ac:dyDescent="0.35">
      <c r="A2136">
        <v>2135</v>
      </c>
      <c r="B2136" t="s">
        <v>79</v>
      </c>
      <c r="C2136" t="s">
        <v>267</v>
      </c>
      <c r="D2136">
        <v>2015</v>
      </c>
      <c r="E2136" t="s">
        <v>26</v>
      </c>
      <c r="F2136">
        <v>114.4</v>
      </c>
      <c r="G2136" t="s">
        <v>361</v>
      </c>
      <c r="H2136">
        <f>electric_vehicles_dataset[[#This Row],[Battery_Capacity_kWh]]/electric_vehicles_dataset[[#This Row],[Range_km]]</f>
        <v>0.19522184300341297</v>
      </c>
      <c r="I2136">
        <v>586</v>
      </c>
      <c r="J2136" t="s">
        <v>34</v>
      </c>
      <c r="K2136">
        <v>2</v>
      </c>
      <c r="L2136" s="1">
        <v>142052.29999999999</v>
      </c>
      <c r="M2136" s="1" t="str" cm="1">
        <f t="array" ref="M213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36" t="s">
        <v>168</v>
      </c>
      <c r="O2136" t="s">
        <v>161</v>
      </c>
      <c r="P2136" s="2" t="s">
        <v>389</v>
      </c>
      <c r="Q2136">
        <v>5</v>
      </c>
      <c r="R2136" t="s">
        <v>392</v>
      </c>
      <c r="S2136" s="1">
        <f>electric_vehicles_dataset[[#This Row],[Units_Sold_2024]]*electric_vehicles_dataset[[#This Row],[Price_USD]]</f>
        <v>2805817029.5999999</v>
      </c>
      <c r="T2136">
        <v>5</v>
      </c>
      <c r="U2136">
        <v>19752</v>
      </c>
      <c r="V2136">
        <v>5</v>
      </c>
    </row>
    <row r="2137" spans="1:22" x14ac:dyDescent="0.35">
      <c r="A2137">
        <v>2136</v>
      </c>
      <c r="B2137" t="s">
        <v>200</v>
      </c>
      <c r="C2137" t="s">
        <v>327</v>
      </c>
      <c r="D2137">
        <v>2022</v>
      </c>
      <c r="E2137" t="s">
        <v>31</v>
      </c>
      <c r="F2137">
        <v>88.9</v>
      </c>
      <c r="G2137" t="s">
        <v>350</v>
      </c>
      <c r="H2137">
        <f>electric_vehicles_dataset[[#This Row],[Battery_Capacity_kWh]]/electric_vehicles_dataset[[#This Row],[Range_km]]</f>
        <v>0.15541958041958043</v>
      </c>
      <c r="I2137">
        <v>572</v>
      </c>
      <c r="J2137" t="s">
        <v>76</v>
      </c>
      <c r="K2137">
        <v>5</v>
      </c>
      <c r="L2137" s="1">
        <v>103571.63</v>
      </c>
      <c r="M2137" s="1" t="str" cm="1">
        <f t="array" ref="M213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37" t="s">
        <v>59</v>
      </c>
      <c r="O2137" t="s">
        <v>110</v>
      </c>
      <c r="P2137" s="2" t="s">
        <v>394</v>
      </c>
      <c r="Q2137">
        <v>1</v>
      </c>
      <c r="R2137" t="s">
        <v>391</v>
      </c>
      <c r="S2137" s="1">
        <f>electric_vehicles_dataset[[#This Row],[Units_Sold_2024]]*electric_vehicles_dataset[[#This Row],[Price_USD]]</f>
        <v>1982050283.3100002</v>
      </c>
      <c r="T2137">
        <v>3</v>
      </c>
      <c r="U2137">
        <v>19137</v>
      </c>
      <c r="V2137">
        <v>5</v>
      </c>
    </row>
    <row r="2138" spans="1:22" x14ac:dyDescent="0.35">
      <c r="A2138">
        <v>2137</v>
      </c>
      <c r="B2138" t="s">
        <v>36</v>
      </c>
      <c r="C2138" t="s">
        <v>245</v>
      </c>
      <c r="D2138">
        <v>2015</v>
      </c>
      <c r="E2138" t="s">
        <v>183</v>
      </c>
      <c r="F2138">
        <v>43.6</v>
      </c>
      <c r="G2138" t="s">
        <v>348</v>
      </c>
      <c r="H2138">
        <f>electric_vehicles_dataset[[#This Row],[Battery_Capacity_kWh]]/electric_vehicles_dataset[[#This Row],[Range_km]]</f>
        <v>0.21909547738693469</v>
      </c>
      <c r="I2138">
        <v>199</v>
      </c>
      <c r="J2138" t="s">
        <v>345</v>
      </c>
      <c r="K2138">
        <v>3</v>
      </c>
      <c r="L2138" s="1">
        <v>66666.320000000007</v>
      </c>
      <c r="M2138" s="1" t="str" cm="1">
        <f t="array" ref="M213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38" t="s">
        <v>106</v>
      </c>
      <c r="O2138" t="s">
        <v>86</v>
      </c>
      <c r="P2138" s="2" t="s">
        <v>389</v>
      </c>
      <c r="Q2138">
        <v>1</v>
      </c>
      <c r="R2138" t="s">
        <v>391</v>
      </c>
      <c r="S2138" s="1">
        <f>electric_vehicles_dataset[[#This Row],[Units_Sold_2024]]*electric_vehicles_dataset[[#This Row],[Price_USD]]</f>
        <v>958595015.28000009</v>
      </c>
      <c r="T2138">
        <v>5</v>
      </c>
      <c r="U2138">
        <v>14379</v>
      </c>
      <c r="V2138">
        <v>3</v>
      </c>
    </row>
    <row r="2139" spans="1:22" x14ac:dyDescent="0.35">
      <c r="A2139">
        <v>2138</v>
      </c>
      <c r="B2139" t="s">
        <v>122</v>
      </c>
      <c r="C2139" t="s">
        <v>123</v>
      </c>
      <c r="D2139">
        <v>2024</v>
      </c>
      <c r="E2139" t="s">
        <v>130</v>
      </c>
      <c r="F2139">
        <v>33.5</v>
      </c>
      <c r="G2139" t="s">
        <v>357</v>
      </c>
      <c r="H2139">
        <f>electric_vehicles_dataset[[#This Row],[Battery_Capacity_kWh]]/electric_vehicles_dataset[[#This Row],[Range_km]]</f>
        <v>6.2969924812030079E-2</v>
      </c>
      <c r="I2139">
        <v>532</v>
      </c>
      <c r="J2139" t="s">
        <v>149</v>
      </c>
      <c r="K2139">
        <v>5</v>
      </c>
      <c r="L2139" s="1">
        <v>111842.89</v>
      </c>
      <c r="M2139" s="1" t="str" cm="1">
        <f t="array" ref="M213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39" t="s">
        <v>217</v>
      </c>
      <c r="O2139" t="s">
        <v>63</v>
      </c>
      <c r="P2139" s="2" t="s">
        <v>389</v>
      </c>
      <c r="Q2139">
        <v>3</v>
      </c>
      <c r="R2139" t="s">
        <v>397</v>
      </c>
      <c r="S2139" s="1">
        <f>electric_vehicles_dataset[[#This Row],[Units_Sold_2024]]*electric_vehicles_dataset[[#This Row],[Price_USD]]</f>
        <v>1230048104.22</v>
      </c>
      <c r="T2139">
        <v>5</v>
      </c>
      <c r="U2139">
        <v>10998</v>
      </c>
      <c r="V2139">
        <v>4</v>
      </c>
    </row>
    <row r="2140" spans="1:22" x14ac:dyDescent="0.35">
      <c r="A2140">
        <v>2139</v>
      </c>
      <c r="B2140" t="s">
        <v>94</v>
      </c>
      <c r="C2140" t="s">
        <v>360</v>
      </c>
      <c r="D2140">
        <v>2016</v>
      </c>
      <c r="E2140" t="s">
        <v>26</v>
      </c>
      <c r="F2140">
        <v>145.5</v>
      </c>
      <c r="G2140" t="s">
        <v>386</v>
      </c>
      <c r="H2140">
        <f>electric_vehicles_dataset[[#This Row],[Battery_Capacity_kWh]]/electric_vehicles_dataset[[#This Row],[Range_km]]</f>
        <v>0.32623318385650224</v>
      </c>
      <c r="I2140">
        <v>446</v>
      </c>
      <c r="J2140" t="s">
        <v>356</v>
      </c>
      <c r="K2140">
        <v>3</v>
      </c>
      <c r="L2140" s="1">
        <v>127004.94</v>
      </c>
      <c r="M2140" s="1" t="str" cm="1">
        <f t="array" ref="M21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40" t="s">
        <v>254</v>
      </c>
      <c r="O2140" t="s">
        <v>169</v>
      </c>
      <c r="P2140" s="2" t="s">
        <v>394</v>
      </c>
      <c r="Q2140">
        <v>3</v>
      </c>
      <c r="R2140" t="s">
        <v>397</v>
      </c>
      <c r="S2140" s="1">
        <f>electric_vehicles_dataset[[#This Row],[Units_Sold_2024]]*electric_vehicles_dataset[[#This Row],[Price_USD]]</f>
        <v>1690816766.22</v>
      </c>
      <c r="T2140">
        <v>4</v>
      </c>
      <c r="U2140">
        <v>13313</v>
      </c>
      <c r="V2140">
        <v>5</v>
      </c>
    </row>
    <row r="2141" spans="1:22" x14ac:dyDescent="0.35">
      <c r="A2141">
        <v>2140</v>
      </c>
      <c r="B2141" t="s">
        <v>21</v>
      </c>
      <c r="C2141" t="s">
        <v>363</v>
      </c>
      <c r="D2141">
        <v>2016</v>
      </c>
      <c r="E2141" t="s">
        <v>84</v>
      </c>
      <c r="F2141">
        <v>140.6</v>
      </c>
      <c r="G2141" t="s">
        <v>386</v>
      </c>
      <c r="H2141">
        <f>electric_vehicles_dataset[[#This Row],[Battery_Capacity_kWh]]/electric_vehicles_dataset[[#This Row],[Range_km]]</f>
        <v>0.38206521739130433</v>
      </c>
      <c r="I2141">
        <v>368</v>
      </c>
      <c r="J2141" t="s">
        <v>38</v>
      </c>
      <c r="K2141">
        <v>8</v>
      </c>
      <c r="L2141" s="1">
        <v>86913.93</v>
      </c>
      <c r="M2141" s="1" t="str" cm="1">
        <f t="array" ref="M21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41" t="s">
        <v>91</v>
      </c>
      <c r="O2141" t="s">
        <v>206</v>
      </c>
      <c r="P2141" s="2" t="s">
        <v>394</v>
      </c>
      <c r="Q2141">
        <v>3</v>
      </c>
      <c r="R2141" t="s">
        <v>397</v>
      </c>
      <c r="S2141" s="1">
        <f>electric_vehicles_dataset[[#This Row],[Units_Sold_2024]]*electric_vehicles_dataset[[#This Row],[Price_USD]]</f>
        <v>835416695.15999997</v>
      </c>
      <c r="T2141">
        <v>5</v>
      </c>
      <c r="U2141">
        <v>9612</v>
      </c>
      <c r="V2141">
        <v>3</v>
      </c>
    </row>
    <row r="2142" spans="1:22" x14ac:dyDescent="0.35">
      <c r="A2142">
        <v>2141</v>
      </c>
      <c r="B2142" t="s">
        <v>136</v>
      </c>
      <c r="C2142" t="s">
        <v>137</v>
      </c>
      <c r="D2142">
        <v>2021</v>
      </c>
      <c r="E2142" t="s">
        <v>133</v>
      </c>
      <c r="F2142">
        <v>55.3</v>
      </c>
      <c r="G2142" t="s">
        <v>348</v>
      </c>
      <c r="H2142">
        <f>electric_vehicles_dataset[[#This Row],[Battery_Capacity_kWh]]/electric_vehicles_dataset[[#This Row],[Range_km]]</f>
        <v>0.15621468926553672</v>
      </c>
      <c r="I2142">
        <v>354</v>
      </c>
      <c r="J2142" t="s">
        <v>27</v>
      </c>
      <c r="K2142">
        <v>2</v>
      </c>
      <c r="L2142" s="1">
        <v>54091.75</v>
      </c>
      <c r="M2142" s="1" t="str" cm="1">
        <f t="array" ref="M214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42" t="s">
        <v>214</v>
      </c>
      <c r="O2142" t="s">
        <v>164</v>
      </c>
      <c r="P2142" s="2" t="s">
        <v>394</v>
      </c>
      <c r="Q2142">
        <v>5</v>
      </c>
      <c r="R2142" t="s">
        <v>392</v>
      </c>
      <c r="S2142" s="1">
        <f>electric_vehicles_dataset[[#This Row],[Units_Sold_2024]]*electric_vehicles_dataset[[#This Row],[Price_USD]]</f>
        <v>1053761381.75</v>
      </c>
      <c r="T2142">
        <v>4</v>
      </c>
      <c r="U2142">
        <v>19481</v>
      </c>
      <c r="V2142">
        <v>4</v>
      </c>
    </row>
    <row r="2143" spans="1:22" x14ac:dyDescent="0.35">
      <c r="A2143">
        <v>2142</v>
      </c>
      <c r="B2143" t="s">
        <v>74</v>
      </c>
      <c r="C2143" t="s">
        <v>75</v>
      </c>
      <c r="D2143">
        <v>2020</v>
      </c>
      <c r="E2143" t="s">
        <v>47</v>
      </c>
      <c r="F2143">
        <v>77.8</v>
      </c>
      <c r="G2143" t="s">
        <v>351</v>
      </c>
      <c r="H2143">
        <f>electric_vehicles_dataset[[#This Row],[Battery_Capacity_kWh]]/electric_vehicles_dataset[[#This Row],[Range_km]]</f>
        <v>0.16242171189979124</v>
      </c>
      <c r="I2143">
        <v>479</v>
      </c>
      <c r="J2143" t="s">
        <v>34</v>
      </c>
      <c r="K2143">
        <v>5</v>
      </c>
      <c r="L2143" s="1">
        <v>61113.95</v>
      </c>
      <c r="M2143" s="1" t="str" cm="1">
        <f t="array" ref="M214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43" t="s">
        <v>98</v>
      </c>
      <c r="O2143" t="s">
        <v>161</v>
      </c>
      <c r="P2143" s="2" t="s">
        <v>389</v>
      </c>
      <c r="Q2143">
        <v>5</v>
      </c>
      <c r="R2143" t="s">
        <v>392</v>
      </c>
      <c r="S2143" s="1">
        <f>electric_vehicles_dataset[[#This Row],[Units_Sold_2024]]*electric_vehicles_dataset[[#This Row],[Price_USD]]</f>
        <v>477788861.09999996</v>
      </c>
      <c r="T2143">
        <v>5</v>
      </c>
      <c r="U2143">
        <v>7818</v>
      </c>
      <c r="V2143">
        <v>4</v>
      </c>
    </row>
    <row r="2144" spans="1:22" x14ac:dyDescent="0.35">
      <c r="A2144">
        <v>2143</v>
      </c>
      <c r="B2144" t="s">
        <v>96</v>
      </c>
      <c r="C2144" t="s">
        <v>116</v>
      </c>
      <c r="D2144">
        <v>2020</v>
      </c>
      <c r="E2144" t="s">
        <v>73</v>
      </c>
      <c r="F2144">
        <v>24.7</v>
      </c>
      <c r="G2144" t="s">
        <v>357</v>
      </c>
      <c r="H2144">
        <f>electric_vehicles_dataset[[#This Row],[Battery_Capacity_kWh]]/electric_vehicles_dataset[[#This Row],[Range_km]]</f>
        <v>5.7981220657276997E-2</v>
      </c>
      <c r="I2144">
        <v>426</v>
      </c>
      <c r="J2144" t="s">
        <v>18</v>
      </c>
      <c r="K2144">
        <v>3</v>
      </c>
      <c r="L2144" s="1">
        <v>122958.34</v>
      </c>
      <c r="M2144" s="1" t="str" cm="1">
        <f t="array" ref="M21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44" t="s">
        <v>100</v>
      </c>
      <c r="O2144" t="s">
        <v>236</v>
      </c>
      <c r="P2144" s="2" t="s">
        <v>394</v>
      </c>
      <c r="Q2144">
        <v>4</v>
      </c>
      <c r="R2144" t="s">
        <v>392</v>
      </c>
      <c r="S2144" s="1">
        <f>electric_vehicles_dataset[[#This Row],[Units_Sold_2024]]*electric_vehicles_dataset[[#This Row],[Price_USD]]</f>
        <v>2112055406.1799998</v>
      </c>
      <c r="T2144">
        <v>4</v>
      </c>
      <c r="U2144">
        <v>17177</v>
      </c>
      <c r="V2144">
        <v>5</v>
      </c>
    </row>
    <row r="2145" spans="1:22" x14ac:dyDescent="0.35">
      <c r="A2145">
        <v>2144</v>
      </c>
      <c r="B2145" t="s">
        <v>36</v>
      </c>
      <c r="C2145" t="s">
        <v>37</v>
      </c>
      <c r="D2145">
        <v>2018</v>
      </c>
      <c r="E2145" t="s">
        <v>73</v>
      </c>
      <c r="F2145">
        <v>101.1</v>
      </c>
      <c r="G2145" t="s">
        <v>361</v>
      </c>
      <c r="H2145">
        <f>electric_vehicles_dataset[[#This Row],[Battery_Capacity_kWh]]/electric_vehicles_dataset[[#This Row],[Range_km]]</f>
        <v>0.37444444444444441</v>
      </c>
      <c r="I2145">
        <v>270</v>
      </c>
      <c r="J2145" t="s">
        <v>76</v>
      </c>
      <c r="K2145">
        <v>3</v>
      </c>
      <c r="L2145" s="1">
        <v>126567.54</v>
      </c>
      <c r="M2145" s="1" t="str" cm="1">
        <f t="array" ref="M21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45" t="s">
        <v>91</v>
      </c>
      <c r="O2145" t="s">
        <v>134</v>
      </c>
      <c r="P2145" s="2" t="s">
        <v>389</v>
      </c>
      <c r="Q2145">
        <v>0</v>
      </c>
      <c r="R2145" t="s">
        <v>390</v>
      </c>
      <c r="S2145" s="1">
        <f>electric_vehicles_dataset[[#This Row],[Units_Sold_2024]]*electric_vehicles_dataset[[#This Row],[Price_USD]]</f>
        <v>1553489985.96</v>
      </c>
      <c r="T2145">
        <v>3</v>
      </c>
      <c r="U2145">
        <v>12274</v>
      </c>
      <c r="V2145">
        <v>3</v>
      </c>
    </row>
    <row r="2146" spans="1:22" x14ac:dyDescent="0.35">
      <c r="A2146">
        <v>2145</v>
      </c>
      <c r="B2146" t="s">
        <v>82</v>
      </c>
      <c r="C2146" t="s">
        <v>83</v>
      </c>
      <c r="D2146">
        <v>2018</v>
      </c>
      <c r="E2146" t="s">
        <v>17</v>
      </c>
      <c r="F2146">
        <v>89.4</v>
      </c>
      <c r="G2146" t="s">
        <v>350</v>
      </c>
      <c r="H2146">
        <f>electric_vehicles_dataset[[#This Row],[Battery_Capacity_kWh]]/electric_vehicles_dataset[[#This Row],[Range_km]]</f>
        <v>0.15602094240837697</v>
      </c>
      <c r="I2146">
        <v>573</v>
      </c>
      <c r="J2146" t="s">
        <v>34</v>
      </c>
      <c r="K2146">
        <v>7</v>
      </c>
      <c r="L2146" s="1">
        <v>52383.56</v>
      </c>
      <c r="M2146" s="1" t="str" cm="1">
        <f t="array" ref="M21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46" t="s">
        <v>160</v>
      </c>
      <c r="O2146" t="s">
        <v>147</v>
      </c>
      <c r="P2146" s="2" t="s">
        <v>396</v>
      </c>
      <c r="Q2146">
        <v>4</v>
      </c>
      <c r="R2146" t="s">
        <v>392</v>
      </c>
      <c r="S2146" s="1">
        <f>electric_vehicles_dataset[[#This Row],[Units_Sold_2024]]*electric_vehicles_dataset[[#This Row],[Price_USD]]</f>
        <v>73598901.799999997</v>
      </c>
      <c r="T2146">
        <v>5</v>
      </c>
      <c r="U2146">
        <v>1405</v>
      </c>
      <c r="V2146">
        <v>5</v>
      </c>
    </row>
    <row r="2147" spans="1:22" x14ac:dyDescent="0.35">
      <c r="A2147">
        <v>2146</v>
      </c>
      <c r="B2147" t="s">
        <v>122</v>
      </c>
      <c r="C2147" t="s">
        <v>186</v>
      </c>
      <c r="D2147">
        <v>2022</v>
      </c>
      <c r="E2147" t="s">
        <v>31</v>
      </c>
      <c r="F2147">
        <v>79.599999999999994</v>
      </c>
      <c r="G2147" t="s">
        <v>351</v>
      </c>
      <c r="H2147">
        <f>electric_vehicles_dataset[[#This Row],[Battery_Capacity_kWh]]/electric_vehicles_dataset[[#This Row],[Range_km]]</f>
        <v>0.62187499999999996</v>
      </c>
      <c r="I2147">
        <v>128</v>
      </c>
      <c r="J2147" t="s">
        <v>105</v>
      </c>
      <c r="K2147">
        <v>2</v>
      </c>
      <c r="L2147" s="1">
        <v>30156.95</v>
      </c>
      <c r="M2147" s="1" t="str" cm="1">
        <f t="array" ref="M214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47" t="s">
        <v>28</v>
      </c>
      <c r="O2147" t="s">
        <v>124</v>
      </c>
      <c r="P2147" s="2" t="s">
        <v>389</v>
      </c>
      <c r="Q2147">
        <v>5</v>
      </c>
      <c r="R2147" t="s">
        <v>392</v>
      </c>
      <c r="S2147" s="1">
        <f>electric_vehicles_dataset[[#This Row],[Units_Sold_2024]]*electric_vehicles_dataset[[#This Row],[Price_USD]]</f>
        <v>102111432.7</v>
      </c>
      <c r="T2147">
        <v>4</v>
      </c>
      <c r="U2147">
        <v>3386</v>
      </c>
      <c r="V2147">
        <v>3</v>
      </c>
    </row>
    <row r="2148" spans="1:22" x14ac:dyDescent="0.35">
      <c r="A2148">
        <v>2147</v>
      </c>
      <c r="B2148" t="s">
        <v>74</v>
      </c>
      <c r="C2148" t="s">
        <v>75</v>
      </c>
      <c r="D2148">
        <v>2021</v>
      </c>
      <c r="E2148" t="s">
        <v>104</v>
      </c>
      <c r="F2148">
        <v>87.1</v>
      </c>
      <c r="G2148" t="s">
        <v>350</v>
      </c>
      <c r="H2148">
        <f>electric_vehicles_dataset[[#This Row],[Battery_Capacity_kWh]]/electric_vehicles_dataset[[#This Row],[Range_km]]</f>
        <v>0.15981651376146788</v>
      </c>
      <c r="I2148">
        <v>545</v>
      </c>
      <c r="J2148" t="s">
        <v>345</v>
      </c>
      <c r="K2148">
        <v>8</v>
      </c>
      <c r="L2148" s="1">
        <v>81825.75</v>
      </c>
      <c r="M2148" s="1" t="str" cm="1">
        <f t="array" ref="M214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48" t="s">
        <v>55</v>
      </c>
      <c r="O2148" t="s">
        <v>265</v>
      </c>
      <c r="P2148" s="2" t="s">
        <v>389</v>
      </c>
      <c r="Q2148">
        <v>3</v>
      </c>
      <c r="R2148" t="s">
        <v>397</v>
      </c>
      <c r="S2148" s="1">
        <f>electric_vehicles_dataset[[#This Row],[Units_Sold_2024]]*electric_vehicles_dataset[[#This Row],[Price_USD]]</f>
        <v>1056615909.75</v>
      </c>
      <c r="T2148">
        <v>5</v>
      </c>
      <c r="U2148">
        <v>12913</v>
      </c>
      <c r="V2148">
        <v>4</v>
      </c>
    </row>
    <row r="2149" spans="1:22" x14ac:dyDescent="0.35">
      <c r="A2149">
        <v>2148</v>
      </c>
      <c r="B2149" t="s">
        <v>269</v>
      </c>
      <c r="C2149" t="s">
        <v>307</v>
      </c>
      <c r="D2149">
        <v>2018</v>
      </c>
      <c r="E2149" t="s">
        <v>31</v>
      </c>
      <c r="F2149">
        <v>130.6</v>
      </c>
      <c r="G2149" t="s">
        <v>352</v>
      </c>
      <c r="H2149">
        <f>electric_vehicles_dataset[[#This Row],[Battery_Capacity_kWh]]/electric_vehicles_dataset[[#This Row],[Range_km]]</f>
        <v>0.22248722316865416</v>
      </c>
      <c r="I2149">
        <v>587</v>
      </c>
      <c r="J2149" t="s">
        <v>18</v>
      </c>
      <c r="K2149">
        <v>11</v>
      </c>
      <c r="L2149" s="1">
        <v>53587.92</v>
      </c>
      <c r="M2149" s="1" t="str" cm="1">
        <f t="array" ref="M214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49" t="s">
        <v>81</v>
      </c>
      <c r="O2149" t="s">
        <v>182</v>
      </c>
      <c r="P2149" s="2" t="s">
        <v>394</v>
      </c>
      <c r="Q2149">
        <v>2</v>
      </c>
      <c r="R2149" t="s">
        <v>391</v>
      </c>
      <c r="S2149" s="1">
        <f>electric_vehicles_dataset[[#This Row],[Units_Sold_2024]]*electric_vehicles_dataset[[#This Row],[Price_USD]]</f>
        <v>1010668171.1999999</v>
      </c>
      <c r="T2149">
        <v>3</v>
      </c>
      <c r="U2149">
        <v>18860</v>
      </c>
      <c r="V2149">
        <v>4</v>
      </c>
    </row>
    <row r="2150" spans="1:22" x14ac:dyDescent="0.35">
      <c r="A2150">
        <v>2149</v>
      </c>
      <c r="B2150" t="s">
        <v>241</v>
      </c>
      <c r="C2150" t="s">
        <v>286</v>
      </c>
      <c r="D2150">
        <v>2015</v>
      </c>
      <c r="E2150" t="s">
        <v>53</v>
      </c>
      <c r="F2150">
        <v>31.5</v>
      </c>
      <c r="G2150" t="s">
        <v>357</v>
      </c>
      <c r="H2150">
        <f>electric_vehicles_dataset[[#This Row],[Battery_Capacity_kWh]]/electric_vehicles_dataset[[#This Row],[Range_km]]</f>
        <v>0.16492146596858639</v>
      </c>
      <c r="I2150">
        <v>191</v>
      </c>
      <c r="J2150" t="s">
        <v>356</v>
      </c>
      <c r="K2150">
        <v>6</v>
      </c>
      <c r="L2150" s="1">
        <v>87952.65</v>
      </c>
      <c r="M2150" s="1" t="str" cm="1">
        <f t="array" ref="M21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50" t="s">
        <v>19</v>
      </c>
      <c r="O2150" t="s">
        <v>147</v>
      </c>
      <c r="P2150" s="2" t="s">
        <v>396</v>
      </c>
      <c r="Q2150">
        <v>4</v>
      </c>
      <c r="R2150" t="s">
        <v>392</v>
      </c>
      <c r="S2150" s="1">
        <f>electric_vehicles_dataset[[#This Row],[Units_Sold_2024]]*electric_vehicles_dataset[[#This Row],[Price_USD]]</f>
        <v>756128932.04999995</v>
      </c>
      <c r="T2150">
        <v>5</v>
      </c>
      <c r="U2150">
        <v>8597</v>
      </c>
      <c r="V2150">
        <v>5</v>
      </c>
    </row>
    <row r="2151" spans="1:22" x14ac:dyDescent="0.35">
      <c r="A2151">
        <v>2150</v>
      </c>
      <c r="B2151" t="s">
        <v>45</v>
      </c>
      <c r="C2151" t="s">
        <v>283</v>
      </c>
      <c r="D2151">
        <v>2024</v>
      </c>
      <c r="E2151" t="s">
        <v>73</v>
      </c>
      <c r="F2151">
        <v>81</v>
      </c>
      <c r="G2151" t="s">
        <v>350</v>
      </c>
      <c r="H2151">
        <f>electric_vehicles_dataset[[#This Row],[Battery_Capacity_kWh]]/electric_vehicles_dataset[[#This Row],[Range_km]]</f>
        <v>0.22191780821917809</v>
      </c>
      <c r="I2151">
        <v>365</v>
      </c>
      <c r="J2151" t="s">
        <v>359</v>
      </c>
      <c r="K2151">
        <v>12</v>
      </c>
      <c r="L2151" s="1">
        <v>133565.04999999999</v>
      </c>
      <c r="M2151" s="1" t="str" cm="1">
        <f t="array" ref="M215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51" t="s">
        <v>301</v>
      </c>
      <c r="O2151" t="s">
        <v>199</v>
      </c>
      <c r="P2151" s="2" t="s">
        <v>394</v>
      </c>
      <c r="Q2151">
        <v>4</v>
      </c>
      <c r="R2151" t="s">
        <v>392</v>
      </c>
      <c r="S2151" s="1">
        <f>electric_vehicles_dataset[[#This Row],[Units_Sold_2024]]*electric_vehicles_dataset[[#This Row],[Price_USD]]</f>
        <v>1624551703.1499999</v>
      </c>
      <c r="T2151">
        <v>4</v>
      </c>
      <c r="U2151">
        <v>12163</v>
      </c>
      <c r="V2151">
        <v>4</v>
      </c>
    </row>
    <row r="2152" spans="1:22" x14ac:dyDescent="0.35">
      <c r="A2152">
        <v>2151</v>
      </c>
      <c r="B2152" t="s">
        <v>215</v>
      </c>
      <c r="C2152" t="s">
        <v>377</v>
      </c>
      <c r="D2152">
        <v>2023</v>
      </c>
      <c r="E2152" t="s">
        <v>90</v>
      </c>
      <c r="F2152">
        <v>47.3</v>
      </c>
      <c r="G2152" t="s">
        <v>348</v>
      </c>
      <c r="H2152">
        <f>electric_vehicles_dataset[[#This Row],[Battery_Capacity_kWh]]/electric_vehicles_dataset[[#This Row],[Range_km]]</f>
        <v>0.17262773722627736</v>
      </c>
      <c r="I2152">
        <v>274</v>
      </c>
      <c r="J2152" t="s">
        <v>76</v>
      </c>
      <c r="K2152">
        <v>11</v>
      </c>
      <c r="L2152" s="1">
        <v>139354.17000000001</v>
      </c>
      <c r="M2152" s="1" t="str" cm="1">
        <f t="array" ref="M215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52" t="s">
        <v>117</v>
      </c>
      <c r="O2152" t="s">
        <v>86</v>
      </c>
      <c r="P2152" s="2" t="s">
        <v>389</v>
      </c>
      <c r="Q2152">
        <v>1</v>
      </c>
      <c r="R2152" t="s">
        <v>391</v>
      </c>
      <c r="S2152" s="1">
        <f>electric_vehicles_dataset[[#This Row],[Units_Sold_2024]]*electric_vehicles_dataset[[#This Row],[Price_USD]]</f>
        <v>1842401481.5700002</v>
      </c>
      <c r="T2152">
        <v>4</v>
      </c>
      <c r="U2152">
        <v>13221</v>
      </c>
      <c r="V2152">
        <v>5</v>
      </c>
    </row>
    <row r="2153" spans="1:22" x14ac:dyDescent="0.35">
      <c r="A2153">
        <v>2152</v>
      </c>
      <c r="B2153" t="s">
        <v>173</v>
      </c>
      <c r="C2153" t="s">
        <v>174</v>
      </c>
      <c r="D2153">
        <v>2021</v>
      </c>
      <c r="E2153" t="s">
        <v>183</v>
      </c>
      <c r="F2153">
        <v>81.2</v>
      </c>
      <c r="G2153" t="s">
        <v>350</v>
      </c>
      <c r="H2153">
        <f>electric_vehicles_dataset[[#This Row],[Battery_Capacity_kWh]]/electric_vehicles_dataset[[#This Row],[Range_km]]</f>
        <v>0.23468208092485551</v>
      </c>
      <c r="I2153">
        <v>346</v>
      </c>
      <c r="J2153" t="s">
        <v>364</v>
      </c>
      <c r="K2153">
        <v>8</v>
      </c>
      <c r="L2153" s="1">
        <v>139716.29999999999</v>
      </c>
      <c r="M2153" s="1" t="str" cm="1">
        <f t="array" ref="M21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53" t="s">
        <v>19</v>
      </c>
      <c r="O2153" t="s">
        <v>147</v>
      </c>
      <c r="P2153" s="2" t="s">
        <v>396</v>
      </c>
      <c r="Q2153">
        <v>4</v>
      </c>
      <c r="R2153" t="s">
        <v>392</v>
      </c>
      <c r="S2153" s="1">
        <f>electric_vehicles_dataset[[#This Row],[Units_Sold_2024]]*electric_vehicles_dataset[[#This Row],[Price_USD]]</f>
        <v>434238260.39999998</v>
      </c>
      <c r="T2153">
        <v>4</v>
      </c>
      <c r="U2153">
        <v>3108</v>
      </c>
      <c r="V2153">
        <v>3</v>
      </c>
    </row>
    <row r="2154" spans="1:22" x14ac:dyDescent="0.35">
      <c r="A2154">
        <v>2153</v>
      </c>
      <c r="B2154" t="s">
        <v>261</v>
      </c>
      <c r="C2154" t="s">
        <v>372</v>
      </c>
      <c r="D2154">
        <v>2017</v>
      </c>
      <c r="E2154" t="s">
        <v>31</v>
      </c>
      <c r="F2154">
        <v>84</v>
      </c>
      <c r="G2154" t="s">
        <v>350</v>
      </c>
      <c r="H2154">
        <f>electric_vehicles_dataset[[#This Row],[Battery_Capacity_kWh]]/electric_vehicles_dataset[[#This Row],[Range_km]]</f>
        <v>0.36681222707423583</v>
      </c>
      <c r="I2154">
        <v>229</v>
      </c>
      <c r="J2154" t="s">
        <v>149</v>
      </c>
      <c r="K2154">
        <v>7</v>
      </c>
      <c r="L2154" s="1">
        <v>100589.96</v>
      </c>
      <c r="M2154" s="1" t="str" cm="1">
        <f t="array" ref="M215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54" t="s">
        <v>127</v>
      </c>
      <c r="O2154" t="s">
        <v>93</v>
      </c>
      <c r="P2154" s="2" t="s">
        <v>389</v>
      </c>
      <c r="Q2154">
        <v>1</v>
      </c>
      <c r="R2154" t="s">
        <v>391</v>
      </c>
      <c r="S2154" s="1">
        <f>electric_vehicles_dataset[[#This Row],[Units_Sold_2024]]*electric_vehicles_dataset[[#This Row],[Price_USD]]</f>
        <v>1649775933.96</v>
      </c>
      <c r="T2154">
        <v>4</v>
      </c>
      <c r="U2154">
        <v>16401</v>
      </c>
      <c r="V2154">
        <v>4</v>
      </c>
    </row>
    <row r="2155" spans="1:22" x14ac:dyDescent="0.35">
      <c r="A2155">
        <v>2154</v>
      </c>
      <c r="B2155" t="s">
        <v>79</v>
      </c>
      <c r="C2155" t="s">
        <v>299</v>
      </c>
      <c r="D2155">
        <v>2023</v>
      </c>
      <c r="E2155" t="s">
        <v>183</v>
      </c>
      <c r="F2155">
        <v>147.30000000000001</v>
      </c>
      <c r="G2155" t="s">
        <v>386</v>
      </c>
      <c r="H2155">
        <f>electric_vehicles_dataset[[#This Row],[Battery_Capacity_kWh]]/electric_vehicles_dataset[[#This Row],[Range_km]]</f>
        <v>0.42085714285714287</v>
      </c>
      <c r="I2155">
        <v>350</v>
      </c>
      <c r="J2155" t="s">
        <v>364</v>
      </c>
      <c r="K2155">
        <v>9</v>
      </c>
      <c r="L2155" s="1">
        <v>105356.22</v>
      </c>
      <c r="M2155" s="1" t="str" cm="1">
        <f t="array" ref="M215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55" t="s">
        <v>62</v>
      </c>
      <c r="O2155" t="s">
        <v>164</v>
      </c>
      <c r="P2155" s="2" t="s">
        <v>394</v>
      </c>
      <c r="Q2155">
        <v>2</v>
      </c>
      <c r="R2155" t="s">
        <v>391</v>
      </c>
      <c r="S2155" s="1">
        <f>electric_vehicles_dataset[[#This Row],[Units_Sold_2024]]*electric_vehicles_dataset[[#This Row],[Price_USD]]</f>
        <v>1475197792.4400001</v>
      </c>
      <c r="T2155">
        <v>4</v>
      </c>
      <c r="U2155">
        <v>14002</v>
      </c>
      <c r="V2155">
        <v>4</v>
      </c>
    </row>
    <row r="2156" spans="1:22" x14ac:dyDescent="0.35">
      <c r="A2156">
        <v>2155</v>
      </c>
      <c r="B2156" t="s">
        <v>108</v>
      </c>
      <c r="C2156" t="s">
        <v>325</v>
      </c>
      <c r="D2156">
        <v>2015</v>
      </c>
      <c r="E2156" t="s">
        <v>130</v>
      </c>
      <c r="F2156">
        <v>88.6</v>
      </c>
      <c r="G2156" t="s">
        <v>350</v>
      </c>
      <c r="H2156">
        <f>electric_vehicles_dataset[[#This Row],[Battery_Capacity_kWh]]/electric_vehicles_dataset[[#This Row],[Range_km]]</f>
        <v>0.18118609406952965</v>
      </c>
      <c r="I2156">
        <v>489</v>
      </c>
      <c r="J2156" t="s">
        <v>54</v>
      </c>
      <c r="K2156">
        <v>6</v>
      </c>
      <c r="L2156" s="1">
        <v>117690.13</v>
      </c>
      <c r="M2156" s="1" t="str" cm="1">
        <f t="array" ref="M215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56" t="s">
        <v>246</v>
      </c>
      <c r="O2156" t="s">
        <v>63</v>
      </c>
      <c r="P2156" s="2" t="s">
        <v>389</v>
      </c>
      <c r="Q2156">
        <v>1</v>
      </c>
      <c r="R2156" t="s">
        <v>391</v>
      </c>
      <c r="S2156" s="1">
        <f>electric_vehicles_dataset[[#This Row],[Units_Sold_2024]]*electric_vehicles_dataset[[#This Row],[Price_USD]]</f>
        <v>1783358539.8900001</v>
      </c>
      <c r="T2156">
        <v>4</v>
      </c>
      <c r="U2156">
        <v>15153</v>
      </c>
      <c r="V2156">
        <v>3</v>
      </c>
    </row>
    <row r="2157" spans="1:22" x14ac:dyDescent="0.35">
      <c r="A2157">
        <v>2156</v>
      </c>
      <c r="B2157" t="s">
        <v>222</v>
      </c>
      <c r="C2157" t="s">
        <v>232</v>
      </c>
      <c r="D2157">
        <v>2025</v>
      </c>
      <c r="E2157" t="s">
        <v>133</v>
      </c>
      <c r="F2157">
        <v>109.7</v>
      </c>
      <c r="G2157" t="s">
        <v>361</v>
      </c>
      <c r="H2157">
        <f>electric_vehicles_dataset[[#This Row],[Battery_Capacity_kWh]]/electric_vehicles_dataset[[#This Row],[Range_km]]</f>
        <v>1.0650485436893204</v>
      </c>
      <c r="I2157">
        <v>103</v>
      </c>
      <c r="J2157" t="s">
        <v>54</v>
      </c>
      <c r="K2157">
        <v>11</v>
      </c>
      <c r="L2157" s="1">
        <v>104422.93</v>
      </c>
      <c r="M2157" s="1" t="str" cm="1">
        <f t="array" ref="M215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57" t="s">
        <v>152</v>
      </c>
      <c r="O2157" t="s">
        <v>86</v>
      </c>
      <c r="P2157" s="2" t="s">
        <v>389</v>
      </c>
      <c r="Q2157">
        <v>4</v>
      </c>
      <c r="R2157" t="s">
        <v>392</v>
      </c>
      <c r="S2157" s="1">
        <f>electric_vehicles_dataset[[#This Row],[Units_Sold_2024]]*electric_vehicles_dataset[[#This Row],[Price_USD]]</f>
        <v>1895902717.0799999</v>
      </c>
      <c r="T2157">
        <v>4</v>
      </c>
      <c r="U2157">
        <v>18156</v>
      </c>
      <c r="V2157">
        <v>5</v>
      </c>
    </row>
    <row r="2158" spans="1:22" x14ac:dyDescent="0.35">
      <c r="A2158">
        <v>2157</v>
      </c>
      <c r="B2158" t="s">
        <v>87</v>
      </c>
      <c r="C2158" t="s">
        <v>381</v>
      </c>
      <c r="D2158">
        <v>2019</v>
      </c>
      <c r="E2158" t="s">
        <v>31</v>
      </c>
      <c r="F2158">
        <v>116.1</v>
      </c>
      <c r="G2158" t="s">
        <v>361</v>
      </c>
      <c r="H2158">
        <f>electric_vehicles_dataset[[#This Row],[Battery_Capacity_kWh]]/electric_vehicles_dataset[[#This Row],[Range_km]]</f>
        <v>0.81760563380281681</v>
      </c>
      <c r="I2158">
        <v>142</v>
      </c>
      <c r="J2158" t="s">
        <v>358</v>
      </c>
      <c r="K2158">
        <v>6</v>
      </c>
      <c r="L2158" s="1">
        <v>92310.89</v>
      </c>
      <c r="M2158" s="1" t="str" cm="1">
        <f t="array" ref="M215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58" t="s">
        <v>277</v>
      </c>
      <c r="O2158" t="s">
        <v>118</v>
      </c>
      <c r="P2158" s="2" t="s">
        <v>389</v>
      </c>
      <c r="Q2158">
        <v>2</v>
      </c>
      <c r="R2158" t="s">
        <v>391</v>
      </c>
      <c r="S2158" s="1">
        <f>electric_vehicles_dataset[[#This Row],[Units_Sold_2024]]*electric_vehicles_dataset[[#This Row],[Price_USD]]</f>
        <v>1666119253.6099999</v>
      </c>
      <c r="T2158">
        <v>3</v>
      </c>
      <c r="U2158">
        <v>18049</v>
      </c>
      <c r="V2158">
        <v>5</v>
      </c>
    </row>
    <row r="2159" spans="1:22" x14ac:dyDescent="0.35">
      <c r="A2159">
        <v>2158</v>
      </c>
      <c r="B2159" t="s">
        <v>68</v>
      </c>
      <c r="C2159" t="s">
        <v>289</v>
      </c>
      <c r="D2159">
        <v>2020</v>
      </c>
      <c r="E2159" t="s">
        <v>17</v>
      </c>
      <c r="F2159">
        <v>96.4</v>
      </c>
      <c r="G2159" t="s">
        <v>350</v>
      </c>
      <c r="H2159">
        <f>electric_vehicles_dataset[[#This Row],[Battery_Capacity_kWh]]/electric_vehicles_dataset[[#This Row],[Range_km]]</f>
        <v>0.86071428571428577</v>
      </c>
      <c r="I2159">
        <v>112</v>
      </c>
      <c r="J2159" t="s">
        <v>359</v>
      </c>
      <c r="K2159">
        <v>12</v>
      </c>
      <c r="L2159" s="1">
        <v>146606.13</v>
      </c>
      <c r="M2159" s="1" t="str" cm="1">
        <f t="array" ref="M215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59" t="s">
        <v>210</v>
      </c>
      <c r="O2159" t="s">
        <v>40</v>
      </c>
      <c r="P2159" s="2" t="s">
        <v>395</v>
      </c>
      <c r="Q2159">
        <v>2</v>
      </c>
      <c r="R2159" t="s">
        <v>391</v>
      </c>
      <c r="S2159" s="1">
        <f>electric_vehicles_dataset[[#This Row],[Units_Sold_2024]]*electric_vehicles_dataset[[#This Row],[Price_USD]]</f>
        <v>742266836.19000006</v>
      </c>
      <c r="T2159">
        <v>4</v>
      </c>
      <c r="U2159">
        <v>5063</v>
      </c>
      <c r="V2159">
        <v>4</v>
      </c>
    </row>
    <row r="2160" spans="1:22" x14ac:dyDescent="0.35">
      <c r="A2160">
        <v>2159</v>
      </c>
      <c r="B2160" t="s">
        <v>155</v>
      </c>
      <c r="C2160" t="s">
        <v>156</v>
      </c>
      <c r="D2160">
        <v>2016</v>
      </c>
      <c r="E2160" t="s">
        <v>17</v>
      </c>
      <c r="F2160">
        <v>67</v>
      </c>
      <c r="G2160" t="s">
        <v>351</v>
      </c>
      <c r="H2160">
        <f>electric_vehicles_dataset[[#This Row],[Battery_Capacity_kWh]]/electric_vehicles_dataset[[#This Row],[Range_km]]</f>
        <v>0.32682926829268294</v>
      </c>
      <c r="I2160">
        <v>205</v>
      </c>
      <c r="J2160" t="s">
        <v>27</v>
      </c>
      <c r="K2160">
        <v>11</v>
      </c>
      <c r="L2160" s="1">
        <v>102846.2</v>
      </c>
      <c r="M2160" s="1" t="str" cm="1">
        <f t="array" ref="M216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60" t="s">
        <v>160</v>
      </c>
      <c r="O2160" t="s">
        <v>118</v>
      </c>
      <c r="P2160" s="2" t="s">
        <v>389</v>
      </c>
      <c r="Q2160">
        <v>1</v>
      </c>
      <c r="R2160" t="s">
        <v>391</v>
      </c>
      <c r="S2160" s="1">
        <f>electric_vehicles_dataset[[#This Row],[Units_Sold_2024]]*electric_vehicles_dataset[[#This Row],[Price_USD]]</f>
        <v>828631833.39999998</v>
      </c>
      <c r="T2160">
        <v>3</v>
      </c>
      <c r="U2160">
        <v>8057</v>
      </c>
      <c r="V2160">
        <v>4</v>
      </c>
    </row>
    <row r="2161" spans="1:22" x14ac:dyDescent="0.35">
      <c r="A2161">
        <v>2160</v>
      </c>
      <c r="B2161" t="s">
        <v>36</v>
      </c>
      <c r="C2161" t="s">
        <v>37</v>
      </c>
      <c r="D2161">
        <v>2019</v>
      </c>
      <c r="E2161" t="s">
        <v>84</v>
      </c>
      <c r="F2161">
        <v>147.19999999999999</v>
      </c>
      <c r="G2161" t="s">
        <v>386</v>
      </c>
      <c r="H2161">
        <f>electric_vehicles_dataset[[#This Row],[Battery_Capacity_kWh]]/electric_vehicles_dataset[[#This Row],[Range_km]]</f>
        <v>1.2799999999999998</v>
      </c>
      <c r="I2161">
        <v>115</v>
      </c>
      <c r="J2161" t="s">
        <v>345</v>
      </c>
      <c r="K2161">
        <v>7</v>
      </c>
      <c r="L2161" s="1">
        <v>101180.23</v>
      </c>
      <c r="M2161" s="1" t="str" cm="1">
        <f t="array" ref="M216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61" t="s">
        <v>271</v>
      </c>
      <c r="O2161" t="s">
        <v>202</v>
      </c>
      <c r="P2161" s="2" t="s">
        <v>393</v>
      </c>
      <c r="Q2161">
        <v>0</v>
      </c>
      <c r="R2161" t="s">
        <v>390</v>
      </c>
      <c r="S2161" s="1">
        <f>electric_vehicles_dataset[[#This Row],[Units_Sold_2024]]*electric_vehicles_dataset[[#This Row],[Price_USD]]</f>
        <v>541516590.95999992</v>
      </c>
      <c r="T2161">
        <v>3</v>
      </c>
      <c r="U2161">
        <v>5352</v>
      </c>
      <c r="V2161">
        <v>3</v>
      </c>
    </row>
    <row r="2162" spans="1:22" x14ac:dyDescent="0.35">
      <c r="A2162">
        <v>2161</v>
      </c>
      <c r="B2162" t="s">
        <v>64</v>
      </c>
      <c r="C2162" t="s">
        <v>65</v>
      </c>
      <c r="D2162">
        <v>2025</v>
      </c>
      <c r="E2162" t="s">
        <v>90</v>
      </c>
      <c r="F2162">
        <v>66.400000000000006</v>
      </c>
      <c r="G2162" t="s">
        <v>351</v>
      </c>
      <c r="H2162">
        <f>electric_vehicles_dataset[[#This Row],[Battery_Capacity_kWh]]/electric_vehicles_dataset[[#This Row],[Range_km]]</f>
        <v>0.45170068027210886</v>
      </c>
      <c r="I2162">
        <v>147</v>
      </c>
      <c r="J2162" t="s">
        <v>38</v>
      </c>
      <c r="K2162">
        <v>1</v>
      </c>
      <c r="L2162" s="1">
        <v>65064.75</v>
      </c>
      <c r="M2162" s="1" t="str" cm="1">
        <f t="array" ref="M216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62" t="s">
        <v>55</v>
      </c>
      <c r="O2162" t="s">
        <v>20</v>
      </c>
      <c r="P2162" s="2" t="s">
        <v>389</v>
      </c>
      <c r="Q2162">
        <v>4</v>
      </c>
      <c r="R2162" t="s">
        <v>392</v>
      </c>
      <c r="S2162" s="1">
        <f>electric_vehicles_dataset[[#This Row],[Units_Sold_2024]]*electric_vehicles_dataset[[#This Row],[Price_USD]]</f>
        <v>819750785.25</v>
      </c>
      <c r="T2162">
        <v>4</v>
      </c>
      <c r="U2162">
        <v>12599</v>
      </c>
      <c r="V2162">
        <v>5</v>
      </c>
    </row>
    <row r="2163" spans="1:22" x14ac:dyDescent="0.35">
      <c r="A2163">
        <v>2162</v>
      </c>
      <c r="B2163" t="s">
        <v>60</v>
      </c>
      <c r="C2163" t="s">
        <v>233</v>
      </c>
      <c r="D2163">
        <v>2015</v>
      </c>
      <c r="E2163" t="s">
        <v>133</v>
      </c>
      <c r="F2163">
        <v>88.7</v>
      </c>
      <c r="G2163" t="s">
        <v>350</v>
      </c>
      <c r="H2163">
        <f>electric_vehicles_dataset[[#This Row],[Battery_Capacity_kWh]]/electric_vehicles_dataset[[#This Row],[Range_km]]</f>
        <v>0.54417177914110426</v>
      </c>
      <c r="I2163">
        <v>163</v>
      </c>
      <c r="J2163" t="s">
        <v>27</v>
      </c>
      <c r="K2163">
        <v>7</v>
      </c>
      <c r="L2163" s="1">
        <v>139205.71</v>
      </c>
      <c r="M2163" s="1" t="str" cm="1">
        <f t="array" ref="M21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63" t="s">
        <v>279</v>
      </c>
      <c r="O2163" t="s">
        <v>202</v>
      </c>
      <c r="P2163" s="2" t="s">
        <v>393</v>
      </c>
      <c r="Q2163">
        <v>2</v>
      </c>
      <c r="R2163" t="s">
        <v>391</v>
      </c>
      <c r="S2163" s="1">
        <f>electric_vehicles_dataset[[#This Row],[Units_Sold_2024]]*electric_vehicles_dataset[[#This Row],[Price_USD]]</f>
        <v>1637059149.5999999</v>
      </c>
      <c r="T2163">
        <v>5</v>
      </c>
      <c r="U2163">
        <v>11760</v>
      </c>
      <c r="V2163">
        <v>4</v>
      </c>
    </row>
    <row r="2164" spans="1:22" x14ac:dyDescent="0.35">
      <c r="A2164">
        <v>2163</v>
      </c>
      <c r="B2164" t="s">
        <v>51</v>
      </c>
      <c r="C2164" t="s">
        <v>239</v>
      </c>
      <c r="D2164">
        <v>2024</v>
      </c>
      <c r="E2164" t="s">
        <v>130</v>
      </c>
      <c r="F2164">
        <v>135</v>
      </c>
      <c r="G2164" t="s">
        <v>352</v>
      </c>
      <c r="H2164">
        <f>electric_vehicles_dataset[[#This Row],[Battery_Capacity_kWh]]/electric_vehicles_dataset[[#This Row],[Range_km]]</f>
        <v>0.33750000000000002</v>
      </c>
      <c r="I2164">
        <v>400</v>
      </c>
      <c r="J2164" t="s">
        <v>18</v>
      </c>
      <c r="K2164">
        <v>4</v>
      </c>
      <c r="L2164" s="1">
        <v>116002.81</v>
      </c>
      <c r="M2164" s="1" t="str" cm="1">
        <f t="array" ref="M21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64" t="s">
        <v>238</v>
      </c>
      <c r="O2164" t="s">
        <v>89</v>
      </c>
      <c r="P2164" s="2" t="s">
        <v>389</v>
      </c>
      <c r="Q2164">
        <v>0</v>
      </c>
      <c r="R2164" t="s">
        <v>390</v>
      </c>
      <c r="S2164" s="1">
        <f>electric_vehicles_dataset[[#This Row],[Units_Sold_2024]]*electric_vehicles_dataset[[#This Row],[Price_USD]]</f>
        <v>596022437.77999997</v>
      </c>
      <c r="T2164">
        <v>4</v>
      </c>
      <c r="U2164">
        <v>5138</v>
      </c>
      <c r="V2164">
        <v>4</v>
      </c>
    </row>
    <row r="2165" spans="1:22" x14ac:dyDescent="0.35">
      <c r="A2165">
        <v>2164</v>
      </c>
      <c r="B2165" t="s">
        <v>153</v>
      </c>
      <c r="C2165" t="s">
        <v>178</v>
      </c>
      <c r="D2165">
        <v>2023</v>
      </c>
      <c r="E2165" t="s">
        <v>26</v>
      </c>
      <c r="F2165">
        <v>38</v>
      </c>
      <c r="G2165" t="s">
        <v>357</v>
      </c>
      <c r="H2165">
        <f>electric_vehicles_dataset[[#This Row],[Battery_Capacity_kWh]]/electric_vehicles_dataset[[#This Row],[Range_km]]</f>
        <v>6.5857885615251299E-2</v>
      </c>
      <c r="I2165">
        <v>577</v>
      </c>
      <c r="J2165" t="s">
        <v>105</v>
      </c>
      <c r="K2165">
        <v>10</v>
      </c>
      <c r="L2165" s="1">
        <v>100425.79</v>
      </c>
      <c r="M2165" s="1" t="str" cm="1">
        <f t="array" ref="M216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65" t="s">
        <v>175</v>
      </c>
      <c r="O2165" t="s">
        <v>206</v>
      </c>
      <c r="P2165" s="2" t="s">
        <v>394</v>
      </c>
      <c r="Q2165">
        <v>2</v>
      </c>
      <c r="R2165" t="s">
        <v>391</v>
      </c>
      <c r="S2165" s="1">
        <f>electric_vehicles_dataset[[#This Row],[Units_Sold_2024]]*electric_vehicles_dataset[[#This Row],[Price_USD]]</f>
        <v>1737064889.6299999</v>
      </c>
      <c r="T2165">
        <v>4</v>
      </c>
      <c r="U2165">
        <v>17297</v>
      </c>
      <c r="V2165">
        <v>5</v>
      </c>
    </row>
    <row r="2166" spans="1:22" x14ac:dyDescent="0.35">
      <c r="A2166">
        <v>2165</v>
      </c>
      <c r="B2166" t="s">
        <v>68</v>
      </c>
      <c r="C2166" t="s">
        <v>289</v>
      </c>
      <c r="D2166">
        <v>2016</v>
      </c>
      <c r="E2166" t="s">
        <v>104</v>
      </c>
      <c r="F2166">
        <v>137.69999999999999</v>
      </c>
      <c r="G2166" t="s">
        <v>352</v>
      </c>
      <c r="H2166">
        <f>electric_vehicles_dataset[[#This Row],[Battery_Capacity_kWh]]/electric_vehicles_dataset[[#This Row],[Range_km]]</f>
        <v>0.34253731343283578</v>
      </c>
      <c r="I2166">
        <v>402</v>
      </c>
      <c r="J2166" t="s">
        <v>27</v>
      </c>
      <c r="K2166">
        <v>3</v>
      </c>
      <c r="L2166" s="1">
        <v>142423.23000000001</v>
      </c>
      <c r="M2166" s="1" t="str" cm="1">
        <f t="array" ref="M21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66" t="s">
        <v>43</v>
      </c>
      <c r="O2166" t="s">
        <v>182</v>
      </c>
      <c r="P2166" s="2" t="s">
        <v>394</v>
      </c>
      <c r="Q2166">
        <v>5</v>
      </c>
      <c r="R2166" t="s">
        <v>392</v>
      </c>
      <c r="S2166" s="1">
        <f>electric_vehicles_dataset[[#This Row],[Units_Sold_2024]]*electric_vehicles_dataset[[#This Row],[Price_USD]]</f>
        <v>1221706466.9400001</v>
      </c>
      <c r="T2166">
        <v>4</v>
      </c>
      <c r="U2166">
        <v>8578</v>
      </c>
      <c r="V2166">
        <v>5</v>
      </c>
    </row>
    <row r="2167" spans="1:22" x14ac:dyDescent="0.35">
      <c r="A2167">
        <v>2166</v>
      </c>
      <c r="B2167" t="s">
        <v>140</v>
      </c>
      <c r="C2167" t="s">
        <v>256</v>
      </c>
      <c r="D2167">
        <v>2021</v>
      </c>
      <c r="E2167" t="s">
        <v>58</v>
      </c>
      <c r="F2167">
        <v>107.8</v>
      </c>
      <c r="G2167" t="s">
        <v>361</v>
      </c>
      <c r="H2167">
        <f>electric_vehicles_dataset[[#This Row],[Battery_Capacity_kWh]]/electric_vehicles_dataset[[#This Row],[Range_km]]</f>
        <v>0.39487179487179486</v>
      </c>
      <c r="I2167">
        <v>273</v>
      </c>
      <c r="J2167" t="s">
        <v>76</v>
      </c>
      <c r="K2167">
        <v>10</v>
      </c>
      <c r="L2167" s="1">
        <v>121464.84</v>
      </c>
      <c r="M2167" s="1" t="str" cm="1">
        <f t="array" ref="M216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67" t="s">
        <v>246</v>
      </c>
      <c r="O2167" t="s">
        <v>354</v>
      </c>
      <c r="P2167" s="2" t="s">
        <v>394</v>
      </c>
      <c r="Q2167">
        <v>5</v>
      </c>
      <c r="R2167" t="s">
        <v>392</v>
      </c>
      <c r="S2167" s="1">
        <f>electric_vehicles_dataset[[#This Row],[Units_Sold_2024]]*electric_vehicles_dataset[[#This Row],[Price_USD]]</f>
        <v>121100445.47999999</v>
      </c>
      <c r="T2167">
        <v>4</v>
      </c>
      <c r="U2167">
        <v>997</v>
      </c>
      <c r="V2167">
        <v>5</v>
      </c>
    </row>
    <row r="2168" spans="1:22" x14ac:dyDescent="0.35">
      <c r="A2168">
        <v>2167</v>
      </c>
      <c r="B2168" t="s">
        <v>261</v>
      </c>
      <c r="C2168" t="s">
        <v>372</v>
      </c>
      <c r="D2168">
        <v>2025</v>
      </c>
      <c r="E2168" t="s">
        <v>133</v>
      </c>
      <c r="F2168">
        <v>57.5</v>
      </c>
      <c r="G2168" t="s">
        <v>348</v>
      </c>
      <c r="H2168">
        <f>electric_vehicles_dataset[[#This Row],[Battery_Capacity_kWh]]/electric_vehicles_dataset[[#This Row],[Range_km]]</f>
        <v>0.12392241379310345</v>
      </c>
      <c r="I2168">
        <v>464</v>
      </c>
      <c r="J2168" t="s">
        <v>54</v>
      </c>
      <c r="K2168">
        <v>1</v>
      </c>
      <c r="L2168" s="1">
        <v>140094</v>
      </c>
      <c r="M2168" s="1" t="str" cm="1">
        <f t="array" ref="M216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68" t="s">
        <v>301</v>
      </c>
      <c r="O2168" t="s">
        <v>236</v>
      </c>
      <c r="P2168" s="2" t="s">
        <v>394</v>
      </c>
      <c r="Q2168">
        <v>3</v>
      </c>
      <c r="R2168" t="s">
        <v>397</v>
      </c>
      <c r="S2168" s="1">
        <f>electric_vehicles_dataset[[#This Row],[Units_Sold_2024]]*electric_vehicles_dataset[[#This Row],[Price_USD]]</f>
        <v>2760412176</v>
      </c>
      <c r="T2168">
        <v>4</v>
      </c>
      <c r="U2168">
        <v>19704</v>
      </c>
      <c r="V2168">
        <v>5</v>
      </c>
    </row>
    <row r="2169" spans="1:22" x14ac:dyDescent="0.35">
      <c r="A2169">
        <v>2168</v>
      </c>
      <c r="B2169" t="s">
        <v>74</v>
      </c>
      <c r="C2169" t="s">
        <v>75</v>
      </c>
      <c r="D2169">
        <v>2020</v>
      </c>
      <c r="E2169" t="s">
        <v>26</v>
      </c>
      <c r="F2169">
        <v>63.2</v>
      </c>
      <c r="G2169" t="s">
        <v>351</v>
      </c>
      <c r="H2169">
        <f>electric_vehicles_dataset[[#This Row],[Battery_Capacity_kWh]]/electric_vehicles_dataset[[#This Row],[Range_km]]</f>
        <v>0.17506925207756233</v>
      </c>
      <c r="I2169">
        <v>361</v>
      </c>
      <c r="J2169" t="s">
        <v>364</v>
      </c>
      <c r="K2169">
        <v>10</v>
      </c>
      <c r="L2169" s="1">
        <v>90934.75</v>
      </c>
      <c r="M2169" s="1" t="str" cm="1">
        <f t="array" ref="M21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69" t="s">
        <v>66</v>
      </c>
      <c r="O2169" t="s">
        <v>150</v>
      </c>
      <c r="P2169" s="2" t="s">
        <v>389</v>
      </c>
      <c r="Q2169">
        <v>3</v>
      </c>
      <c r="R2169" t="s">
        <v>397</v>
      </c>
      <c r="S2169" s="1">
        <f>electric_vehicles_dataset[[#This Row],[Units_Sold_2024]]*electric_vehicles_dataset[[#This Row],[Price_USD]]</f>
        <v>1346834582.25</v>
      </c>
      <c r="T2169">
        <v>4</v>
      </c>
      <c r="U2169">
        <v>14811</v>
      </c>
      <c r="V2169">
        <v>5</v>
      </c>
    </row>
    <row r="2170" spans="1:22" x14ac:dyDescent="0.35">
      <c r="A2170">
        <v>2169</v>
      </c>
      <c r="B2170" t="s">
        <v>262</v>
      </c>
      <c r="C2170" t="s">
        <v>373</v>
      </c>
      <c r="D2170">
        <v>2019</v>
      </c>
      <c r="E2170" t="s">
        <v>104</v>
      </c>
      <c r="F2170">
        <v>94.7</v>
      </c>
      <c r="G2170" t="s">
        <v>350</v>
      </c>
      <c r="H2170">
        <f>electric_vehicles_dataset[[#This Row],[Battery_Capacity_kWh]]/electric_vehicles_dataset[[#This Row],[Range_km]]</f>
        <v>0.49322916666666666</v>
      </c>
      <c r="I2170">
        <v>192</v>
      </c>
      <c r="J2170" t="s">
        <v>149</v>
      </c>
      <c r="K2170">
        <v>4</v>
      </c>
      <c r="L2170" s="1">
        <v>114964.73</v>
      </c>
      <c r="M2170" s="1" t="str" cm="1">
        <f t="array" ref="M217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70" t="s">
        <v>131</v>
      </c>
      <c r="O2170" t="s">
        <v>124</v>
      </c>
      <c r="P2170" s="2" t="s">
        <v>389</v>
      </c>
      <c r="Q2170">
        <v>1</v>
      </c>
      <c r="R2170" t="s">
        <v>391</v>
      </c>
      <c r="S2170" s="1">
        <f>electric_vehicles_dataset[[#This Row],[Units_Sold_2024]]*electric_vehicles_dataset[[#This Row],[Price_USD]]</f>
        <v>1817707346.03</v>
      </c>
      <c r="T2170">
        <v>3</v>
      </c>
      <c r="U2170">
        <v>15811</v>
      </c>
      <c r="V2170">
        <v>5</v>
      </c>
    </row>
    <row r="2171" spans="1:22" x14ac:dyDescent="0.35">
      <c r="A2171">
        <v>2170</v>
      </c>
      <c r="B2171" t="s">
        <v>173</v>
      </c>
      <c r="C2171" t="s">
        <v>306</v>
      </c>
      <c r="D2171">
        <v>2015</v>
      </c>
      <c r="E2171" t="s">
        <v>84</v>
      </c>
      <c r="F2171">
        <v>84.1</v>
      </c>
      <c r="G2171" t="s">
        <v>350</v>
      </c>
      <c r="H2171">
        <f>electric_vehicles_dataset[[#This Row],[Battery_Capacity_kWh]]/electric_vehicles_dataset[[#This Row],[Range_km]]</f>
        <v>0.18164146868250539</v>
      </c>
      <c r="I2171">
        <v>463</v>
      </c>
      <c r="J2171" t="s">
        <v>54</v>
      </c>
      <c r="K2171">
        <v>11</v>
      </c>
      <c r="L2171" s="1">
        <v>137124.88</v>
      </c>
      <c r="M2171" s="1" t="str" cm="1">
        <f t="array" ref="M217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71" t="s">
        <v>160</v>
      </c>
      <c r="O2171" t="s">
        <v>265</v>
      </c>
      <c r="P2171" s="2" t="s">
        <v>389</v>
      </c>
      <c r="Q2171">
        <v>2</v>
      </c>
      <c r="R2171" t="s">
        <v>391</v>
      </c>
      <c r="S2171" s="1">
        <f>electric_vehicles_dataset[[#This Row],[Units_Sold_2024]]*electric_vehicles_dataset[[#This Row],[Price_USD]]</f>
        <v>1191340957.4400001</v>
      </c>
      <c r="T2171">
        <v>4</v>
      </c>
      <c r="U2171">
        <v>8688</v>
      </c>
      <c r="V2171">
        <v>5</v>
      </c>
    </row>
    <row r="2172" spans="1:22" x14ac:dyDescent="0.35">
      <c r="A2172">
        <v>2171</v>
      </c>
      <c r="B2172" t="s">
        <v>184</v>
      </c>
      <c r="C2172" t="s">
        <v>309</v>
      </c>
      <c r="D2172">
        <v>2021</v>
      </c>
      <c r="E2172" t="s">
        <v>101</v>
      </c>
      <c r="F2172">
        <v>45.7</v>
      </c>
      <c r="G2172" t="s">
        <v>348</v>
      </c>
      <c r="H2172">
        <f>electric_vehicles_dataset[[#This Row],[Battery_Capacity_kWh]]/electric_vehicles_dataset[[#This Row],[Range_km]]</f>
        <v>0.11778350515463919</v>
      </c>
      <c r="I2172">
        <v>388</v>
      </c>
      <c r="J2172" t="s">
        <v>38</v>
      </c>
      <c r="K2172">
        <v>10</v>
      </c>
      <c r="L2172" s="1">
        <v>109078.92</v>
      </c>
      <c r="M2172" s="1" t="str" cm="1">
        <f t="array" ref="M217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72" t="s">
        <v>214</v>
      </c>
      <c r="O2172" t="s">
        <v>147</v>
      </c>
      <c r="P2172" s="2" t="s">
        <v>396</v>
      </c>
      <c r="Q2172">
        <v>2</v>
      </c>
      <c r="R2172" t="s">
        <v>391</v>
      </c>
      <c r="S2172" s="1">
        <f>electric_vehicles_dataset[[#This Row],[Units_Sold_2024]]*electric_vehicles_dataset[[#This Row],[Price_USD]]</f>
        <v>603097348.67999995</v>
      </c>
      <c r="T2172">
        <v>3</v>
      </c>
      <c r="U2172">
        <v>5529</v>
      </c>
      <c r="V2172">
        <v>4</v>
      </c>
    </row>
    <row r="2173" spans="1:22" x14ac:dyDescent="0.35">
      <c r="A2173">
        <v>2172</v>
      </c>
      <c r="B2173" t="s">
        <v>222</v>
      </c>
      <c r="C2173" t="s">
        <v>295</v>
      </c>
      <c r="D2173">
        <v>2019</v>
      </c>
      <c r="E2173" t="s">
        <v>90</v>
      </c>
      <c r="F2173">
        <v>115.5</v>
      </c>
      <c r="G2173" t="s">
        <v>361</v>
      </c>
      <c r="H2173">
        <f>electric_vehicles_dataset[[#This Row],[Battery_Capacity_kWh]]/electric_vehicles_dataset[[#This Row],[Range_km]]</f>
        <v>1.05</v>
      </c>
      <c r="I2173">
        <v>110</v>
      </c>
      <c r="J2173" t="s">
        <v>34</v>
      </c>
      <c r="K2173">
        <v>4</v>
      </c>
      <c r="L2173" s="1">
        <v>123868.61</v>
      </c>
      <c r="M2173" s="1" t="str" cm="1">
        <f t="array" ref="M217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73" t="s">
        <v>168</v>
      </c>
      <c r="O2173" t="s">
        <v>44</v>
      </c>
      <c r="P2173" s="2" t="s">
        <v>389</v>
      </c>
      <c r="Q2173">
        <v>5</v>
      </c>
      <c r="R2173" t="s">
        <v>392</v>
      </c>
      <c r="S2173" s="1">
        <f>electric_vehicles_dataset[[#This Row],[Units_Sold_2024]]*electric_vehicles_dataset[[#This Row],[Price_USD]]</f>
        <v>1148757489.1400001</v>
      </c>
      <c r="T2173">
        <v>3</v>
      </c>
      <c r="U2173">
        <v>9274</v>
      </c>
      <c r="V2173">
        <v>4</v>
      </c>
    </row>
    <row r="2174" spans="1:22" x14ac:dyDescent="0.35">
      <c r="A2174">
        <v>2173</v>
      </c>
      <c r="B2174" t="s">
        <v>64</v>
      </c>
      <c r="C2174" t="s">
        <v>65</v>
      </c>
      <c r="D2174">
        <v>2019</v>
      </c>
      <c r="E2174" t="s">
        <v>58</v>
      </c>
      <c r="F2174">
        <v>84.5</v>
      </c>
      <c r="G2174" t="s">
        <v>350</v>
      </c>
      <c r="H2174">
        <f>electric_vehicles_dataset[[#This Row],[Battery_Capacity_kWh]]/electric_vehicles_dataset[[#This Row],[Range_km]]</f>
        <v>0.14695652173913043</v>
      </c>
      <c r="I2174">
        <v>575</v>
      </c>
      <c r="J2174" t="s">
        <v>27</v>
      </c>
      <c r="K2174">
        <v>1</v>
      </c>
      <c r="L2174" s="1">
        <v>63950.12</v>
      </c>
      <c r="M2174" s="1" t="str" cm="1">
        <f t="array" ref="M21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74" t="s">
        <v>165</v>
      </c>
      <c r="O2174" t="s">
        <v>50</v>
      </c>
      <c r="P2174" s="2" t="s">
        <v>396</v>
      </c>
      <c r="Q2174">
        <v>2</v>
      </c>
      <c r="R2174" t="s">
        <v>391</v>
      </c>
      <c r="S2174" s="1">
        <f>electric_vehicles_dataset[[#This Row],[Units_Sold_2024]]*electric_vehicles_dataset[[#This Row],[Price_USD]]</f>
        <v>761773829.44000006</v>
      </c>
      <c r="T2174">
        <v>4</v>
      </c>
      <c r="U2174">
        <v>11912</v>
      </c>
      <c r="V2174">
        <v>4</v>
      </c>
    </row>
    <row r="2175" spans="1:22" x14ac:dyDescent="0.35">
      <c r="A2175">
        <v>2174</v>
      </c>
      <c r="B2175" t="s">
        <v>74</v>
      </c>
      <c r="C2175" t="s">
        <v>75</v>
      </c>
      <c r="D2175">
        <v>2016</v>
      </c>
      <c r="E2175" t="s">
        <v>42</v>
      </c>
      <c r="F2175">
        <v>149</v>
      </c>
      <c r="G2175" t="s">
        <v>386</v>
      </c>
      <c r="H2175">
        <f>electric_vehicles_dataset[[#This Row],[Battery_Capacity_kWh]]/electric_vehicles_dataset[[#This Row],[Range_km]]</f>
        <v>0.25297113752122241</v>
      </c>
      <c r="I2175">
        <v>589</v>
      </c>
      <c r="J2175" t="s">
        <v>359</v>
      </c>
      <c r="K2175">
        <v>3</v>
      </c>
      <c r="L2175" s="1">
        <v>125319.84</v>
      </c>
      <c r="M2175" s="1" t="str" cm="1">
        <f t="array" ref="M21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75" t="s">
        <v>117</v>
      </c>
      <c r="O2175" t="s">
        <v>226</v>
      </c>
      <c r="P2175" s="2" t="s">
        <v>395</v>
      </c>
      <c r="Q2175">
        <v>3</v>
      </c>
      <c r="R2175" t="s">
        <v>397</v>
      </c>
      <c r="S2175" s="1">
        <f>electric_vehicles_dataset[[#This Row],[Units_Sold_2024]]*electric_vehicles_dataset[[#This Row],[Price_USD]]</f>
        <v>1462357212.96</v>
      </c>
      <c r="T2175">
        <v>4</v>
      </c>
      <c r="U2175">
        <v>11669</v>
      </c>
      <c r="V2175">
        <v>3</v>
      </c>
    </row>
    <row r="2176" spans="1:22" x14ac:dyDescent="0.35">
      <c r="A2176">
        <v>2175</v>
      </c>
      <c r="B2176" t="s">
        <v>234</v>
      </c>
      <c r="C2176" t="s">
        <v>235</v>
      </c>
      <c r="D2176">
        <v>2015</v>
      </c>
      <c r="E2176" t="s">
        <v>47</v>
      </c>
      <c r="F2176">
        <v>74.3</v>
      </c>
      <c r="G2176" t="s">
        <v>351</v>
      </c>
      <c r="H2176">
        <f>electric_vehicles_dataset[[#This Row],[Battery_Capacity_kWh]]/electric_vehicles_dataset[[#This Row],[Range_km]]</f>
        <v>0.15910064239828695</v>
      </c>
      <c r="I2176">
        <v>467</v>
      </c>
      <c r="J2176" t="s">
        <v>27</v>
      </c>
      <c r="K2176">
        <v>4</v>
      </c>
      <c r="L2176" s="1">
        <v>39534.92</v>
      </c>
      <c r="M2176" s="1" t="str" cm="1">
        <f t="array" ref="M217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76" t="s">
        <v>143</v>
      </c>
      <c r="O2176" t="s">
        <v>33</v>
      </c>
      <c r="P2176" s="2" t="s">
        <v>393</v>
      </c>
      <c r="Q2176">
        <v>5</v>
      </c>
      <c r="R2176" t="s">
        <v>392</v>
      </c>
      <c r="S2176" s="1">
        <f>electric_vehicles_dataset[[#This Row],[Units_Sold_2024]]*electric_vehicles_dataset[[#This Row],[Price_USD]]</f>
        <v>121095459.95999999</v>
      </c>
      <c r="T2176">
        <v>3</v>
      </c>
      <c r="U2176">
        <v>3063</v>
      </c>
      <c r="V2176">
        <v>5</v>
      </c>
    </row>
    <row r="2177" spans="1:22" x14ac:dyDescent="0.35">
      <c r="A2177">
        <v>2176</v>
      </c>
      <c r="B2177" t="s">
        <v>215</v>
      </c>
      <c r="C2177" t="s">
        <v>377</v>
      </c>
      <c r="D2177">
        <v>2024</v>
      </c>
      <c r="E2177" t="s">
        <v>31</v>
      </c>
      <c r="F2177">
        <v>49</v>
      </c>
      <c r="G2177" t="s">
        <v>348</v>
      </c>
      <c r="H2177">
        <f>electric_vehicles_dataset[[#This Row],[Battery_Capacity_kWh]]/electric_vehicles_dataset[[#This Row],[Range_km]]</f>
        <v>0.12760416666666666</v>
      </c>
      <c r="I2177">
        <v>384</v>
      </c>
      <c r="J2177" t="s">
        <v>34</v>
      </c>
      <c r="K2177">
        <v>11</v>
      </c>
      <c r="L2177" s="1">
        <v>123412.37</v>
      </c>
      <c r="M2177" s="1" t="str" cm="1">
        <f t="array" ref="M217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77" t="s">
        <v>217</v>
      </c>
      <c r="O2177" t="s">
        <v>78</v>
      </c>
      <c r="P2177" s="2" t="s">
        <v>389</v>
      </c>
      <c r="Q2177">
        <v>5</v>
      </c>
      <c r="R2177" t="s">
        <v>392</v>
      </c>
      <c r="S2177" s="1">
        <f>electric_vehicles_dataset[[#This Row],[Units_Sold_2024]]*electric_vehicles_dataset[[#This Row],[Price_USD]]</f>
        <v>2328297772.4200001</v>
      </c>
      <c r="T2177">
        <v>4</v>
      </c>
      <c r="U2177">
        <v>18866</v>
      </c>
      <c r="V2177">
        <v>5</v>
      </c>
    </row>
    <row r="2178" spans="1:22" x14ac:dyDescent="0.35">
      <c r="A2178">
        <v>2177</v>
      </c>
      <c r="B2178" t="s">
        <v>140</v>
      </c>
      <c r="C2178" t="s">
        <v>141</v>
      </c>
      <c r="D2178">
        <v>2025</v>
      </c>
      <c r="E2178" t="s">
        <v>73</v>
      </c>
      <c r="F2178">
        <v>23.2</v>
      </c>
      <c r="G2178" t="s">
        <v>357</v>
      </c>
      <c r="H2178">
        <f>electric_vehicles_dataset[[#This Row],[Battery_Capacity_kWh]]/electric_vehicles_dataset[[#This Row],[Range_km]]</f>
        <v>0.16</v>
      </c>
      <c r="I2178">
        <v>145</v>
      </c>
      <c r="J2178" t="s">
        <v>27</v>
      </c>
      <c r="K2178">
        <v>5</v>
      </c>
      <c r="L2178" s="1">
        <v>124806.63</v>
      </c>
      <c r="M2178" s="1" t="str" cm="1">
        <f t="array" ref="M21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78" t="s">
        <v>114</v>
      </c>
      <c r="O2178" t="s">
        <v>63</v>
      </c>
      <c r="P2178" s="2" t="s">
        <v>389</v>
      </c>
      <c r="Q2178">
        <v>0</v>
      </c>
      <c r="R2178" t="s">
        <v>390</v>
      </c>
      <c r="S2178" s="1">
        <f>electric_vehicles_dataset[[#This Row],[Units_Sold_2024]]*electric_vehicles_dataset[[#This Row],[Price_USD]]</f>
        <v>178723094.16</v>
      </c>
      <c r="T2178">
        <v>3</v>
      </c>
      <c r="U2178">
        <v>1432</v>
      </c>
      <c r="V2178">
        <v>3</v>
      </c>
    </row>
    <row r="2179" spans="1:22" x14ac:dyDescent="0.35">
      <c r="A2179">
        <v>2178</v>
      </c>
      <c r="B2179" t="s">
        <v>36</v>
      </c>
      <c r="C2179" t="s">
        <v>37</v>
      </c>
      <c r="D2179">
        <v>2015</v>
      </c>
      <c r="E2179" t="s">
        <v>84</v>
      </c>
      <c r="F2179">
        <v>99.4</v>
      </c>
      <c r="G2179" t="s">
        <v>350</v>
      </c>
      <c r="H2179">
        <f>electric_vehicles_dataset[[#This Row],[Battery_Capacity_kWh]]/electric_vehicles_dataset[[#This Row],[Range_km]]</f>
        <v>0.50456852791878171</v>
      </c>
      <c r="I2179">
        <v>197</v>
      </c>
      <c r="J2179" t="s">
        <v>353</v>
      </c>
      <c r="K2179">
        <v>9</v>
      </c>
      <c r="L2179" s="1">
        <v>142851.72</v>
      </c>
      <c r="M2179" s="1" t="str" cm="1">
        <f t="array" ref="M217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79" t="s">
        <v>196</v>
      </c>
      <c r="O2179" t="s">
        <v>78</v>
      </c>
      <c r="P2179" s="2" t="s">
        <v>389</v>
      </c>
      <c r="Q2179">
        <v>0</v>
      </c>
      <c r="R2179" t="s">
        <v>390</v>
      </c>
      <c r="S2179" s="1">
        <f>electric_vehicles_dataset[[#This Row],[Units_Sold_2024]]*electric_vehicles_dataset[[#This Row],[Price_USD]]</f>
        <v>1105529461.0799999</v>
      </c>
      <c r="T2179">
        <v>4</v>
      </c>
      <c r="U2179">
        <v>7739</v>
      </c>
      <c r="V2179">
        <v>5</v>
      </c>
    </row>
    <row r="2180" spans="1:22" x14ac:dyDescent="0.35">
      <c r="A2180">
        <v>2179</v>
      </c>
      <c r="B2180" t="s">
        <v>21</v>
      </c>
      <c r="C2180" t="s">
        <v>363</v>
      </c>
      <c r="D2180">
        <v>2023</v>
      </c>
      <c r="E2180" t="s">
        <v>101</v>
      </c>
      <c r="F2180">
        <v>142.69999999999999</v>
      </c>
      <c r="G2180" t="s">
        <v>386</v>
      </c>
      <c r="H2180">
        <f>electric_vehicles_dataset[[#This Row],[Battery_Capacity_kWh]]/electric_vehicles_dataset[[#This Row],[Range_km]]</f>
        <v>0.24310051107325381</v>
      </c>
      <c r="I2180">
        <v>587</v>
      </c>
      <c r="J2180" t="s">
        <v>364</v>
      </c>
      <c r="K2180">
        <v>7</v>
      </c>
      <c r="L2180" s="1">
        <v>103792.59</v>
      </c>
      <c r="M2180" s="1" t="str" cm="1">
        <f t="array" ref="M218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80" t="s">
        <v>212</v>
      </c>
      <c r="O2180" t="s">
        <v>111</v>
      </c>
      <c r="P2180" s="2" t="s">
        <v>389</v>
      </c>
      <c r="Q2180">
        <v>3</v>
      </c>
      <c r="R2180" t="s">
        <v>397</v>
      </c>
      <c r="S2180" s="1">
        <f>electric_vehicles_dataset[[#This Row],[Units_Sold_2024]]*electric_vehicles_dataset[[#This Row],[Price_USD]]</f>
        <v>1539970657.8299999</v>
      </c>
      <c r="T2180">
        <v>4</v>
      </c>
      <c r="U2180">
        <v>14837</v>
      </c>
      <c r="V2180">
        <v>4</v>
      </c>
    </row>
    <row r="2181" spans="1:22" x14ac:dyDescent="0.35">
      <c r="A2181">
        <v>2180</v>
      </c>
      <c r="B2181" t="s">
        <v>36</v>
      </c>
      <c r="C2181" t="s">
        <v>317</v>
      </c>
      <c r="D2181">
        <v>2019</v>
      </c>
      <c r="E2181" t="s">
        <v>53</v>
      </c>
      <c r="F2181">
        <v>129.6</v>
      </c>
      <c r="G2181" t="s">
        <v>352</v>
      </c>
      <c r="H2181">
        <f>electric_vehicles_dataset[[#This Row],[Battery_Capacity_kWh]]/electric_vehicles_dataset[[#This Row],[Range_km]]</f>
        <v>0.7668639053254438</v>
      </c>
      <c r="I2181">
        <v>169</v>
      </c>
      <c r="J2181" t="s">
        <v>76</v>
      </c>
      <c r="K2181">
        <v>7</v>
      </c>
      <c r="L2181" s="1">
        <v>65877.320000000007</v>
      </c>
      <c r="M2181" s="1" t="str" cm="1">
        <f t="array" ref="M218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81" t="s">
        <v>35</v>
      </c>
      <c r="O2181" t="s">
        <v>20</v>
      </c>
      <c r="P2181" s="2" t="s">
        <v>389</v>
      </c>
      <c r="Q2181">
        <v>1</v>
      </c>
      <c r="R2181" t="s">
        <v>391</v>
      </c>
      <c r="S2181" s="1">
        <f>electric_vehicles_dataset[[#This Row],[Units_Sold_2024]]*electric_vehicles_dataset[[#This Row],[Price_USD]]</f>
        <v>1037699544.6400001</v>
      </c>
      <c r="T2181">
        <v>4</v>
      </c>
      <c r="U2181">
        <v>15752</v>
      </c>
      <c r="V2181">
        <v>4</v>
      </c>
    </row>
    <row r="2182" spans="1:22" x14ac:dyDescent="0.35">
      <c r="A2182">
        <v>2181</v>
      </c>
      <c r="B2182" t="s">
        <v>153</v>
      </c>
      <c r="C2182" t="s">
        <v>310</v>
      </c>
      <c r="D2182">
        <v>2019</v>
      </c>
      <c r="E2182" t="s">
        <v>133</v>
      </c>
      <c r="F2182">
        <v>130.30000000000001</v>
      </c>
      <c r="G2182" t="s">
        <v>352</v>
      </c>
      <c r="H2182">
        <f>electric_vehicles_dataset[[#This Row],[Battery_Capacity_kWh]]/electric_vehicles_dataset[[#This Row],[Range_km]]</f>
        <v>0.56406926406926416</v>
      </c>
      <c r="I2182">
        <v>231</v>
      </c>
      <c r="J2182" t="s">
        <v>345</v>
      </c>
      <c r="K2182">
        <v>8</v>
      </c>
      <c r="L2182" s="1">
        <v>53294.93</v>
      </c>
      <c r="M2182" s="1" t="str" cm="1">
        <f t="array" ref="M218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82" t="s">
        <v>106</v>
      </c>
      <c r="O2182" t="s">
        <v>23</v>
      </c>
      <c r="P2182" s="2" t="s">
        <v>389</v>
      </c>
      <c r="Q2182">
        <v>4</v>
      </c>
      <c r="R2182" t="s">
        <v>392</v>
      </c>
      <c r="S2182" s="1">
        <f>electric_vehicles_dataset[[#This Row],[Units_Sold_2024]]*electric_vehicles_dataset[[#This Row],[Price_USD]]</f>
        <v>1037119337.8</v>
      </c>
      <c r="T2182">
        <v>4</v>
      </c>
      <c r="U2182">
        <v>19460</v>
      </c>
      <c r="V2182">
        <v>5</v>
      </c>
    </row>
    <row r="2183" spans="1:22" x14ac:dyDescent="0.35">
      <c r="A2183">
        <v>2182</v>
      </c>
      <c r="B2183" t="s">
        <v>56</v>
      </c>
      <c r="C2183" t="s">
        <v>57</v>
      </c>
      <c r="D2183">
        <v>2025</v>
      </c>
      <c r="E2183" t="s">
        <v>17</v>
      </c>
      <c r="F2183">
        <v>91.5</v>
      </c>
      <c r="G2183" t="s">
        <v>350</v>
      </c>
      <c r="H2183">
        <f>electric_vehicles_dataset[[#This Row],[Battery_Capacity_kWh]]/electric_vehicles_dataset[[#This Row],[Range_km]]</f>
        <v>0.27981651376146788</v>
      </c>
      <c r="I2183">
        <v>327</v>
      </c>
      <c r="J2183" t="s">
        <v>54</v>
      </c>
      <c r="K2183">
        <v>4</v>
      </c>
      <c r="L2183" s="1">
        <v>97977.4</v>
      </c>
      <c r="M2183" s="1" t="str" cm="1">
        <f t="array" ref="M218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83" t="s">
        <v>127</v>
      </c>
      <c r="O2183" t="s">
        <v>110</v>
      </c>
      <c r="P2183" s="2" t="s">
        <v>394</v>
      </c>
      <c r="Q2183">
        <v>5</v>
      </c>
      <c r="R2183" t="s">
        <v>392</v>
      </c>
      <c r="S2183" s="1">
        <f>electric_vehicles_dataset[[#This Row],[Units_Sold_2024]]*electric_vehicles_dataset[[#This Row],[Price_USD]]</f>
        <v>1232849624.1999998</v>
      </c>
      <c r="T2183">
        <v>4</v>
      </c>
      <c r="U2183">
        <v>12583</v>
      </c>
      <c r="V2183">
        <v>5</v>
      </c>
    </row>
    <row r="2184" spans="1:22" x14ac:dyDescent="0.35">
      <c r="A2184">
        <v>2183</v>
      </c>
      <c r="B2184" t="s">
        <v>192</v>
      </c>
      <c r="C2184" t="s">
        <v>366</v>
      </c>
      <c r="D2184">
        <v>2024</v>
      </c>
      <c r="E2184" t="s">
        <v>17</v>
      </c>
      <c r="F2184">
        <v>63.5</v>
      </c>
      <c r="G2184" t="s">
        <v>351</v>
      </c>
      <c r="H2184">
        <f>electric_vehicles_dataset[[#This Row],[Battery_Capacity_kWh]]/electric_vehicles_dataset[[#This Row],[Range_km]]</f>
        <v>0.43197278911564624</v>
      </c>
      <c r="I2184">
        <v>147</v>
      </c>
      <c r="J2184" t="s">
        <v>38</v>
      </c>
      <c r="K2184">
        <v>4</v>
      </c>
      <c r="L2184" s="1">
        <v>82459.490000000005</v>
      </c>
      <c r="M2184" s="1" t="str" cm="1">
        <f t="array" ref="M218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84" t="s">
        <v>127</v>
      </c>
      <c r="O2184" t="s">
        <v>44</v>
      </c>
      <c r="P2184" s="2" t="s">
        <v>389</v>
      </c>
      <c r="Q2184">
        <v>2</v>
      </c>
      <c r="R2184" t="s">
        <v>391</v>
      </c>
      <c r="S2184" s="1">
        <f>electric_vehicles_dataset[[#This Row],[Units_Sold_2024]]*electric_vehicles_dataset[[#This Row],[Price_USD]]</f>
        <v>1576130691.8600001</v>
      </c>
      <c r="T2184">
        <v>4</v>
      </c>
      <c r="U2184">
        <v>19114</v>
      </c>
      <c r="V2184">
        <v>3</v>
      </c>
    </row>
    <row r="2185" spans="1:22" x14ac:dyDescent="0.35">
      <c r="A2185">
        <v>2184</v>
      </c>
      <c r="B2185" t="s">
        <v>21</v>
      </c>
      <c r="C2185" t="s">
        <v>363</v>
      </c>
      <c r="D2185">
        <v>2019</v>
      </c>
      <c r="E2185" t="s">
        <v>183</v>
      </c>
      <c r="F2185">
        <v>144.19999999999999</v>
      </c>
      <c r="G2185" t="s">
        <v>386</v>
      </c>
      <c r="H2185">
        <f>electric_vehicles_dataset[[#This Row],[Battery_Capacity_kWh]]/electric_vehicles_dataset[[#This Row],[Range_km]]</f>
        <v>0.48389261744966439</v>
      </c>
      <c r="I2185">
        <v>298</v>
      </c>
      <c r="J2185" t="s">
        <v>34</v>
      </c>
      <c r="K2185">
        <v>5</v>
      </c>
      <c r="L2185" s="1">
        <v>149519.96</v>
      </c>
      <c r="M2185" s="1" t="str" cm="1">
        <f t="array" ref="M218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85" t="s">
        <v>212</v>
      </c>
      <c r="O2185" t="s">
        <v>92</v>
      </c>
      <c r="P2185" s="2" t="s">
        <v>394</v>
      </c>
      <c r="Q2185">
        <v>0</v>
      </c>
      <c r="R2185" t="s">
        <v>390</v>
      </c>
      <c r="S2185" s="1">
        <f>electric_vehicles_dataset[[#This Row],[Units_Sold_2024]]*electric_vehicles_dataset[[#This Row],[Price_USD]]</f>
        <v>2824731084.3199997</v>
      </c>
      <c r="T2185">
        <v>3</v>
      </c>
      <c r="U2185">
        <v>18892</v>
      </c>
      <c r="V2185">
        <v>3</v>
      </c>
    </row>
    <row r="2186" spans="1:22" x14ac:dyDescent="0.35">
      <c r="A2186">
        <v>2185</v>
      </c>
      <c r="B2186" t="s">
        <v>87</v>
      </c>
      <c r="C2186" t="s">
        <v>191</v>
      </c>
      <c r="D2186">
        <v>2019</v>
      </c>
      <c r="E2186" t="s">
        <v>42</v>
      </c>
      <c r="F2186">
        <v>92.8</v>
      </c>
      <c r="G2186" t="s">
        <v>350</v>
      </c>
      <c r="H2186">
        <f>electric_vehicles_dataset[[#This Row],[Battery_Capacity_kWh]]/electric_vehicles_dataset[[#This Row],[Range_km]]</f>
        <v>0.54588235294117649</v>
      </c>
      <c r="I2186">
        <v>170</v>
      </c>
      <c r="J2186" t="s">
        <v>85</v>
      </c>
      <c r="K2186">
        <v>11</v>
      </c>
      <c r="L2186" s="1">
        <v>57186.77</v>
      </c>
      <c r="M2186" s="1" t="str" cm="1">
        <f t="array" ref="M218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86" t="s">
        <v>205</v>
      </c>
      <c r="O2186" t="s">
        <v>159</v>
      </c>
      <c r="P2186" s="2" t="s">
        <v>389</v>
      </c>
      <c r="Q2186">
        <v>4</v>
      </c>
      <c r="R2186" t="s">
        <v>392</v>
      </c>
      <c r="S2186" s="1">
        <f>electric_vehicles_dataset[[#This Row],[Units_Sold_2024]]*electric_vehicles_dataset[[#This Row],[Price_USD]]</f>
        <v>724785122.9799999</v>
      </c>
      <c r="T2186">
        <v>4</v>
      </c>
      <c r="U2186">
        <v>12674</v>
      </c>
      <c r="V2186">
        <v>5</v>
      </c>
    </row>
    <row r="2187" spans="1:22" x14ac:dyDescent="0.35">
      <c r="A2187">
        <v>2186</v>
      </c>
      <c r="B2187" t="s">
        <v>215</v>
      </c>
      <c r="C2187" t="s">
        <v>216</v>
      </c>
      <c r="D2187">
        <v>2018</v>
      </c>
      <c r="E2187" t="s">
        <v>47</v>
      </c>
      <c r="F2187">
        <v>73.8</v>
      </c>
      <c r="G2187" t="s">
        <v>351</v>
      </c>
      <c r="H2187">
        <f>electric_vehicles_dataset[[#This Row],[Battery_Capacity_kWh]]/electric_vehicles_dataset[[#This Row],[Range_km]]</f>
        <v>0.12947368421052632</v>
      </c>
      <c r="I2187">
        <v>570</v>
      </c>
      <c r="J2187" t="s">
        <v>54</v>
      </c>
      <c r="K2187">
        <v>9</v>
      </c>
      <c r="L2187" s="1">
        <v>148723.04</v>
      </c>
      <c r="M2187" s="1" t="str" cm="1">
        <f t="array" ref="M218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87" t="s">
        <v>146</v>
      </c>
      <c r="O2187" t="s">
        <v>230</v>
      </c>
      <c r="P2187" s="2" t="s">
        <v>389</v>
      </c>
      <c r="Q2187">
        <v>0</v>
      </c>
      <c r="R2187" t="s">
        <v>390</v>
      </c>
      <c r="S2187" s="1">
        <f>electric_vehicles_dataset[[#This Row],[Units_Sold_2024]]*electric_vehicles_dataset[[#This Row],[Price_USD]]</f>
        <v>2846558985.6000004</v>
      </c>
      <c r="T2187">
        <v>4</v>
      </c>
      <c r="U2187">
        <v>19140</v>
      </c>
      <c r="V2187">
        <v>4</v>
      </c>
    </row>
    <row r="2188" spans="1:22" x14ac:dyDescent="0.35">
      <c r="A2188">
        <v>2187</v>
      </c>
      <c r="B2188" t="s">
        <v>94</v>
      </c>
      <c r="C2188" t="s">
        <v>294</v>
      </c>
      <c r="D2188">
        <v>2025</v>
      </c>
      <c r="E2188" t="s">
        <v>183</v>
      </c>
      <c r="F2188">
        <v>78.400000000000006</v>
      </c>
      <c r="G2188" t="s">
        <v>351</v>
      </c>
      <c r="H2188">
        <f>electric_vehicles_dataset[[#This Row],[Battery_Capacity_kWh]]/electric_vehicles_dataset[[#This Row],[Range_km]]</f>
        <v>0.25789473684210529</v>
      </c>
      <c r="I2188">
        <v>304</v>
      </c>
      <c r="J2188" t="s">
        <v>149</v>
      </c>
      <c r="K2188">
        <v>10</v>
      </c>
      <c r="L2188" s="1">
        <v>85244.97</v>
      </c>
      <c r="M2188" s="1" t="str" cm="1">
        <f t="array" ref="M218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88" t="s">
        <v>28</v>
      </c>
      <c r="O2188" t="s">
        <v>354</v>
      </c>
      <c r="P2188" s="2" t="s">
        <v>394</v>
      </c>
      <c r="Q2188">
        <v>0</v>
      </c>
      <c r="R2188" t="s">
        <v>390</v>
      </c>
      <c r="S2188" s="1">
        <f>electric_vehicles_dataset[[#This Row],[Units_Sold_2024]]*electric_vehicles_dataset[[#This Row],[Price_USD]]</f>
        <v>368002535.49000001</v>
      </c>
      <c r="T2188">
        <v>5</v>
      </c>
      <c r="U2188">
        <v>4317</v>
      </c>
      <c r="V2188">
        <v>4</v>
      </c>
    </row>
    <row r="2189" spans="1:22" x14ac:dyDescent="0.35">
      <c r="A2189">
        <v>2188</v>
      </c>
      <c r="B2189" t="s">
        <v>16</v>
      </c>
      <c r="C2189" t="s">
        <v>347</v>
      </c>
      <c r="D2189">
        <v>2025</v>
      </c>
      <c r="E2189" t="s">
        <v>42</v>
      </c>
      <c r="F2189">
        <v>53.9</v>
      </c>
      <c r="G2189" t="s">
        <v>348</v>
      </c>
      <c r="H2189">
        <f>electric_vehicles_dataset[[#This Row],[Battery_Capacity_kWh]]/electric_vehicles_dataset[[#This Row],[Range_km]]</f>
        <v>0.23434782608695651</v>
      </c>
      <c r="I2189">
        <v>230</v>
      </c>
      <c r="J2189" t="s">
        <v>105</v>
      </c>
      <c r="K2189">
        <v>3</v>
      </c>
      <c r="L2189" s="1">
        <v>79707.73</v>
      </c>
      <c r="M2189" s="1" t="str" cm="1">
        <f t="array" ref="M21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89" t="s">
        <v>102</v>
      </c>
      <c r="O2189" t="s">
        <v>23</v>
      </c>
      <c r="P2189" s="2" t="s">
        <v>389</v>
      </c>
      <c r="Q2189">
        <v>2</v>
      </c>
      <c r="R2189" t="s">
        <v>391</v>
      </c>
      <c r="S2189" s="1">
        <f>electric_vehicles_dataset[[#This Row],[Units_Sold_2024]]*electric_vehicles_dataset[[#This Row],[Price_USD]]</f>
        <v>927479146.27999997</v>
      </c>
      <c r="T2189">
        <v>4</v>
      </c>
      <c r="U2189">
        <v>11636</v>
      </c>
      <c r="V2189">
        <v>3</v>
      </c>
    </row>
    <row r="2190" spans="1:22" x14ac:dyDescent="0.35">
      <c r="A2190">
        <v>2189</v>
      </c>
      <c r="B2190" t="s">
        <v>180</v>
      </c>
      <c r="C2190" t="s">
        <v>181</v>
      </c>
      <c r="D2190">
        <v>2017</v>
      </c>
      <c r="E2190" t="s">
        <v>84</v>
      </c>
      <c r="F2190">
        <v>28</v>
      </c>
      <c r="G2190" t="s">
        <v>357</v>
      </c>
      <c r="H2190">
        <f>electric_vehicles_dataset[[#This Row],[Battery_Capacity_kWh]]/electric_vehicles_dataset[[#This Row],[Range_km]]</f>
        <v>0.15819209039548024</v>
      </c>
      <c r="I2190">
        <v>177</v>
      </c>
      <c r="J2190" t="s">
        <v>364</v>
      </c>
      <c r="K2190">
        <v>12</v>
      </c>
      <c r="L2190" s="1">
        <v>91212.19</v>
      </c>
      <c r="M2190" s="1" t="str" cm="1">
        <f t="array" ref="M219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90" t="s">
        <v>172</v>
      </c>
      <c r="O2190" t="s">
        <v>161</v>
      </c>
      <c r="P2190" s="2" t="s">
        <v>389</v>
      </c>
      <c r="Q2190">
        <v>0</v>
      </c>
      <c r="R2190" t="s">
        <v>390</v>
      </c>
      <c r="S2190" s="1">
        <f>electric_vehicles_dataset[[#This Row],[Units_Sold_2024]]*electric_vehicles_dataset[[#This Row],[Price_USD]]</f>
        <v>973690128.25</v>
      </c>
      <c r="T2190">
        <v>3</v>
      </c>
      <c r="U2190">
        <v>10675</v>
      </c>
      <c r="V2190">
        <v>3</v>
      </c>
    </row>
    <row r="2191" spans="1:22" x14ac:dyDescent="0.35">
      <c r="A2191">
        <v>2190</v>
      </c>
      <c r="B2191" t="s">
        <v>16</v>
      </c>
      <c r="C2191" t="s">
        <v>347</v>
      </c>
      <c r="D2191">
        <v>2024</v>
      </c>
      <c r="E2191" t="s">
        <v>47</v>
      </c>
      <c r="F2191">
        <v>65.2</v>
      </c>
      <c r="G2191" t="s">
        <v>351</v>
      </c>
      <c r="H2191">
        <f>electric_vehicles_dataset[[#This Row],[Battery_Capacity_kWh]]/electric_vehicles_dataset[[#This Row],[Range_km]]</f>
        <v>0.11183533447684392</v>
      </c>
      <c r="I2191">
        <v>583</v>
      </c>
      <c r="J2191" t="s">
        <v>76</v>
      </c>
      <c r="K2191">
        <v>10</v>
      </c>
      <c r="L2191" s="1">
        <v>79061.75</v>
      </c>
      <c r="M2191" s="1" t="str" cm="1">
        <f t="array" ref="M219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91" t="s">
        <v>238</v>
      </c>
      <c r="O2191" t="s">
        <v>93</v>
      </c>
      <c r="P2191" s="2" t="s">
        <v>389</v>
      </c>
      <c r="Q2191">
        <v>2</v>
      </c>
      <c r="R2191" t="s">
        <v>391</v>
      </c>
      <c r="S2191" s="1">
        <f>electric_vehicles_dataset[[#This Row],[Units_Sold_2024]]*electric_vehicles_dataset[[#This Row],[Price_USD]]</f>
        <v>1407773520.5</v>
      </c>
      <c r="T2191">
        <v>3</v>
      </c>
      <c r="U2191">
        <v>17806</v>
      </c>
      <c r="V2191">
        <v>3</v>
      </c>
    </row>
    <row r="2192" spans="1:22" x14ac:dyDescent="0.35">
      <c r="A2192">
        <v>2191</v>
      </c>
      <c r="B2192" t="s">
        <v>16</v>
      </c>
      <c r="C2192" t="s">
        <v>347</v>
      </c>
      <c r="D2192">
        <v>2018</v>
      </c>
      <c r="E2192" t="s">
        <v>53</v>
      </c>
      <c r="F2192">
        <v>44.1</v>
      </c>
      <c r="G2192" t="s">
        <v>348</v>
      </c>
      <c r="H2192">
        <f>electric_vehicles_dataset[[#This Row],[Battery_Capacity_kWh]]/electric_vehicles_dataset[[#This Row],[Range_km]]</f>
        <v>0.22615384615384615</v>
      </c>
      <c r="I2192">
        <v>195</v>
      </c>
      <c r="J2192" t="s">
        <v>356</v>
      </c>
      <c r="K2192">
        <v>11</v>
      </c>
      <c r="L2192" s="1">
        <v>79290.789999999994</v>
      </c>
      <c r="M2192" s="1" t="str" cm="1">
        <f t="array" ref="M219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92" t="s">
        <v>205</v>
      </c>
      <c r="O2192" t="s">
        <v>86</v>
      </c>
      <c r="P2192" s="2" t="s">
        <v>389</v>
      </c>
      <c r="Q2192">
        <v>5</v>
      </c>
      <c r="R2192" t="s">
        <v>392</v>
      </c>
      <c r="S2192" s="1">
        <f>electric_vehicles_dataset[[#This Row],[Units_Sold_2024]]*electric_vehicles_dataset[[#This Row],[Price_USD]]</f>
        <v>334765715.38</v>
      </c>
      <c r="T2192">
        <v>4</v>
      </c>
      <c r="U2192">
        <v>4222</v>
      </c>
      <c r="V2192">
        <v>3</v>
      </c>
    </row>
    <row r="2193" spans="1:22" x14ac:dyDescent="0.35">
      <c r="A2193">
        <v>2192</v>
      </c>
      <c r="B2193" t="s">
        <v>192</v>
      </c>
      <c r="C2193" t="s">
        <v>366</v>
      </c>
      <c r="D2193">
        <v>2016</v>
      </c>
      <c r="E2193" t="s">
        <v>84</v>
      </c>
      <c r="F2193">
        <v>72.3</v>
      </c>
      <c r="G2193" t="s">
        <v>351</v>
      </c>
      <c r="H2193">
        <f>electric_vehicles_dataset[[#This Row],[Battery_Capacity_kWh]]/electric_vehicles_dataset[[#This Row],[Range_km]]</f>
        <v>0.12661996497373029</v>
      </c>
      <c r="I2193">
        <v>571</v>
      </c>
      <c r="J2193" t="s">
        <v>364</v>
      </c>
      <c r="K2193">
        <v>9</v>
      </c>
      <c r="L2193" s="1">
        <v>88927.87</v>
      </c>
      <c r="M2193" s="1" t="str" cm="1">
        <f t="array" ref="M219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93" t="s">
        <v>210</v>
      </c>
      <c r="O2193" t="s">
        <v>33</v>
      </c>
      <c r="P2193" s="2" t="s">
        <v>393</v>
      </c>
      <c r="Q2193">
        <v>4</v>
      </c>
      <c r="R2193" t="s">
        <v>392</v>
      </c>
      <c r="S2193" s="1">
        <f>electric_vehicles_dataset[[#This Row],[Units_Sold_2024]]*electric_vehicles_dataset[[#This Row],[Price_USD]]</f>
        <v>860999637.33999991</v>
      </c>
      <c r="T2193">
        <v>4</v>
      </c>
      <c r="U2193">
        <v>9682</v>
      </c>
      <c r="V2193">
        <v>5</v>
      </c>
    </row>
    <row r="2194" spans="1:22" x14ac:dyDescent="0.35">
      <c r="A2194">
        <v>2193</v>
      </c>
      <c r="B2194" t="s">
        <v>193</v>
      </c>
      <c r="C2194" t="s">
        <v>312</v>
      </c>
      <c r="D2194">
        <v>2020</v>
      </c>
      <c r="E2194" t="s">
        <v>90</v>
      </c>
      <c r="F2194">
        <v>97.8</v>
      </c>
      <c r="G2194" t="s">
        <v>350</v>
      </c>
      <c r="H2194">
        <f>electric_vehicles_dataset[[#This Row],[Battery_Capacity_kWh]]/electric_vehicles_dataset[[#This Row],[Range_km]]</f>
        <v>0.36222222222222222</v>
      </c>
      <c r="I2194">
        <v>270</v>
      </c>
      <c r="J2194" t="s">
        <v>18</v>
      </c>
      <c r="K2194">
        <v>6</v>
      </c>
      <c r="L2194" s="1">
        <v>114394.86</v>
      </c>
      <c r="M2194" s="1" t="str" cm="1">
        <f t="array" ref="M21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94" t="s">
        <v>91</v>
      </c>
      <c r="O2194" t="s">
        <v>118</v>
      </c>
      <c r="P2194" s="2" t="s">
        <v>389</v>
      </c>
      <c r="Q2194">
        <v>0</v>
      </c>
      <c r="R2194" t="s">
        <v>390</v>
      </c>
      <c r="S2194" s="1">
        <f>electric_vehicles_dataset[[#This Row],[Units_Sold_2024]]*electric_vehicles_dataset[[#This Row],[Price_USD]]</f>
        <v>1186503487.9200001</v>
      </c>
      <c r="T2194">
        <v>3</v>
      </c>
      <c r="U2194">
        <v>10372</v>
      </c>
      <c r="V2194">
        <v>5</v>
      </c>
    </row>
    <row r="2195" spans="1:22" x14ac:dyDescent="0.35">
      <c r="A2195">
        <v>2194</v>
      </c>
      <c r="B2195" t="s">
        <v>241</v>
      </c>
      <c r="C2195" t="s">
        <v>286</v>
      </c>
      <c r="D2195">
        <v>2015</v>
      </c>
      <c r="E2195" t="s">
        <v>133</v>
      </c>
      <c r="F2195">
        <v>142.5</v>
      </c>
      <c r="G2195" t="s">
        <v>386</v>
      </c>
      <c r="H2195">
        <f>electric_vehicles_dataset[[#This Row],[Battery_Capacity_kWh]]/electric_vehicles_dataset[[#This Row],[Range_km]]</f>
        <v>1.383495145631068</v>
      </c>
      <c r="I2195">
        <v>103</v>
      </c>
      <c r="J2195" t="s">
        <v>356</v>
      </c>
      <c r="K2195">
        <v>6</v>
      </c>
      <c r="L2195" s="1">
        <v>137621.99</v>
      </c>
      <c r="M2195" s="1" t="str" cm="1">
        <f t="array" ref="M219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95" t="s">
        <v>254</v>
      </c>
      <c r="O2195" t="s">
        <v>33</v>
      </c>
      <c r="P2195" s="2" t="s">
        <v>393</v>
      </c>
      <c r="Q2195">
        <v>0</v>
      </c>
      <c r="R2195" t="s">
        <v>390</v>
      </c>
      <c r="S2195" s="1">
        <f>electric_vehicles_dataset[[#This Row],[Units_Sold_2024]]*electric_vehicles_dataset[[#This Row],[Price_USD]]</f>
        <v>2684729780.9199996</v>
      </c>
      <c r="T2195">
        <v>4</v>
      </c>
      <c r="U2195">
        <v>19508</v>
      </c>
      <c r="V2195">
        <v>3</v>
      </c>
    </row>
    <row r="2196" spans="1:22" x14ac:dyDescent="0.35">
      <c r="A2196">
        <v>2195</v>
      </c>
      <c r="B2196" t="s">
        <v>60</v>
      </c>
      <c r="C2196" t="s">
        <v>322</v>
      </c>
      <c r="D2196">
        <v>2021</v>
      </c>
      <c r="E2196" t="s">
        <v>47</v>
      </c>
      <c r="F2196">
        <v>96.4</v>
      </c>
      <c r="G2196" t="s">
        <v>350</v>
      </c>
      <c r="H2196">
        <f>electric_vehicles_dataset[[#This Row],[Battery_Capacity_kWh]]/electric_vehicles_dataset[[#This Row],[Range_km]]</f>
        <v>0.39028340080971663</v>
      </c>
      <c r="I2196">
        <v>247</v>
      </c>
      <c r="J2196" t="s">
        <v>38</v>
      </c>
      <c r="K2196">
        <v>10</v>
      </c>
      <c r="L2196" s="1">
        <v>54139.95</v>
      </c>
      <c r="M2196" s="1" t="str" cm="1">
        <f t="array" ref="M219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196" t="s">
        <v>32</v>
      </c>
      <c r="O2196" t="s">
        <v>147</v>
      </c>
      <c r="P2196" s="2" t="s">
        <v>396</v>
      </c>
      <c r="Q2196">
        <v>3</v>
      </c>
      <c r="R2196" t="s">
        <v>397</v>
      </c>
      <c r="S2196" s="1">
        <f>electric_vehicles_dataset[[#This Row],[Units_Sold_2024]]*electric_vehicles_dataset[[#This Row],[Price_USD]]</f>
        <v>502797715.64999998</v>
      </c>
      <c r="T2196">
        <v>3</v>
      </c>
      <c r="U2196">
        <v>9287</v>
      </c>
      <c r="V2196">
        <v>3</v>
      </c>
    </row>
    <row r="2197" spans="1:22" x14ac:dyDescent="0.35">
      <c r="A2197">
        <v>2196</v>
      </c>
      <c r="B2197" t="s">
        <v>200</v>
      </c>
      <c r="C2197" t="s">
        <v>338</v>
      </c>
      <c r="D2197">
        <v>2022</v>
      </c>
      <c r="E2197" t="s">
        <v>133</v>
      </c>
      <c r="F2197">
        <v>52.4</v>
      </c>
      <c r="G2197" t="s">
        <v>348</v>
      </c>
      <c r="H2197">
        <f>electric_vehicles_dataset[[#This Row],[Battery_Capacity_kWh]]/electric_vehicles_dataset[[#This Row],[Range_km]]</f>
        <v>0.36388888888888887</v>
      </c>
      <c r="I2197">
        <v>144</v>
      </c>
      <c r="J2197" t="s">
        <v>85</v>
      </c>
      <c r="K2197">
        <v>5</v>
      </c>
      <c r="L2197" s="1">
        <v>79348.02</v>
      </c>
      <c r="M2197" s="1" t="str" cm="1">
        <f t="array" ref="M219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97" t="s">
        <v>253</v>
      </c>
      <c r="O2197" t="s">
        <v>95</v>
      </c>
      <c r="P2197" s="2" t="s">
        <v>394</v>
      </c>
      <c r="Q2197">
        <v>1</v>
      </c>
      <c r="R2197" t="s">
        <v>391</v>
      </c>
      <c r="S2197" s="1">
        <f>electric_vehicles_dataset[[#This Row],[Units_Sold_2024]]*electric_vehicles_dataset[[#This Row],[Price_USD]]</f>
        <v>883381506.66000009</v>
      </c>
      <c r="T2197">
        <v>4</v>
      </c>
      <c r="U2197">
        <v>11133</v>
      </c>
      <c r="V2197">
        <v>5</v>
      </c>
    </row>
    <row r="2198" spans="1:22" x14ac:dyDescent="0.35">
      <c r="A2198">
        <v>2197</v>
      </c>
      <c r="B2198" t="s">
        <v>144</v>
      </c>
      <c r="C2198" t="s">
        <v>145</v>
      </c>
      <c r="D2198">
        <v>2017</v>
      </c>
      <c r="E2198" t="s">
        <v>133</v>
      </c>
      <c r="F2198">
        <v>79</v>
      </c>
      <c r="G2198" t="s">
        <v>351</v>
      </c>
      <c r="H2198">
        <f>electric_vehicles_dataset[[#This Row],[Battery_Capacity_kWh]]/electric_vehicles_dataset[[#This Row],[Range_km]]</f>
        <v>0.29368029739776952</v>
      </c>
      <c r="I2198">
        <v>269</v>
      </c>
      <c r="J2198" t="s">
        <v>38</v>
      </c>
      <c r="K2198">
        <v>2</v>
      </c>
      <c r="L2198" s="1">
        <v>84828.34</v>
      </c>
      <c r="M2198" s="1" t="str" cm="1">
        <f t="array" ref="M219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198" t="s">
        <v>131</v>
      </c>
      <c r="O2198" t="s">
        <v>67</v>
      </c>
      <c r="P2198" s="2" t="s">
        <v>394</v>
      </c>
      <c r="Q2198">
        <v>3</v>
      </c>
      <c r="R2198" t="s">
        <v>397</v>
      </c>
      <c r="S2198" s="1">
        <f>electric_vehicles_dataset[[#This Row],[Units_Sold_2024]]*electric_vehicles_dataset[[#This Row],[Price_USD]]</f>
        <v>400135279.77999997</v>
      </c>
      <c r="T2198">
        <v>3</v>
      </c>
      <c r="U2198">
        <v>4717</v>
      </c>
      <c r="V2198">
        <v>4</v>
      </c>
    </row>
    <row r="2199" spans="1:22" x14ac:dyDescent="0.35">
      <c r="A2199">
        <v>2198</v>
      </c>
      <c r="B2199" t="s">
        <v>259</v>
      </c>
      <c r="C2199" t="s">
        <v>266</v>
      </c>
      <c r="D2199">
        <v>2016</v>
      </c>
      <c r="E2199" t="s">
        <v>84</v>
      </c>
      <c r="F2199">
        <v>21</v>
      </c>
      <c r="G2199" t="s">
        <v>357</v>
      </c>
      <c r="H2199">
        <f>electric_vehicles_dataset[[#This Row],[Battery_Capacity_kWh]]/electric_vehicles_dataset[[#This Row],[Range_km]]</f>
        <v>3.553299492385787E-2</v>
      </c>
      <c r="I2199">
        <v>591</v>
      </c>
      <c r="J2199" t="s">
        <v>149</v>
      </c>
      <c r="K2199">
        <v>11</v>
      </c>
      <c r="L2199" s="1">
        <v>131455.04999999999</v>
      </c>
      <c r="M2199" s="1" t="str" cm="1">
        <f t="array" ref="M219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199" t="s">
        <v>106</v>
      </c>
      <c r="O2199" t="s">
        <v>199</v>
      </c>
      <c r="P2199" s="2" t="s">
        <v>394</v>
      </c>
      <c r="Q2199">
        <v>0</v>
      </c>
      <c r="R2199" t="s">
        <v>390</v>
      </c>
      <c r="S2199" s="1">
        <f>electric_vehicles_dataset[[#This Row],[Units_Sold_2024]]*electric_vehicles_dataset[[#This Row],[Price_USD]]</f>
        <v>1991544007.4999998</v>
      </c>
      <c r="T2199">
        <v>4</v>
      </c>
      <c r="U2199">
        <v>15150</v>
      </c>
      <c r="V2199">
        <v>3</v>
      </c>
    </row>
    <row r="2200" spans="1:22" x14ac:dyDescent="0.35">
      <c r="A2200">
        <v>2199</v>
      </c>
      <c r="B2200" t="s">
        <v>193</v>
      </c>
      <c r="C2200" t="s">
        <v>194</v>
      </c>
      <c r="D2200">
        <v>2017</v>
      </c>
      <c r="E2200" t="s">
        <v>58</v>
      </c>
      <c r="F2200">
        <v>110.7</v>
      </c>
      <c r="G2200" t="s">
        <v>361</v>
      </c>
      <c r="H2200">
        <f>electric_vehicles_dataset[[#This Row],[Battery_Capacity_kWh]]/electric_vehicles_dataset[[#This Row],[Range_km]]</f>
        <v>0.75821917808219175</v>
      </c>
      <c r="I2200">
        <v>146</v>
      </c>
      <c r="J2200" t="s">
        <v>34</v>
      </c>
      <c r="K2200">
        <v>6</v>
      </c>
      <c r="L2200" s="1">
        <v>112578.73</v>
      </c>
      <c r="M2200" s="1" t="str" cm="1">
        <f t="array" ref="M220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00" t="s">
        <v>55</v>
      </c>
      <c r="O2200" t="s">
        <v>86</v>
      </c>
      <c r="P2200" s="2" t="s">
        <v>389</v>
      </c>
      <c r="Q2200">
        <v>2</v>
      </c>
      <c r="R2200" t="s">
        <v>391</v>
      </c>
      <c r="S2200" s="1">
        <f>electric_vehicles_dataset[[#This Row],[Units_Sold_2024]]*electric_vehicles_dataset[[#This Row],[Price_USD]]</f>
        <v>853346773.39999998</v>
      </c>
      <c r="T2200">
        <v>3</v>
      </c>
      <c r="U2200">
        <v>7580</v>
      </c>
      <c r="V2200">
        <v>3</v>
      </c>
    </row>
    <row r="2201" spans="1:22" x14ac:dyDescent="0.35">
      <c r="A2201">
        <v>2200</v>
      </c>
      <c r="B2201" t="s">
        <v>16</v>
      </c>
      <c r="C2201" t="s">
        <v>347</v>
      </c>
      <c r="D2201">
        <v>2019</v>
      </c>
      <c r="E2201" t="s">
        <v>47</v>
      </c>
      <c r="F2201">
        <v>56.6</v>
      </c>
      <c r="G2201" t="s">
        <v>348</v>
      </c>
      <c r="H2201">
        <f>electric_vehicles_dataset[[#This Row],[Battery_Capacity_kWh]]/electric_vehicles_dataset[[#This Row],[Range_km]]</f>
        <v>0.14221105527638192</v>
      </c>
      <c r="I2201">
        <v>398</v>
      </c>
      <c r="J2201" t="s">
        <v>38</v>
      </c>
      <c r="K2201">
        <v>12</v>
      </c>
      <c r="L2201" s="1">
        <v>134504.74</v>
      </c>
      <c r="M2201" s="1" t="str" cm="1">
        <f t="array" ref="M22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01" t="s">
        <v>70</v>
      </c>
      <c r="O2201" t="s">
        <v>50</v>
      </c>
      <c r="P2201" s="2" t="s">
        <v>396</v>
      </c>
      <c r="Q2201">
        <v>0</v>
      </c>
      <c r="R2201" t="s">
        <v>390</v>
      </c>
      <c r="S2201" s="1">
        <f>electric_vehicles_dataset[[#This Row],[Units_Sold_2024]]*electric_vehicles_dataset[[#This Row],[Price_USD]]</f>
        <v>640242562.39999998</v>
      </c>
      <c r="T2201">
        <v>3</v>
      </c>
      <c r="U2201">
        <v>4760</v>
      </c>
      <c r="V2201">
        <v>3</v>
      </c>
    </row>
    <row r="2202" spans="1:22" x14ac:dyDescent="0.35">
      <c r="A2202">
        <v>2201</v>
      </c>
      <c r="B2202" t="s">
        <v>215</v>
      </c>
      <c r="C2202" t="s">
        <v>216</v>
      </c>
      <c r="D2202">
        <v>2015</v>
      </c>
      <c r="E2202" t="s">
        <v>101</v>
      </c>
      <c r="F2202">
        <v>55.3</v>
      </c>
      <c r="G2202" t="s">
        <v>348</v>
      </c>
      <c r="H2202">
        <f>electric_vehicles_dataset[[#This Row],[Battery_Capacity_kWh]]/electric_vehicles_dataset[[#This Row],[Range_km]]</f>
        <v>0.18311258278145695</v>
      </c>
      <c r="I2202">
        <v>302</v>
      </c>
      <c r="J2202" t="s">
        <v>105</v>
      </c>
      <c r="K2202">
        <v>5</v>
      </c>
      <c r="L2202" s="1">
        <v>93398.47</v>
      </c>
      <c r="M2202" s="1" t="str" cm="1">
        <f t="array" ref="M22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02" t="s">
        <v>219</v>
      </c>
      <c r="O2202" t="s">
        <v>50</v>
      </c>
      <c r="P2202" s="2" t="s">
        <v>396</v>
      </c>
      <c r="Q2202">
        <v>4</v>
      </c>
      <c r="R2202" t="s">
        <v>392</v>
      </c>
      <c r="S2202" s="1">
        <f>electric_vehicles_dataset[[#This Row],[Units_Sold_2024]]*electric_vehicles_dataset[[#This Row],[Price_USD]]</f>
        <v>210613549.84999999</v>
      </c>
      <c r="T2202">
        <v>4</v>
      </c>
      <c r="U2202">
        <v>2255</v>
      </c>
      <c r="V2202">
        <v>5</v>
      </c>
    </row>
    <row r="2203" spans="1:22" x14ac:dyDescent="0.35">
      <c r="A2203">
        <v>2202</v>
      </c>
      <c r="B2203" t="s">
        <v>29</v>
      </c>
      <c r="C2203" t="s">
        <v>331</v>
      </c>
      <c r="D2203">
        <v>2019</v>
      </c>
      <c r="E2203" t="s">
        <v>47</v>
      </c>
      <c r="F2203">
        <v>85.6</v>
      </c>
      <c r="G2203" t="s">
        <v>350</v>
      </c>
      <c r="H2203">
        <f>electric_vehicles_dataset[[#This Row],[Battery_Capacity_kWh]]/electric_vehicles_dataset[[#This Row],[Range_km]]</f>
        <v>0.17188755020080321</v>
      </c>
      <c r="I2203">
        <v>498</v>
      </c>
      <c r="J2203" t="s">
        <v>38</v>
      </c>
      <c r="K2203">
        <v>2</v>
      </c>
      <c r="L2203" s="1">
        <v>102815.01</v>
      </c>
      <c r="M2203" s="1" t="str" cm="1">
        <f t="array" ref="M220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03" t="s">
        <v>55</v>
      </c>
      <c r="O2203" t="s">
        <v>265</v>
      </c>
      <c r="P2203" s="2" t="s">
        <v>389</v>
      </c>
      <c r="Q2203">
        <v>2</v>
      </c>
      <c r="R2203" t="s">
        <v>391</v>
      </c>
      <c r="S2203" s="1">
        <f>electric_vehicles_dataset[[#This Row],[Units_Sold_2024]]*electric_vehicles_dataset[[#This Row],[Price_USD]]</f>
        <v>684131076.53999996</v>
      </c>
      <c r="T2203">
        <v>4</v>
      </c>
      <c r="U2203">
        <v>6654</v>
      </c>
      <c r="V2203">
        <v>3</v>
      </c>
    </row>
    <row r="2204" spans="1:22" x14ac:dyDescent="0.35">
      <c r="A2204">
        <v>2203</v>
      </c>
      <c r="B2204" t="s">
        <v>79</v>
      </c>
      <c r="C2204" t="s">
        <v>299</v>
      </c>
      <c r="D2204">
        <v>2022</v>
      </c>
      <c r="E2204" t="s">
        <v>17</v>
      </c>
      <c r="F2204">
        <v>120.4</v>
      </c>
      <c r="G2204" t="s">
        <v>352</v>
      </c>
      <c r="H2204">
        <f>electric_vehicles_dataset[[#This Row],[Battery_Capacity_kWh]]/electric_vehicles_dataset[[#This Row],[Range_km]]</f>
        <v>0.26288209606986901</v>
      </c>
      <c r="I2204">
        <v>458</v>
      </c>
      <c r="J2204" t="s">
        <v>54</v>
      </c>
      <c r="K2204">
        <v>3</v>
      </c>
      <c r="L2204" s="1">
        <v>114066.87</v>
      </c>
      <c r="M2204" s="1" t="str" cm="1">
        <f t="array" ref="M220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04" t="s">
        <v>279</v>
      </c>
      <c r="O2204" t="s">
        <v>115</v>
      </c>
      <c r="P2204" s="2" t="s">
        <v>396</v>
      </c>
      <c r="Q2204">
        <v>4</v>
      </c>
      <c r="R2204" t="s">
        <v>392</v>
      </c>
      <c r="S2204" s="1">
        <f>electric_vehicles_dataset[[#This Row],[Units_Sold_2024]]*electric_vehicles_dataset[[#This Row],[Price_USD]]</f>
        <v>871927154.27999997</v>
      </c>
      <c r="T2204">
        <v>4</v>
      </c>
      <c r="U2204">
        <v>7644</v>
      </c>
      <c r="V2204">
        <v>4</v>
      </c>
    </row>
    <row r="2205" spans="1:22" x14ac:dyDescent="0.35">
      <c r="A2205">
        <v>2204</v>
      </c>
      <c r="B2205" t="s">
        <v>96</v>
      </c>
      <c r="C2205" t="s">
        <v>292</v>
      </c>
      <c r="D2205">
        <v>2025</v>
      </c>
      <c r="E2205" t="s">
        <v>73</v>
      </c>
      <c r="F2205">
        <v>39.1</v>
      </c>
      <c r="G2205" t="s">
        <v>357</v>
      </c>
      <c r="H2205">
        <f>electric_vehicles_dataset[[#This Row],[Battery_Capacity_kWh]]/electric_vehicles_dataset[[#This Row],[Range_km]]</f>
        <v>7.7888446215139448E-2</v>
      </c>
      <c r="I2205">
        <v>502</v>
      </c>
      <c r="J2205" t="s">
        <v>345</v>
      </c>
      <c r="K2205">
        <v>1</v>
      </c>
      <c r="L2205" s="1">
        <v>145998.82999999999</v>
      </c>
      <c r="M2205" s="1" t="str" cm="1">
        <f t="array" ref="M220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05" t="s">
        <v>49</v>
      </c>
      <c r="O2205" t="s">
        <v>236</v>
      </c>
      <c r="P2205" s="2" t="s">
        <v>394</v>
      </c>
      <c r="Q2205">
        <v>4</v>
      </c>
      <c r="R2205" t="s">
        <v>392</v>
      </c>
      <c r="S2205" s="1">
        <f>electric_vehicles_dataset[[#This Row],[Units_Sold_2024]]*electric_vehicles_dataset[[#This Row],[Price_USD]]</f>
        <v>811461497.13999999</v>
      </c>
      <c r="T2205">
        <v>5</v>
      </c>
      <c r="U2205">
        <v>5558</v>
      </c>
      <c r="V2205">
        <v>5</v>
      </c>
    </row>
    <row r="2206" spans="1:22" x14ac:dyDescent="0.35">
      <c r="A2206">
        <v>2205</v>
      </c>
      <c r="B2206" t="s">
        <v>94</v>
      </c>
      <c r="C2206" t="s">
        <v>99</v>
      </c>
      <c r="D2206">
        <v>2018</v>
      </c>
      <c r="E2206" t="s">
        <v>53</v>
      </c>
      <c r="F2206">
        <v>138.5</v>
      </c>
      <c r="G2206" t="s">
        <v>352</v>
      </c>
      <c r="H2206">
        <f>electric_vehicles_dataset[[#This Row],[Battery_Capacity_kWh]]/electric_vehicles_dataset[[#This Row],[Range_km]]</f>
        <v>0.26685934489402696</v>
      </c>
      <c r="I2206">
        <v>519</v>
      </c>
      <c r="J2206" t="s">
        <v>356</v>
      </c>
      <c r="K2206">
        <v>2</v>
      </c>
      <c r="L2206" s="1">
        <v>107033.26</v>
      </c>
      <c r="M2206" s="1" t="str" cm="1">
        <f t="array" ref="M220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06" t="s">
        <v>77</v>
      </c>
      <c r="O2206" t="s">
        <v>107</v>
      </c>
      <c r="P2206" s="2" t="s">
        <v>394</v>
      </c>
      <c r="Q2206">
        <v>4</v>
      </c>
      <c r="R2206" t="s">
        <v>392</v>
      </c>
      <c r="S2206" s="1">
        <f>electric_vehicles_dataset[[#This Row],[Units_Sold_2024]]*electric_vehicles_dataset[[#This Row],[Price_USD]]</f>
        <v>1315117665.6199999</v>
      </c>
      <c r="T2206">
        <v>4</v>
      </c>
      <c r="U2206">
        <v>12287</v>
      </c>
      <c r="V2206">
        <v>3</v>
      </c>
    </row>
    <row r="2207" spans="1:22" x14ac:dyDescent="0.35">
      <c r="A2207">
        <v>2206</v>
      </c>
      <c r="B2207" t="s">
        <v>243</v>
      </c>
      <c r="C2207" t="s">
        <v>244</v>
      </c>
      <c r="D2207">
        <v>2022</v>
      </c>
      <c r="E2207" t="s">
        <v>17</v>
      </c>
      <c r="F2207">
        <v>50.8</v>
      </c>
      <c r="G2207" t="s">
        <v>348</v>
      </c>
      <c r="H2207">
        <f>electric_vehicles_dataset[[#This Row],[Battery_Capacity_kWh]]/electric_vehicles_dataset[[#This Row],[Range_km]]</f>
        <v>0.11238938053097344</v>
      </c>
      <c r="I2207">
        <v>452</v>
      </c>
      <c r="J2207" t="s">
        <v>353</v>
      </c>
      <c r="K2207">
        <v>1</v>
      </c>
      <c r="L2207" s="1">
        <v>114173.39</v>
      </c>
      <c r="M2207" s="1" t="str" cm="1">
        <f t="array" ref="M220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07" t="s">
        <v>279</v>
      </c>
      <c r="O2207" t="s">
        <v>202</v>
      </c>
      <c r="P2207" s="2" t="s">
        <v>393</v>
      </c>
      <c r="Q2207">
        <v>4</v>
      </c>
      <c r="R2207" t="s">
        <v>392</v>
      </c>
      <c r="S2207" s="1">
        <f>electric_vehicles_dataset[[#This Row],[Units_Sold_2024]]*electric_vehicles_dataset[[#This Row],[Price_USD]]</f>
        <v>707760844.61000001</v>
      </c>
      <c r="T2207">
        <v>5</v>
      </c>
      <c r="U2207">
        <v>6199</v>
      </c>
      <c r="V2207">
        <v>3</v>
      </c>
    </row>
    <row r="2208" spans="1:22" x14ac:dyDescent="0.35">
      <c r="A2208">
        <v>2207</v>
      </c>
      <c r="B2208" t="s">
        <v>215</v>
      </c>
      <c r="C2208" t="s">
        <v>216</v>
      </c>
      <c r="D2208">
        <v>2022</v>
      </c>
      <c r="E2208" t="s">
        <v>90</v>
      </c>
      <c r="F2208">
        <v>47.5</v>
      </c>
      <c r="G2208" t="s">
        <v>348</v>
      </c>
      <c r="H2208">
        <f>electric_vehicles_dataset[[#This Row],[Battery_Capacity_kWh]]/electric_vehicles_dataset[[#This Row],[Range_km]]</f>
        <v>8.5585585585585586E-2</v>
      </c>
      <c r="I2208">
        <v>555</v>
      </c>
      <c r="J2208" t="s">
        <v>34</v>
      </c>
      <c r="K2208">
        <v>4</v>
      </c>
      <c r="L2208" s="1">
        <v>89948.12</v>
      </c>
      <c r="M2208" s="1" t="str" cm="1">
        <f t="array" ref="M220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08" t="s">
        <v>212</v>
      </c>
      <c r="O2208" t="s">
        <v>139</v>
      </c>
      <c r="P2208" s="2" t="s">
        <v>389</v>
      </c>
      <c r="Q2208">
        <v>2</v>
      </c>
      <c r="R2208" t="s">
        <v>391</v>
      </c>
      <c r="S2208" s="1">
        <f>electric_vehicles_dataset[[#This Row],[Units_Sold_2024]]*electric_vehicles_dataset[[#This Row],[Price_USD]]</f>
        <v>1032694365.7199999</v>
      </c>
      <c r="T2208">
        <v>4</v>
      </c>
      <c r="U2208">
        <v>11481</v>
      </c>
      <c r="V2208">
        <v>5</v>
      </c>
    </row>
    <row r="2209" spans="1:22" x14ac:dyDescent="0.35">
      <c r="A2209">
        <v>2208</v>
      </c>
      <c r="B2209" t="s">
        <v>215</v>
      </c>
      <c r="C2209" t="s">
        <v>377</v>
      </c>
      <c r="D2209">
        <v>2020</v>
      </c>
      <c r="E2209" t="s">
        <v>26</v>
      </c>
      <c r="F2209">
        <v>39.4</v>
      </c>
      <c r="G2209" t="s">
        <v>357</v>
      </c>
      <c r="H2209">
        <f>electric_vehicles_dataset[[#This Row],[Battery_Capacity_kWh]]/electric_vehicles_dataset[[#This Row],[Range_km]]</f>
        <v>8.2426778242677815E-2</v>
      </c>
      <c r="I2209">
        <v>478</v>
      </c>
      <c r="J2209" t="s">
        <v>38</v>
      </c>
      <c r="K2209">
        <v>7</v>
      </c>
      <c r="L2209" s="1">
        <v>141767.49</v>
      </c>
      <c r="M2209" s="1" t="str" cm="1">
        <f t="array" ref="M220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09" t="s">
        <v>165</v>
      </c>
      <c r="O2209" t="s">
        <v>40</v>
      </c>
      <c r="P2209" s="2" t="s">
        <v>395</v>
      </c>
      <c r="Q2209">
        <v>2</v>
      </c>
      <c r="R2209" t="s">
        <v>391</v>
      </c>
      <c r="S2209" s="1">
        <f>electric_vehicles_dataset[[#This Row],[Units_Sold_2024]]*electric_vehicles_dataset[[#This Row],[Price_USD]]</f>
        <v>1712551279.1999998</v>
      </c>
      <c r="T2209">
        <v>4</v>
      </c>
      <c r="U2209">
        <v>12080</v>
      </c>
      <c r="V2209">
        <v>3</v>
      </c>
    </row>
    <row r="2210" spans="1:22" x14ac:dyDescent="0.35">
      <c r="A2210">
        <v>2209</v>
      </c>
      <c r="B2210" t="s">
        <v>261</v>
      </c>
      <c r="C2210" t="s">
        <v>278</v>
      </c>
      <c r="D2210">
        <v>2021</v>
      </c>
      <c r="E2210" t="s">
        <v>101</v>
      </c>
      <c r="F2210">
        <v>133</v>
      </c>
      <c r="G2210" t="s">
        <v>352</v>
      </c>
      <c r="H2210">
        <f>electric_vehicles_dataset[[#This Row],[Battery_Capacity_kWh]]/electric_vehicles_dataset[[#This Row],[Range_km]]</f>
        <v>0.39117647058823529</v>
      </c>
      <c r="I2210">
        <v>340</v>
      </c>
      <c r="J2210" t="s">
        <v>38</v>
      </c>
      <c r="K2210">
        <v>5</v>
      </c>
      <c r="L2210" s="1">
        <v>108306.36</v>
      </c>
      <c r="M2210" s="1" t="str" cm="1">
        <f t="array" ref="M221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10" t="s">
        <v>254</v>
      </c>
      <c r="O2210" t="s">
        <v>86</v>
      </c>
      <c r="P2210" s="2" t="s">
        <v>389</v>
      </c>
      <c r="Q2210">
        <v>4</v>
      </c>
      <c r="R2210" t="s">
        <v>392</v>
      </c>
      <c r="S2210" s="1">
        <f>electric_vehicles_dataset[[#This Row],[Units_Sold_2024]]*electric_vehicles_dataset[[#This Row],[Price_USD]]</f>
        <v>456619613.75999999</v>
      </c>
      <c r="T2210">
        <v>3</v>
      </c>
      <c r="U2210">
        <v>4216</v>
      </c>
      <c r="V2210">
        <v>5</v>
      </c>
    </row>
    <row r="2211" spans="1:22" x14ac:dyDescent="0.35">
      <c r="A2211">
        <v>2210</v>
      </c>
      <c r="B2211" t="s">
        <v>68</v>
      </c>
      <c r="C2211" t="s">
        <v>69</v>
      </c>
      <c r="D2211">
        <v>2016</v>
      </c>
      <c r="E2211" t="s">
        <v>58</v>
      </c>
      <c r="F2211">
        <v>92.9</v>
      </c>
      <c r="G2211" t="s">
        <v>350</v>
      </c>
      <c r="H2211">
        <f>electric_vehicles_dataset[[#This Row],[Battery_Capacity_kWh]]/electric_vehicles_dataset[[#This Row],[Range_km]]</f>
        <v>0.25662983425414365</v>
      </c>
      <c r="I2211">
        <v>362</v>
      </c>
      <c r="J2211" t="s">
        <v>76</v>
      </c>
      <c r="K2211">
        <v>9</v>
      </c>
      <c r="L2211" s="1">
        <v>33166.75</v>
      </c>
      <c r="M2211" s="1" t="str" cm="1">
        <f t="array" ref="M22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11" t="s">
        <v>160</v>
      </c>
      <c r="O2211" t="s">
        <v>159</v>
      </c>
      <c r="P2211" s="2" t="s">
        <v>389</v>
      </c>
      <c r="Q2211">
        <v>0</v>
      </c>
      <c r="R2211" t="s">
        <v>390</v>
      </c>
      <c r="S2211" s="1">
        <f>electric_vehicles_dataset[[#This Row],[Units_Sold_2024]]*electric_vehicles_dataset[[#This Row],[Price_USD]]</f>
        <v>302480760</v>
      </c>
      <c r="T2211">
        <v>4</v>
      </c>
      <c r="U2211">
        <v>9120</v>
      </c>
      <c r="V2211">
        <v>5</v>
      </c>
    </row>
    <row r="2212" spans="1:22" x14ac:dyDescent="0.35">
      <c r="A2212">
        <v>2211</v>
      </c>
      <c r="B2212" t="s">
        <v>79</v>
      </c>
      <c r="C2212" t="s">
        <v>151</v>
      </c>
      <c r="D2212">
        <v>2016</v>
      </c>
      <c r="E2212" t="s">
        <v>73</v>
      </c>
      <c r="F2212">
        <v>80.8</v>
      </c>
      <c r="G2212" t="s">
        <v>350</v>
      </c>
      <c r="H2212">
        <f>electric_vehicles_dataset[[#This Row],[Battery_Capacity_kWh]]/electric_vehicles_dataset[[#This Row],[Range_km]]</f>
        <v>0.64639999999999997</v>
      </c>
      <c r="I2212">
        <v>125</v>
      </c>
      <c r="J2212" t="s">
        <v>359</v>
      </c>
      <c r="K2212">
        <v>12</v>
      </c>
      <c r="L2212" s="1">
        <v>89951.3</v>
      </c>
      <c r="M2212" s="1" t="str" cm="1">
        <f t="array" ref="M221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12" t="s">
        <v>253</v>
      </c>
      <c r="O2212" t="s">
        <v>23</v>
      </c>
      <c r="P2212" s="2" t="s">
        <v>389</v>
      </c>
      <c r="Q2212">
        <v>2</v>
      </c>
      <c r="R2212" t="s">
        <v>391</v>
      </c>
      <c r="S2212" s="1">
        <f>electric_vehicles_dataset[[#This Row],[Units_Sold_2024]]*electric_vehicles_dataset[[#This Row],[Price_USD]]</f>
        <v>1544104015.8</v>
      </c>
      <c r="T2212">
        <v>5</v>
      </c>
      <c r="U2212">
        <v>17166</v>
      </c>
      <c r="V2212">
        <v>4</v>
      </c>
    </row>
    <row r="2213" spans="1:22" x14ac:dyDescent="0.35">
      <c r="A2213">
        <v>2212</v>
      </c>
      <c r="B2213" t="s">
        <v>45</v>
      </c>
      <c r="C2213" t="s">
        <v>283</v>
      </c>
      <c r="D2213">
        <v>2022</v>
      </c>
      <c r="E2213" t="s">
        <v>183</v>
      </c>
      <c r="F2213">
        <v>26.5</v>
      </c>
      <c r="G2213" t="s">
        <v>357</v>
      </c>
      <c r="H2213">
        <f>electric_vehicles_dataset[[#This Row],[Battery_Capacity_kWh]]/electric_vehicles_dataset[[#This Row],[Range_km]]</f>
        <v>0.10950413223140495</v>
      </c>
      <c r="I2213">
        <v>242</v>
      </c>
      <c r="J2213" t="s">
        <v>345</v>
      </c>
      <c r="K2213">
        <v>2</v>
      </c>
      <c r="L2213" s="1">
        <v>76283.66</v>
      </c>
      <c r="M2213" s="1" t="str" cm="1">
        <f t="array" ref="M221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13" t="s">
        <v>131</v>
      </c>
      <c r="O2213" t="s">
        <v>93</v>
      </c>
      <c r="P2213" s="2" t="s">
        <v>389</v>
      </c>
      <c r="Q2213">
        <v>2</v>
      </c>
      <c r="R2213" t="s">
        <v>391</v>
      </c>
      <c r="S2213" s="1">
        <f>electric_vehicles_dataset[[#This Row],[Units_Sold_2024]]*electric_vehicles_dataset[[#This Row],[Price_USD]]</f>
        <v>1499507904.6200001</v>
      </c>
      <c r="T2213">
        <v>5</v>
      </c>
      <c r="U2213">
        <v>19657</v>
      </c>
      <c r="V2213">
        <v>4</v>
      </c>
    </row>
    <row r="2214" spans="1:22" x14ac:dyDescent="0.35">
      <c r="A2214">
        <v>2213</v>
      </c>
      <c r="B2214" t="s">
        <v>234</v>
      </c>
      <c r="C2214" t="s">
        <v>235</v>
      </c>
      <c r="D2214">
        <v>2015</v>
      </c>
      <c r="E2214" t="s">
        <v>130</v>
      </c>
      <c r="F2214">
        <v>78.400000000000006</v>
      </c>
      <c r="G2214" t="s">
        <v>351</v>
      </c>
      <c r="H2214">
        <f>electric_vehicles_dataset[[#This Row],[Battery_Capacity_kWh]]/electric_vehicles_dataset[[#This Row],[Range_km]]</f>
        <v>0.18447058823529414</v>
      </c>
      <c r="I2214">
        <v>425</v>
      </c>
      <c r="J2214" t="s">
        <v>38</v>
      </c>
      <c r="K2214">
        <v>12</v>
      </c>
      <c r="L2214" s="1">
        <v>73442.039999999994</v>
      </c>
      <c r="M2214" s="1" t="str" cm="1">
        <f t="array" ref="M221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14" t="s">
        <v>35</v>
      </c>
      <c r="O2214" t="s">
        <v>182</v>
      </c>
      <c r="P2214" s="2" t="s">
        <v>394</v>
      </c>
      <c r="Q2214">
        <v>4</v>
      </c>
      <c r="R2214" t="s">
        <v>392</v>
      </c>
      <c r="S2214" s="1">
        <f>electric_vehicles_dataset[[#This Row],[Units_Sold_2024]]*electric_vehicles_dataset[[#This Row],[Price_USD]]</f>
        <v>289067869.44</v>
      </c>
      <c r="T2214">
        <v>4</v>
      </c>
      <c r="U2214">
        <v>3936</v>
      </c>
      <c r="V2214">
        <v>3</v>
      </c>
    </row>
    <row r="2215" spans="1:22" x14ac:dyDescent="0.35">
      <c r="A2215">
        <v>2214</v>
      </c>
      <c r="B2215" t="s">
        <v>187</v>
      </c>
      <c r="C2215" t="s">
        <v>293</v>
      </c>
      <c r="D2215">
        <v>2018</v>
      </c>
      <c r="E2215" t="s">
        <v>26</v>
      </c>
      <c r="F2215">
        <v>140.6</v>
      </c>
      <c r="G2215" t="s">
        <v>386</v>
      </c>
      <c r="H2215">
        <f>electric_vehicles_dataset[[#This Row],[Battery_Capacity_kWh]]/electric_vehicles_dataset[[#This Row],[Range_km]]</f>
        <v>0.26730038022813685</v>
      </c>
      <c r="I2215">
        <v>526</v>
      </c>
      <c r="J2215" t="s">
        <v>345</v>
      </c>
      <c r="K2215">
        <v>10</v>
      </c>
      <c r="L2215" s="1">
        <v>117672.84</v>
      </c>
      <c r="M2215" s="1" t="str" cm="1">
        <f t="array" ref="M221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15" t="s">
        <v>81</v>
      </c>
      <c r="O2215" t="s">
        <v>118</v>
      </c>
      <c r="P2215" s="2" t="s">
        <v>389</v>
      </c>
      <c r="Q2215">
        <v>0</v>
      </c>
      <c r="R2215" t="s">
        <v>390</v>
      </c>
      <c r="S2215" s="1">
        <f>electric_vehicles_dataset[[#This Row],[Units_Sold_2024]]*electric_vehicles_dataset[[#This Row],[Price_USD]]</f>
        <v>1800512124.8399999</v>
      </c>
      <c r="T2215">
        <v>4</v>
      </c>
      <c r="U2215">
        <v>15301</v>
      </c>
      <c r="V2215">
        <v>5</v>
      </c>
    </row>
    <row r="2216" spans="1:22" x14ac:dyDescent="0.35">
      <c r="A2216">
        <v>2215</v>
      </c>
      <c r="B2216" t="s">
        <v>122</v>
      </c>
      <c r="C2216" t="s">
        <v>250</v>
      </c>
      <c r="D2216">
        <v>2023</v>
      </c>
      <c r="E2216" t="s">
        <v>42</v>
      </c>
      <c r="F2216">
        <v>103.1</v>
      </c>
      <c r="G2216" t="s">
        <v>361</v>
      </c>
      <c r="H2216">
        <f>electric_vehicles_dataset[[#This Row],[Battery_Capacity_kWh]]/electric_vehicles_dataset[[#This Row],[Range_km]]</f>
        <v>0.52602040816326523</v>
      </c>
      <c r="I2216">
        <v>196</v>
      </c>
      <c r="J2216" t="s">
        <v>149</v>
      </c>
      <c r="K2216">
        <v>7</v>
      </c>
      <c r="L2216" s="1">
        <v>96119.61</v>
      </c>
      <c r="M2216" s="1" t="str" cm="1">
        <f t="array" ref="M221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16" t="s">
        <v>254</v>
      </c>
      <c r="O2216" t="s">
        <v>147</v>
      </c>
      <c r="P2216" s="2" t="s">
        <v>396</v>
      </c>
      <c r="Q2216">
        <v>3</v>
      </c>
      <c r="R2216" t="s">
        <v>397</v>
      </c>
      <c r="S2216" s="1">
        <f>electric_vehicles_dataset[[#This Row],[Units_Sold_2024]]*electric_vehicles_dataset[[#This Row],[Price_USD]]</f>
        <v>1572036221.55</v>
      </c>
      <c r="T2216">
        <v>4</v>
      </c>
      <c r="U2216">
        <v>16355</v>
      </c>
      <c r="V2216">
        <v>4</v>
      </c>
    </row>
    <row r="2217" spans="1:22" x14ac:dyDescent="0.35">
      <c r="A2217">
        <v>2216</v>
      </c>
      <c r="B2217" t="s">
        <v>157</v>
      </c>
      <c r="C2217" t="s">
        <v>296</v>
      </c>
      <c r="D2217">
        <v>2020</v>
      </c>
      <c r="E2217" t="s">
        <v>26</v>
      </c>
      <c r="F2217">
        <v>148</v>
      </c>
      <c r="G2217" t="s">
        <v>386</v>
      </c>
      <c r="H2217">
        <f>electric_vehicles_dataset[[#This Row],[Battery_Capacity_kWh]]/electric_vehicles_dataset[[#This Row],[Range_km]]</f>
        <v>0.25739130434782609</v>
      </c>
      <c r="I2217">
        <v>575</v>
      </c>
      <c r="J2217" t="s">
        <v>38</v>
      </c>
      <c r="K2217">
        <v>8</v>
      </c>
      <c r="L2217" s="1">
        <v>66827.39</v>
      </c>
      <c r="M2217" s="1" t="str" cm="1">
        <f t="array" ref="M221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17" t="s">
        <v>19</v>
      </c>
      <c r="O2217" t="s">
        <v>78</v>
      </c>
      <c r="P2217" s="2" t="s">
        <v>389</v>
      </c>
      <c r="Q2217">
        <v>4</v>
      </c>
      <c r="R2217" t="s">
        <v>392</v>
      </c>
      <c r="S2217" s="1">
        <f>electric_vehicles_dataset[[#This Row],[Units_Sold_2024]]*electric_vehicles_dataset[[#This Row],[Price_USD]]</f>
        <v>388534445.45999998</v>
      </c>
      <c r="T2217">
        <v>3</v>
      </c>
      <c r="U2217">
        <v>5814</v>
      </c>
      <c r="V2217">
        <v>4</v>
      </c>
    </row>
    <row r="2218" spans="1:22" x14ac:dyDescent="0.35">
      <c r="A2218">
        <v>2217</v>
      </c>
      <c r="B2218" t="s">
        <v>153</v>
      </c>
      <c r="C2218" t="s">
        <v>204</v>
      </c>
      <c r="D2218">
        <v>2016</v>
      </c>
      <c r="E2218" t="s">
        <v>90</v>
      </c>
      <c r="F2218">
        <v>46</v>
      </c>
      <c r="G2218" t="s">
        <v>348</v>
      </c>
      <c r="H2218">
        <f>electric_vehicles_dataset[[#This Row],[Battery_Capacity_kWh]]/electric_vehicles_dataset[[#This Row],[Range_km]]</f>
        <v>0.10087719298245613</v>
      </c>
      <c r="I2218">
        <v>456</v>
      </c>
      <c r="J2218" t="s">
        <v>34</v>
      </c>
      <c r="K2218">
        <v>11</v>
      </c>
      <c r="L2218" s="1">
        <v>81094.289999999994</v>
      </c>
      <c r="M2218" s="1" t="str" cm="1">
        <f t="array" ref="M221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18" t="s">
        <v>59</v>
      </c>
      <c r="O2218" t="s">
        <v>147</v>
      </c>
      <c r="P2218" s="2" t="s">
        <v>396</v>
      </c>
      <c r="Q2218">
        <v>4</v>
      </c>
      <c r="R2218" t="s">
        <v>392</v>
      </c>
      <c r="S2218" s="1">
        <f>electric_vehicles_dataset[[#This Row],[Units_Sold_2024]]*electric_vehicles_dataset[[#This Row],[Price_USD]]</f>
        <v>1510867716.9899998</v>
      </c>
      <c r="T2218">
        <v>3</v>
      </c>
      <c r="U2218">
        <v>18631</v>
      </c>
      <c r="V2218">
        <v>4</v>
      </c>
    </row>
    <row r="2219" spans="1:22" x14ac:dyDescent="0.35">
      <c r="A2219">
        <v>2218</v>
      </c>
      <c r="B2219" t="s">
        <v>41</v>
      </c>
      <c r="C2219" t="s">
        <v>374</v>
      </c>
      <c r="D2219">
        <v>2018</v>
      </c>
      <c r="E2219" t="s">
        <v>104</v>
      </c>
      <c r="F2219">
        <v>51.1</v>
      </c>
      <c r="G2219" t="s">
        <v>348</v>
      </c>
      <c r="H2219">
        <f>electric_vehicles_dataset[[#This Row],[Battery_Capacity_kWh]]/electric_vehicles_dataset[[#This Row],[Range_km]]</f>
        <v>0.42941176470588238</v>
      </c>
      <c r="I2219">
        <v>119</v>
      </c>
      <c r="J2219" t="s">
        <v>359</v>
      </c>
      <c r="K2219">
        <v>8</v>
      </c>
      <c r="L2219" s="1">
        <v>59437.88</v>
      </c>
      <c r="M2219" s="1" t="str" cm="1">
        <f t="array" ref="M22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19" t="s">
        <v>114</v>
      </c>
      <c r="O2219" t="s">
        <v>226</v>
      </c>
      <c r="P2219" s="2" t="s">
        <v>395</v>
      </c>
      <c r="Q2219">
        <v>0</v>
      </c>
      <c r="R2219" t="s">
        <v>390</v>
      </c>
      <c r="S2219" s="1">
        <f>electric_vehicles_dataset[[#This Row],[Units_Sold_2024]]*electric_vehicles_dataset[[#This Row],[Price_USD]]</f>
        <v>1004202982.5999999</v>
      </c>
      <c r="T2219">
        <v>3</v>
      </c>
      <c r="U2219">
        <v>16895</v>
      </c>
      <c r="V2219">
        <v>5</v>
      </c>
    </row>
    <row r="2220" spans="1:22" x14ac:dyDescent="0.35">
      <c r="A2220">
        <v>2219</v>
      </c>
      <c r="B2220" t="s">
        <v>259</v>
      </c>
      <c r="C2220" t="s">
        <v>260</v>
      </c>
      <c r="D2220">
        <v>2020</v>
      </c>
      <c r="E2220" t="s">
        <v>31</v>
      </c>
      <c r="F2220">
        <v>50.6</v>
      </c>
      <c r="G2220" t="s">
        <v>348</v>
      </c>
      <c r="H2220">
        <f>electric_vehicles_dataset[[#This Row],[Battery_Capacity_kWh]]/electric_vehicles_dataset[[#This Row],[Range_km]]</f>
        <v>9.5291902071563087E-2</v>
      </c>
      <c r="I2220">
        <v>531</v>
      </c>
      <c r="J2220" t="s">
        <v>38</v>
      </c>
      <c r="K2220">
        <v>3</v>
      </c>
      <c r="L2220" s="1">
        <v>112745.51</v>
      </c>
      <c r="M2220" s="1" t="str" cm="1">
        <f t="array" ref="M222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20" t="s">
        <v>279</v>
      </c>
      <c r="O2220" t="s">
        <v>150</v>
      </c>
      <c r="P2220" s="2" t="s">
        <v>389</v>
      </c>
      <c r="Q2220">
        <v>2</v>
      </c>
      <c r="R2220" t="s">
        <v>391</v>
      </c>
      <c r="S2220" s="1">
        <f>electric_vehicles_dataset[[#This Row],[Units_Sold_2024]]*electric_vehicles_dataset[[#This Row],[Price_USD]]</f>
        <v>1773486872.3</v>
      </c>
      <c r="T2220">
        <v>4</v>
      </c>
      <c r="U2220">
        <v>15730</v>
      </c>
      <c r="V2220">
        <v>5</v>
      </c>
    </row>
    <row r="2221" spans="1:22" x14ac:dyDescent="0.35">
      <c r="A2221">
        <v>2220</v>
      </c>
      <c r="B2221" t="s">
        <v>64</v>
      </c>
      <c r="C2221" t="s">
        <v>65</v>
      </c>
      <c r="D2221">
        <v>2017</v>
      </c>
      <c r="E2221" t="s">
        <v>47</v>
      </c>
      <c r="F2221">
        <v>40.5</v>
      </c>
      <c r="G2221" t="s">
        <v>348</v>
      </c>
      <c r="H2221">
        <f>electric_vehicles_dataset[[#This Row],[Battery_Capacity_kWh]]/electric_vehicles_dataset[[#This Row],[Range_km]]</f>
        <v>0.10074626865671642</v>
      </c>
      <c r="I2221">
        <v>402</v>
      </c>
      <c r="J2221" t="s">
        <v>359</v>
      </c>
      <c r="K2221">
        <v>4</v>
      </c>
      <c r="L2221" s="1">
        <v>74206.78</v>
      </c>
      <c r="M2221" s="1" t="str" cm="1">
        <f t="array" ref="M222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21" t="s">
        <v>172</v>
      </c>
      <c r="O2221" t="s">
        <v>159</v>
      </c>
      <c r="P2221" s="2" t="s">
        <v>389</v>
      </c>
      <c r="Q2221">
        <v>1</v>
      </c>
      <c r="R2221" t="s">
        <v>391</v>
      </c>
      <c r="S2221" s="1">
        <f>electric_vehicles_dataset[[#This Row],[Units_Sold_2024]]*electric_vehicles_dataset[[#This Row],[Price_USD]]</f>
        <v>201100373.79999998</v>
      </c>
      <c r="T2221">
        <v>3</v>
      </c>
      <c r="U2221">
        <v>2710</v>
      </c>
      <c r="V2221">
        <v>4</v>
      </c>
    </row>
    <row r="2222" spans="1:22" x14ac:dyDescent="0.35">
      <c r="A2222">
        <v>2221</v>
      </c>
      <c r="B2222" t="s">
        <v>224</v>
      </c>
      <c r="C2222" t="s">
        <v>303</v>
      </c>
      <c r="D2222">
        <v>2023</v>
      </c>
      <c r="E2222" t="s">
        <v>42</v>
      </c>
      <c r="F2222">
        <v>63.6</v>
      </c>
      <c r="G2222" t="s">
        <v>351</v>
      </c>
      <c r="H2222">
        <f>electric_vehicles_dataset[[#This Row],[Battery_Capacity_kWh]]/electric_vehicles_dataset[[#This Row],[Range_km]]</f>
        <v>0.11022530329289429</v>
      </c>
      <c r="I2222">
        <v>577</v>
      </c>
      <c r="J2222" t="s">
        <v>76</v>
      </c>
      <c r="K2222">
        <v>10</v>
      </c>
      <c r="L2222" s="1">
        <v>98118.96</v>
      </c>
      <c r="M2222" s="1" t="str" cm="1">
        <f t="array" ref="M222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22" t="s">
        <v>49</v>
      </c>
      <c r="O2222" t="s">
        <v>236</v>
      </c>
      <c r="P2222" s="2" t="s">
        <v>394</v>
      </c>
      <c r="Q2222">
        <v>5</v>
      </c>
      <c r="R2222" t="s">
        <v>392</v>
      </c>
      <c r="S2222" s="1">
        <f>electric_vehicles_dataset[[#This Row],[Units_Sold_2024]]*electric_vehicles_dataset[[#This Row],[Price_USD]]</f>
        <v>1591293293.2800002</v>
      </c>
      <c r="T2222">
        <v>4</v>
      </c>
      <c r="U2222">
        <v>16218</v>
      </c>
      <c r="V2222">
        <v>5</v>
      </c>
    </row>
    <row r="2223" spans="1:22" x14ac:dyDescent="0.35">
      <c r="A2223">
        <v>2222</v>
      </c>
      <c r="B2223" t="s">
        <v>173</v>
      </c>
      <c r="C2223" t="s">
        <v>306</v>
      </c>
      <c r="D2223">
        <v>2016</v>
      </c>
      <c r="E2223" t="s">
        <v>130</v>
      </c>
      <c r="F2223">
        <v>59.1</v>
      </c>
      <c r="G2223" t="s">
        <v>348</v>
      </c>
      <c r="H2223">
        <f>electric_vehicles_dataset[[#This Row],[Battery_Capacity_kWh]]/electric_vehicles_dataset[[#This Row],[Range_km]]</f>
        <v>0.43138686131386861</v>
      </c>
      <c r="I2223">
        <v>137</v>
      </c>
      <c r="J2223" t="s">
        <v>18</v>
      </c>
      <c r="K2223">
        <v>8</v>
      </c>
      <c r="L2223" s="1">
        <v>55401.95</v>
      </c>
      <c r="M2223" s="1" t="str" cm="1">
        <f t="array" ref="M222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23" t="s">
        <v>39</v>
      </c>
      <c r="O2223" t="s">
        <v>89</v>
      </c>
      <c r="P2223" s="2" t="s">
        <v>389</v>
      </c>
      <c r="Q2223">
        <v>1</v>
      </c>
      <c r="R2223" t="s">
        <v>391</v>
      </c>
      <c r="S2223" s="1">
        <f>electric_vehicles_dataset[[#This Row],[Units_Sold_2024]]*electric_vehicles_dataset[[#This Row],[Price_USD]]</f>
        <v>599836912.64999998</v>
      </c>
      <c r="T2223">
        <v>3</v>
      </c>
      <c r="U2223">
        <v>10827</v>
      </c>
      <c r="V2223">
        <v>4</v>
      </c>
    </row>
    <row r="2224" spans="1:22" x14ac:dyDescent="0.35">
      <c r="A2224">
        <v>2223</v>
      </c>
      <c r="B2224" t="s">
        <v>243</v>
      </c>
      <c r="C2224" t="s">
        <v>244</v>
      </c>
      <c r="D2224">
        <v>2024</v>
      </c>
      <c r="E2224" t="s">
        <v>101</v>
      </c>
      <c r="F2224">
        <v>137</v>
      </c>
      <c r="G2224" t="s">
        <v>352</v>
      </c>
      <c r="H2224">
        <f>electric_vehicles_dataset[[#This Row],[Battery_Capacity_kWh]]/electric_vehicles_dataset[[#This Row],[Range_km]]</f>
        <v>0.40895522388059702</v>
      </c>
      <c r="I2224">
        <v>335</v>
      </c>
      <c r="J2224" t="s">
        <v>85</v>
      </c>
      <c r="K2224">
        <v>1</v>
      </c>
      <c r="L2224" s="1">
        <v>62600.87</v>
      </c>
      <c r="M2224" s="1" t="str" cm="1">
        <f t="array" ref="M222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24" t="s">
        <v>210</v>
      </c>
      <c r="O2224" t="s">
        <v>63</v>
      </c>
      <c r="P2224" s="2" t="s">
        <v>389</v>
      </c>
      <c r="Q2224">
        <v>5</v>
      </c>
      <c r="R2224" t="s">
        <v>392</v>
      </c>
      <c r="S2224" s="1">
        <f>electric_vehicles_dataset[[#This Row],[Units_Sold_2024]]*electric_vehicles_dataset[[#This Row],[Price_USD]]</f>
        <v>856818107.69000006</v>
      </c>
      <c r="T2224">
        <v>4</v>
      </c>
      <c r="U2224">
        <v>13687</v>
      </c>
      <c r="V2224">
        <v>3</v>
      </c>
    </row>
    <row r="2225" spans="1:22" x14ac:dyDescent="0.35">
      <c r="A2225">
        <v>2224</v>
      </c>
      <c r="B2225" t="s">
        <v>155</v>
      </c>
      <c r="C2225" t="s">
        <v>190</v>
      </c>
      <c r="D2225">
        <v>2018</v>
      </c>
      <c r="E2225" t="s">
        <v>31</v>
      </c>
      <c r="F2225">
        <v>95</v>
      </c>
      <c r="G2225" t="s">
        <v>350</v>
      </c>
      <c r="H2225">
        <f>electric_vehicles_dataset[[#This Row],[Battery_Capacity_kWh]]/electric_vehicles_dataset[[#This Row],[Range_km]]</f>
        <v>0.30844155844155846</v>
      </c>
      <c r="I2225">
        <v>308</v>
      </c>
      <c r="J2225" t="s">
        <v>34</v>
      </c>
      <c r="K2225">
        <v>11</v>
      </c>
      <c r="L2225" s="1">
        <v>124918.98</v>
      </c>
      <c r="M2225" s="1" t="str" cm="1">
        <f t="array" ref="M222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25" t="s">
        <v>22</v>
      </c>
      <c r="O2225" t="s">
        <v>121</v>
      </c>
      <c r="P2225" s="2" t="s">
        <v>398</v>
      </c>
      <c r="Q2225">
        <v>2</v>
      </c>
      <c r="R2225" t="s">
        <v>391</v>
      </c>
      <c r="S2225" s="1">
        <f>electric_vehicles_dataset[[#This Row],[Units_Sold_2024]]*electric_vehicles_dataset[[#This Row],[Price_USD]]</f>
        <v>932520185.69999993</v>
      </c>
      <c r="T2225">
        <v>4</v>
      </c>
      <c r="U2225">
        <v>7465</v>
      </c>
      <c r="V2225">
        <v>5</v>
      </c>
    </row>
    <row r="2226" spans="1:22" x14ac:dyDescent="0.35">
      <c r="A2226">
        <v>2225</v>
      </c>
      <c r="B2226" t="s">
        <v>224</v>
      </c>
      <c r="C2226" t="s">
        <v>225</v>
      </c>
      <c r="D2226">
        <v>2019</v>
      </c>
      <c r="E2226" t="s">
        <v>183</v>
      </c>
      <c r="F2226">
        <v>33.799999999999997</v>
      </c>
      <c r="G2226" t="s">
        <v>357</v>
      </c>
      <c r="H2226">
        <f>electric_vehicles_dataset[[#This Row],[Battery_Capacity_kWh]]/electric_vehicles_dataset[[#This Row],[Range_km]]</f>
        <v>6.7330677290836652E-2</v>
      </c>
      <c r="I2226">
        <v>502</v>
      </c>
      <c r="J2226" t="s">
        <v>364</v>
      </c>
      <c r="K2226">
        <v>1</v>
      </c>
      <c r="L2226" s="1">
        <v>47508.83</v>
      </c>
      <c r="M2226" s="1" t="str" cm="1">
        <f t="array" ref="M222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26" t="s">
        <v>214</v>
      </c>
      <c r="O2226" t="s">
        <v>167</v>
      </c>
      <c r="P2226" s="2" t="s">
        <v>394</v>
      </c>
      <c r="Q2226">
        <v>4</v>
      </c>
      <c r="R2226" t="s">
        <v>392</v>
      </c>
      <c r="S2226" s="1">
        <f>electric_vehicles_dataset[[#This Row],[Units_Sold_2024]]*electric_vehicles_dataset[[#This Row],[Price_USD]]</f>
        <v>233885970.09</v>
      </c>
      <c r="T2226">
        <v>5</v>
      </c>
      <c r="U2226">
        <v>4923</v>
      </c>
      <c r="V2226">
        <v>3</v>
      </c>
    </row>
    <row r="2227" spans="1:22" x14ac:dyDescent="0.35">
      <c r="A2227">
        <v>2226</v>
      </c>
      <c r="B2227" t="s">
        <v>79</v>
      </c>
      <c r="C2227" t="s">
        <v>267</v>
      </c>
      <c r="D2227">
        <v>2023</v>
      </c>
      <c r="E2227" t="s">
        <v>183</v>
      </c>
      <c r="F2227">
        <v>29.2</v>
      </c>
      <c r="G2227" t="s">
        <v>357</v>
      </c>
      <c r="H2227">
        <f>electric_vehicles_dataset[[#This Row],[Battery_Capacity_kWh]]/electric_vehicles_dataset[[#This Row],[Range_km]]</f>
        <v>7.7044854881266486E-2</v>
      </c>
      <c r="I2227">
        <v>379</v>
      </c>
      <c r="J2227" t="s">
        <v>358</v>
      </c>
      <c r="K2227">
        <v>8</v>
      </c>
      <c r="L2227" s="1">
        <v>142567.82999999999</v>
      </c>
      <c r="M2227" s="1" t="str" cm="1">
        <f t="array" ref="M222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27" t="s">
        <v>39</v>
      </c>
      <c r="O2227" t="s">
        <v>147</v>
      </c>
      <c r="P2227" s="2" t="s">
        <v>396</v>
      </c>
      <c r="Q2227">
        <v>1</v>
      </c>
      <c r="R2227" t="s">
        <v>391</v>
      </c>
      <c r="S2227" s="1">
        <f>electric_vehicles_dataset[[#This Row],[Units_Sold_2024]]*electric_vehicles_dataset[[#This Row],[Price_USD]]</f>
        <v>1146387921.03</v>
      </c>
      <c r="T2227">
        <v>5</v>
      </c>
      <c r="U2227">
        <v>8041</v>
      </c>
      <c r="V2227">
        <v>4</v>
      </c>
    </row>
    <row r="2228" spans="1:22" x14ac:dyDescent="0.35">
      <c r="A2228">
        <v>2227</v>
      </c>
      <c r="B2228" t="s">
        <v>96</v>
      </c>
      <c r="C2228" t="s">
        <v>116</v>
      </c>
      <c r="D2228">
        <v>2018</v>
      </c>
      <c r="E2228" t="s">
        <v>47</v>
      </c>
      <c r="F2228">
        <v>59.9</v>
      </c>
      <c r="G2228" t="s">
        <v>348</v>
      </c>
      <c r="H2228">
        <f>electric_vehicles_dataset[[#This Row],[Battery_Capacity_kWh]]/electric_vehicles_dataset[[#This Row],[Range_km]]</f>
        <v>0.16778711484593836</v>
      </c>
      <c r="I2228">
        <v>357</v>
      </c>
      <c r="J2228" t="s">
        <v>364</v>
      </c>
      <c r="K2228">
        <v>2</v>
      </c>
      <c r="L2228" s="1">
        <v>68994.09</v>
      </c>
      <c r="M2228" s="1" t="str" cm="1">
        <f t="array" ref="M222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28" t="s">
        <v>214</v>
      </c>
      <c r="O2228" t="s">
        <v>95</v>
      </c>
      <c r="P2228" s="2" t="s">
        <v>394</v>
      </c>
      <c r="Q2228">
        <v>2</v>
      </c>
      <c r="R2228" t="s">
        <v>391</v>
      </c>
      <c r="S2228" s="1">
        <f>electric_vehicles_dataset[[#This Row],[Units_Sold_2024]]*electric_vehicles_dataset[[#This Row],[Price_USD]]</f>
        <v>209121086.78999999</v>
      </c>
      <c r="T2228">
        <v>5</v>
      </c>
      <c r="U2228">
        <v>3031</v>
      </c>
      <c r="V2228">
        <v>4</v>
      </c>
    </row>
    <row r="2229" spans="1:22" x14ac:dyDescent="0.35">
      <c r="A2229">
        <v>2228</v>
      </c>
      <c r="B2229" t="s">
        <v>176</v>
      </c>
      <c r="C2229" t="s">
        <v>326</v>
      </c>
      <c r="D2229">
        <v>2021</v>
      </c>
      <c r="E2229" t="s">
        <v>101</v>
      </c>
      <c r="F2229">
        <v>59.2</v>
      </c>
      <c r="G2229" t="s">
        <v>348</v>
      </c>
      <c r="H2229">
        <f>electric_vehicles_dataset[[#This Row],[Battery_Capacity_kWh]]/electric_vehicles_dataset[[#This Row],[Range_km]]</f>
        <v>0.10189328743545611</v>
      </c>
      <c r="I2229">
        <v>581</v>
      </c>
      <c r="J2229" t="s">
        <v>38</v>
      </c>
      <c r="K2229">
        <v>11</v>
      </c>
      <c r="L2229" s="1">
        <v>64059.88</v>
      </c>
      <c r="M2229" s="1" t="str" cm="1">
        <f t="array" ref="M22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29" t="s">
        <v>177</v>
      </c>
      <c r="O2229" t="s">
        <v>115</v>
      </c>
      <c r="P2229" s="2" t="s">
        <v>396</v>
      </c>
      <c r="Q2229">
        <v>0</v>
      </c>
      <c r="R2229" t="s">
        <v>390</v>
      </c>
      <c r="S2229" s="1">
        <f>electric_vehicles_dataset[[#This Row],[Units_Sold_2024]]*electric_vehicles_dataset[[#This Row],[Price_USD]]</f>
        <v>817340008.91999996</v>
      </c>
      <c r="T2229">
        <v>4</v>
      </c>
      <c r="U2229">
        <v>12759</v>
      </c>
      <c r="V2229">
        <v>5</v>
      </c>
    </row>
    <row r="2230" spans="1:22" x14ac:dyDescent="0.35">
      <c r="A2230">
        <v>2229</v>
      </c>
      <c r="B2230" t="s">
        <v>215</v>
      </c>
      <c r="C2230" t="s">
        <v>216</v>
      </c>
      <c r="D2230">
        <v>2017</v>
      </c>
      <c r="E2230" t="s">
        <v>73</v>
      </c>
      <c r="F2230">
        <v>52.5</v>
      </c>
      <c r="G2230" t="s">
        <v>348</v>
      </c>
      <c r="H2230">
        <f>electric_vehicles_dataset[[#This Row],[Battery_Capacity_kWh]]/electric_vehicles_dataset[[#This Row],[Range_km]]</f>
        <v>0.21428571428571427</v>
      </c>
      <c r="I2230">
        <v>245</v>
      </c>
      <c r="J2230" t="s">
        <v>76</v>
      </c>
      <c r="K2230">
        <v>6</v>
      </c>
      <c r="L2230" s="1">
        <v>133211.57999999999</v>
      </c>
      <c r="M2230" s="1" t="str" cm="1">
        <f t="array" ref="M22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30" t="s">
        <v>62</v>
      </c>
      <c r="O2230" t="s">
        <v>236</v>
      </c>
      <c r="P2230" s="2" t="s">
        <v>394</v>
      </c>
      <c r="Q2230">
        <v>2</v>
      </c>
      <c r="R2230" t="s">
        <v>391</v>
      </c>
      <c r="S2230" s="1">
        <f>electric_vehicles_dataset[[#This Row],[Units_Sold_2024]]*electric_vehicles_dataset[[#This Row],[Price_USD]]</f>
        <v>1486374809.6399999</v>
      </c>
      <c r="T2230">
        <v>3</v>
      </c>
      <c r="U2230">
        <v>11158</v>
      </c>
      <c r="V2230">
        <v>4</v>
      </c>
    </row>
    <row r="2231" spans="1:22" x14ac:dyDescent="0.35">
      <c r="A2231">
        <v>2230</v>
      </c>
      <c r="B2231" t="s">
        <v>173</v>
      </c>
      <c r="C2231" t="s">
        <v>306</v>
      </c>
      <c r="D2231">
        <v>2015</v>
      </c>
      <c r="E2231" t="s">
        <v>17</v>
      </c>
      <c r="F2231">
        <v>106.1</v>
      </c>
      <c r="G2231" t="s">
        <v>361</v>
      </c>
      <c r="H2231">
        <f>electric_vehicles_dataset[[#This Row],[Battery_Capacity_kWh]]/electric_vehicles_dataset[[#This Row],[Range_km]]</f>
        <v>0.33897763578274759</v>
      </c>
      <c r="I2231">
        <v>313</v>
      </c>
      <c r="J2231" t="s">
        <v>27</v>
      </c>
      <c r="K2231">
        <v>10</v>
      </c>
      <c r="L2231" s="1">
        <v>59980.24</v>
      </c>
      <c r="M2231" s="1" t="str" cm="1">
        <f t="array" ref="M223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31" t="s">
        <v>59</v>
      </c>
      <c r="O2231" t="s">
        <v>121</v>
      </c>
      <c r="P2231" s="2" t="s">
        <v>398</v>
      </c>
      <c r="Q2231">
        <v>0</v>
      </c>
      <c r="R2231" t="s">
        <v>390</v>
      </c>
      <c r="S2231" s="1">
        <f>electric_vehicles_dataset[[#This Row],[Units_Sold_2024]]*electric_vehicles_dataset[[#This Row],[Price_USD]]</f>
        <v>212929852</v>
      </c>
      <c r="T2231">
        <v>4</v>
      </c>
      <c r="U2231">
        <v>3550</v>
      </c>
      <c r="V2231">
        <v>4</v>
      </c>
    </row>
    <row r="2232" spans="1:22" x14ac:dyDescent="0.35">
      <c r="A2232">
        <v>2231</v>
      </c>
      <c r="B2232" t="s">
        <v>112</v>
      </c>
      <c r="C2232" t="s">
        <v>113</v>
      </c>
      <c r="D2232">
        <v>2017</v>
      </c>
      <c r="E2232" t="s">
        <v>58</v>
      </c>
      <c r="F2232">
        <v>53.8</v>
      </c>
      <c r="G2232" t="s">
        <v>348</v>
      </c>
      <c r="H2232">
        <f>electric_vehicles_dataset[[#This Row],[Battery_Capacity_kWh]]/electric_vehicles_dataset[[#This Row],[Range_km]]</f>
        <v>0.10979591836734694</v>
      </c>
      <c r="I2232">
        <v>490</v>
      </c>
      <c r="J2232" t="s">
        <v>364</v>
      </c>
      <c r="K2232">
        <v>9</v>
      </c>
      <c r="L2232" s="1">
        <v>30054.61</v>
      </c>
      <c r="M2232" s="1" t="str" cm="1">
        <f t="array" ref="M223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32" t="s">
        <v>177</v>
      </c>
      <c r="O2232" t="s">
        <v>23</v>
      </c>
      <c r="P2232" s="2" t="s">
        <v>389</v>
      </c>
      <c r="Q2232">
        <v>0</v>
      </c>
      <c r="R2232" t="s">
        <v>390</v>
      </c>
      <c r="S2232" s="1">
        <f>electric_vehicles_dataset[[#This Row],[Units_Sold_2024]]*electric_vehicles_dataset[[#This Row],[Price_USD]]</f>
        <v>506780833.81999999</v>
      </c>
      <c r="T2232">
        <v>4</v>
      </c>
      <c r="U2232">
        <v>16862</v>
      </c>
      <c r="V2232">
        <v>3</v>
      </c>
    </row>
    <row r="2233" spans="1:22" x14ac:dyDescent="0.35">
      <c r="A2233">
        <v>2232</v>
      </c>
      <c r="B2233" t="s">
        <v>157</v>
      </c>
      <c r="C2233" t="s">
        <v>158</v>
      </c>
      <c r="D2233">
        <v>2021</v>
      </c>
      <c r="E2233" t="s">
        <v>133</v>
      </c>
      <c r="F2233">
        <v>106.4</v>
      </c>
      <c r="G2233" t="s">
        <v>361</v>
      </c>
      <c r="H2233">
        <f>electric_vehicles_dataset[[#This Row],[Battery_Capacity_kWh]]/electric_vehicles_dataset[[#This Row],[Range_km]]</f>
        <v>0.74405594405594411</v>
      </c>
      <c r="I2233">
        <v>143</v>
      </c>
      <c r="J2233" t="s">
        <v>38</v>
      </c>
      <c r="K2233">
        <v>4</v>
      </c>
      <c r="L2233" s="1">
        <v>53009.4</v>
      </c>
      <c r="M2233" s="1" t="str" cm="1">
        <f t="array" ref="M223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33" t="s">
        <v>106</v>
      </c>
      <c r="O2233" t="s">
        <v>63</v>
      </c>
      <c r="P2233" s="2" t="s">
        <v>389</v>
      </c>
      <c r="Q2233">
        <v>2</v>
      </c>
      <c r="R2233" t="s">
        <v>391</v>
      </c>
      <c r="S2233" s="1">
        <f>electric_vehicles_dataset[[#This Row],[Units_Sold_2024]]*electric_vehicles_dataset[[#This Row],[Price_USD]]</f>
        <v>899569518</v>
      </c>
      <c r="T2233">
        <v>4</v>
      </c>
      <c r="U2233">
        <v>16970</v>
      </c>
      <c r="V2233">
        <v>4</v>
      </c>
    </row>
    <row r="2234" spans="1:22" x14ac:dyDescent="0.35">
      <c r="A2234">
        <v>2233</v>
      </c>
      <c r="B2234" t="s">
        <v>157</v>
      </c>
      <c r="C2234" t="s">
        <v>296</v>
      </c>
      <c r="D2234">
        <v>2020</v>
      </c>
      <c r="E2234" t="s">
        <v>53</v>
      </c>
      <c r="F2234">
        <v>76</v>
      </c>
      <c r="G2234" t="s">
        <v>351</v>
      </c>
      <c r="H2234">
        <f>electric_vehicles_dataset[[#This Row],[Battery_Capacity_kWh]]/electric_vehicles_dataset[[#This Row],[Range_km]]</f>
        <v>0.15573770491803279</v>
      </c>
      <c r="I2234">
        <v>488</v>
      </c>
      <c r="J2234" t="s">
        <v>38</v>
      </c>
      <c r="K2234">
        <v>7</v>
      </c>
      <c r="L2234" s="1">
        <v>82709.38</v>
      </c>
      <c r="M2234" s="1" t="str" cm="1">
        <f t="array" ref="M22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34" t="s">
        <v>217</v>
      </c>
      <c r="O2234" t="s">
        <v>93</v>
      </c>
      <c r="P2234" s="2" t="s">
        <v>389</v>
      </c>
      <c r="Q2234">
        <v>5</v>
      </c>
      <c r="R2234" t="s">
        <v>392</v>
      </c>
      <c r="S2234" s="1">
        <f>electric_vehicles_dataset[[#This Row],[Units_Sold_2024]]*electric_vehicles_dataset[[#This Row],[Price_USD]]</f>
        <v>892186082.06000006</v>
      </c>
      <c r="T2234">
        <v>3</v>
      </c>
      <c r="U2234">
        <v>10787</v>
      </c>
      <c r="V2234">
        <v>3</v>
      </c>
    </row>
    <row r="2235" spans="1:22" x14ac:dyDescent="0.35">
      <c r="A2235">
        <v>2234</v>
      </c>
      <c r="B2235" t="s">
        <v>269</v>
      </c>
      <c r="C2235" t="s">
        <v>270</v>
      </c>
      <c r="D2235">
        <v>2024</v>
      </c>
      <c r="E2235" t="s">
        <v>101</v>
      </c>
      <c r="F2235">
        <v>42.1</v>
      </c>
      <c r="G2235" t="s">
        <v>348</v>
      </c>
      <c r="H2235">
        <f>electric_vehicles_dataset[[#This Row],[Battery_Capacity_kWh]]/electric_vehicles_dataset[[#This Row],[Range_km]]</f>
        <v>8.1589147286821706E-2</v>
      </c>
      <c r="I2235">
        <v>516</v>
      </c>
      <c r="J2235" t="s">
        <v>48</v>
      </c>
      <c r="K2235">
        <v>8</v>
      </c>
      <c r="L2235" s="1">
        <v>42317.279999999999</v>
      </c>
      <c r="M2235" s="1" t="str" cm="1">
        <f t="array" ref="M22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35" t="s">
        <v>179</v>
      </c>
      <c r="O2235" t="s">
        <v>23</v>
      </c>
      <c r="P2235" s="2" t="s">
        <v>389</v>
      </c>
      <c r="Q2235">
        <v>4</v>
      </c>
      <c r="R2235" t="s">
        <v>392</v>
      </c>
      <c r="S2235" s="1">
        <f>electric_vehicles_dataset[[#This Row],[Units_Sold_2024]]*electric_vehicles_dataset[[#This Row],[Price_USD]]</f>
        <v>394143145.92000002</v>
      </c>
      <c r="T2235">
        <v>3</v>
      </c>
      <c r="U2235">
        <v>9314</v>
      </c>
      <c r="V2235">
        <v>3</v>
      </c>
    </row>
    <row r="2236" spans="1:22" x14ac:dyDescent="0.35">
      <c r="A2236">
        <v>2235</v>
      </c>
      <c r="B2236" t="s">
        <v>51</v>
      </c>
      <c r="C2236" t="s">
        <v>52</v>
      </c>
      <c r="D2236">
        <v>2018</v>
      </c>
      <c r="E2236" t="s">
        <v>26</v>
      </c>
      <c r="F2236">
        <v>86.7</v>
      </c>
      <c r="G2236" t="s">
        <v>350</v>
      </c>
      <c r="H2236">
        <f>electric_vehicles_dataset[[#This Row],[Battery_Capacity_kWh]]/electric_vehicles_dataset[[#This Row],[Range_km]]</f>
        <v>0.30421052631578949</v>
      </c>
      <c r="I2236">
        <v>285</v>
      </c>
      <c r="J2236" t="s">
        <v>34</v>
      </c>
      <c r="K2236">
        <v>11</v>
      </c>
      <c r="L2236" s="1">
        <v>99729.71</v>
      </c>
      <c r="M2236" s="1" t="str" cm="1">
        <f t="array" ref="M223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36" t="s">
        <v>98</v>
      </c>
      <c r="O2236" t="s">
        <v>147</v>
      </c>
      <c r="P2236" s="2" t="s">
        <v>396</v>
      </c>
      <c r="Q2236">
        <v>1</v>
      </c>
      <c r="R2236" t="s">
        <v>391</v>
      </c>
      <c r="S2236" s="1">
        <f>electric_vehicles_dataset[[#This Row],[Units_Sold_2024]]*electric_vehicles_dataset[[#This Row],[Price_USD]]</f>
        <v>530262868.07000005</v>
      </c>
      <c r="T2236">
        <v>3</v>
      </c>
      <c r="U2236">
        <v>5317</v>
      </c>
      <c r="V2236">
        <v>5</v>
      </c>
    </row>
    <row r="2237" spans="1:22" x14ac:dyDescent="0.35">
      <c r="A2237">
        <v>2236</v>
      </c>
      <c r="B2237" t="s">
        <v>144</v>
      </c>
      <c r="C2237" t="s">
        <v>273</v>
      </c>
      <c r="D2237">
        <v>2022</v>
      </c>
      <c r="E2237" t="s">
        <v>133</v>
      </c>
      <c r="F2237">
        <v>135.69999999999999</v>
      </c>
      <c r="G2237" t="s">
        <v>352</v>
      </c>
      <c r="H2237">
        <f>electric_vehicles_dataset[[#This Row],[Battery_Capacity_kWh]]/electric_vehicles_dataset[[#This Row],[Range_km]]</f>
        <v>0.76666666666666661</v>
      </c>
      <c r="I2237">
        <v>177</v>
      </c>
      <c r="J2237" t="s">
        <v>27</v>
      </c>
      <c r="K2237">
        <v>8</v>
      </c>
      <c r="L2237" s="1">
        <v>90730.65</v>
      </c>
      <c r="M2237" s="1" t="str" cm="1">
        <f t="array" ref="M223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37" t="s">
        <v>127</v>
      </c>
      <c r="O2237" t="s">
        <v>111</v>
      </c>
      <c r="P2237" s="2" t="s">
        <v>389</v>
      </c>
      <c r="Q2237">
        <v>4</v>
      </c>
      <c r="R2237" t="s">
        <v>392</v>
      </c>
      <c r="S2237" s="1">
        <f>electric_vehicles_dataset[[#This Row],[Units_Sold_2024]]*electric_vehicles_dataset[[#This Row],[Price_USD]]</f>
        <v>1082144462.55</v>
      </c>
      <c r="T2237">
        <v>4</v>
      </c>
      <c r="U2237">
        <v>11927</v>
      </c>
      <c r="V2237">
        <v>5</v>
      </c>
    </row>
    <row r="2238" spans="1:22" x14ac:dyDescent="0.35">
      <c r="A2238">
        <v>2237</v>
      </c>
      <c r="B2238" t="s">
        <v>234</v>
      </c>
      <c r="C2238" t="s">
        <v>235</v>
      </c>
      <c r="D2238">
        <v>2023</v>
      </c>
      <c r="E2238" t="s">
        <v>101</v>
      </c>
      <c r="F2238">
        <v>80.2</v>
      </c>
      <c r="G2238" t="s">
        <v>350</v>
      </c>
      <c r="H2238">
        <f>electric_vehicles_dataset[[#This Row],[Battery_Capacity_kWh]]/electric_vehicles_dataset[[#This Row],[Range_km]]</f>
        <v>0.13803786574870913</v>
      </c>
      <c r="I2238">
        <v>581</v>
      </c>
      <c r="J2238" t="s">
        <v>48</v>
      </c>
      <c r="K2238">
        <v>3</v>
      </c>
      <c r="L2238" s="1">
        <v>76270.210000000006</v>
      </c>
      <c r="M2238" s="1" t="str" cm="1">
        <f t="array" ref="M223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38" t="s">
        <v>117</v>
      </c>
      <c r="O2238" t="s">
        <v>89</v>
      </c>
      <c r="P2238" s="2" t="s">
        <v>389</v>
      </c>
      <c r="Q2238">
        <v>0</v>
      </c>
      <c r="R2238" t="s">
        <v>390</v>
      </c>
      <c r="S2238" s="1">
        <f>electric_vehicles_dataset[[#This Row],[Units_Sold_2024]]*electric_vehicles_dataset[[#This Row],[Price_USD]]</f>
        <v>1441278158.3700001</v>
      </c>
      <c r="T2238">
        <v>4</v>
      </c>
      <c r="U2238">
        <v>18897</v>
      </c>
      <c r="V2238">
        <v>3</v>
      </c>
    </row>
    <row r="2239" spans="1:22" x14ac:dyDescent="0.35">
      <c r="A2239">
        <v>2238</v>
      </c>
      <c r="B2239" t="s">
        <v>56</v>
      </c>
      <c r="C2239" t="s">
        <v>57</v>
      </c>
      <c r="D2239">
        <v>2017</v>
      </c>
      <c r="E2239" t="s">
        <v>17</v>
      </c>
      <c r="F2239">
        <v>34.799999999999997</v>
      </c>
      <c r="G2239" t="s">
        <v>357</v>
      </c>
      <c r="H2239">
        <f>electric_vehicles_dataset[[#This Row],[Battery_Capacity_kWh]]/electric_vehicles_dataset[[#This Row],[Range_km]]</f>
        <v>7.9999999999999988E-2</v>
      </c>
      <c r="I2239">
        <v>435</v>
      </c>
      <c r="J2239" t="s">
        <v>76</v>
      </c>
      <c r="K2239">
        <v>11</v>
      </c>
      <c r="L2239" s="1">
        <v>41804.870000000003</v>
      </c>
      <c r="M2239" s="1" t="str" cm="1">
        <f t="array" ref="M22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39" t="s">
        <v>279</v>
      </c>
      <c r="O2239" t="s">
        <v>121</v>
      </c>
      <c r="P2239" s="2" t="s">
        <v>398</v>
      </c>
      <c r="Q2239">
        <v>1</v>
      </c>
      <c r="R2239" t="s">
        <v>391</v>
      </c>
      <c r="S2239" s="1">
        <f>electric_vehicles_dataset[[#This Row],[Units_Sold_2024]]*electric_vehicles_dataset[[#This Row],[Price_USD]]</f>
        <v>233981857.39000002</v>
      </c>
      <c r="T2239">
        <v>5</v>
      </c>
      <c r="U2239">
        <v>5597</v>
      </c>
      <c r="V2239">
        <v>3</v>
      </c>
    </row>
    <row r="2240" spans="1:22" x14ac:dyDescent="0.35">
      <c r="A2240">
        <v>2239</v>
      </c>
      <c r="B2240" t="s">
        <v>176</v>
      </c>
      <c r="C2240" t="s">
        <v>326</v>
      </c>
      <c r="D2240">
        <v>2023</v>
      </c>
      <c r="E2240" t="s">
        <v>133</v>
      </c>
      <c r="F2240">
        <v>141.4</v>
      </c>
      <c r="G2240" t="s">
        <v>386</v>
      </c>
      <c r="H2240">
        <f>electric_vehicles_dataset[[#This Row],[Battery_Capacity_kWh]]/electric_vehicles_dataset[[#This Row],[Range_km]]</f>
        <v>0.23645484949832776</v>
      </c>
      <c r="I2240">
        <v>598</v>
      </c>
      <c r="J2240" t="s">
        <v>76</v>
      </c>
      <c r="K2240">
        <v>9</v>
      </c>
      <c r="L2240" s="1">
        <v>47706.18</v>
      </c>
      <c r="M2240" s="1" t="str" cm="1">
        <f t="array" ref="M224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40" t="s">
        <v>254</v>
      </c>
      <c r="O2240" t="s">
        <v>161</v>
      </c>
      <c r="P2240" s="2" t="s">
        <v>389</v>
      </c>
      <c r="Q2240">
        <v>3</v>
      </c>
      <c r="R2240" t="s">
        <v>397</v>
      </c>
      <c r="S2240" s="1">
        <f>electric_vehicles_dataset[[#This Row],[Units_Sold_2024]]*electric_vehicles_dataset[[#This Row],[Price_USD]]</f>
        <v>379359543.36000001</v>
      </c>
      <c r="T2240">
        <v>4</v>
      </c>
      <c r="U2240">
        <v>7952</v>
      </c>
      <c r="V2240">
        <v>3</v>
      </c>
    </row>
    <row r="2241" spans="1:22" x14ac:dyDescent="0.35">
      <c r="A2241">
        <v>2240</v>
      </c>
      <c r="B2241" t="s">
        <v>79</v>
      </c>
      <c r="C2241" t="s">
        <v>333</v>
      </c>
      <c r="D2241">
        <v>2020</v>
      </c>
      <c r="E2241" t="s">
        <v>31</v>
      </c>
      <c r="F2241">
        <v>141.80000000000001</v>
      </c>
      <c r="G2241" t="s">
        <v>386</v>
      </c>
      <c r="H2241">
        <f>electric_vehicles_dataset[[#This Row],[Battery_Capacity_kWh]]/electric_vehicles_dataset[[#This Row],[Range_km]]</f>
        <v>0.23831932773109246</v>
      </c>
      <c r="I2241">
        <v>595</v>
      </c>
      <c r="J2241" t="s">
        <v>105</v>
      </c>
      <c r="K2241">
        <v>2</v>
      </c>
      <c r="L2241" s="1">
        <v>94427.56</v>
      </c>
      <c r="M2241" s="1" t="str" cm="1">
        <f t="array" ref="M22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41" t="s">
        <v>172</v>
      </c>
      <c r="O2241" t="s">
        <v>95</v>
      </c>
      <c r="P2241" s="2" t="s">
        <v>394</v>
      </c>
      <c r="Q2241">
        <v>3</v>
      </c>
      <c r="R2241" t="s">
        <v>397</v>
      </c>
      <c r="S2241" s="1">
        <f>electric_vehicles_dataset[[#This Row],[Units_Sold_2024]]*electric_vehicles_dataset[[#This Row],[Price_USD]]</f>
        <v>612268299.03999996</v>
      </c>
      <c r="T2241">
        <v>3</v>
      </c>
      <c r="U2241">
        <v>6484</v>
      </c>
      <c r="V2241">
        <v>5</v>
      </c>
    </row>
    <row r="2242" spans="1:22" x14ac:dyDescent="0.35">
      <c r="A2242">
        <v>2241</v>
      </c>
      <c r="B2242" t="s">
        <v>16</v>
      </c>
      <c r="C2242" t="s">
        <v>347</v>
      </c>
      <c r="D2242">
        <v>2025</v>
      </c>
      <c r="E2242" t="s">
        <v>17</v>
      </c>
      <c r="F2242">
        <v>138.30000000000001</v>
      </c>
      <c r="G2242" t="s">
        <v>352</v>
      </c>
      <c r="H2242">
        <f>electric_vehicles_dataset[[#This Row],[Battery_Capacity_kWh]]/electric_vehicles_dataset[[#This Row],[Range_km]]</f>
        <v>0.43490566037735851</v>
      </c>
      <c r="I2242">
        <v>318</v>
      </c>
      <c r="J2242" t="s">
        <v>34</v>
      </c>
      <c r="K2242">
        <v>11</v>
      </c>
      <c r="L2242" s="1">
        <v>66286.070000000007</v>
      </c>
      <c r="M2242" s="1" t="str" cm="1">
        <f t="array" ref="M224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42" t="s">
        <v>19</v>
      </c>
      <c r="O2242" t="s">
        <v>230</v>
      </c>
      <c r="P2242" s="2" t="s">
        <v>389</v>
      </c>
      <c r="Q2242">
        <v>1</v>
      </c>
      <c r="R2242" t="s">
        <v>391</v>
      </c>
      <c r="S2242" s="1">
        <f>electric_vehicles_dataset[[#This Row],[Units_Sold_2024]]*electric_vehicles_dataset[[#This Row],[Price_USD]]</f>
        <v>387640937.36000001</v>
      </c>
      <c r="T2242">
        <v>4</v>
      </c>
      <c r="U2242">
        <v>5848</v>
      </c>
      <c r="V2242">
        <v>4</v>
      </c>
    </row>
    <row r="2243" spans="1:22" x14ac:dyDescent="0.35">
      <c r="A2243">
        <v>2242</v>
      </c>
      <c r="B2243" t="s">
        <v>136</v>
      </c>
      <c r="C2243" t="s">
        <v>137</v>
      </c>
      <c r="D2243">
        <v>2015</v>
      </c>
      <c r="E2243" t="s">
        <v>31</v>
      </c>
      <c r="F2243">
        <v>128.19999999999999</v>
      </c>
      <c r="G2243" t="s">
        <v>352</v>
      </c>
      <c r="H2243">
        <f>electric_vehicles_dataset[[#This Row],[Battery_Capacity_kWh]]/electric_vehicles_dataset[[#This Row],[Range_km]]</f>
        <v>0.28052516411378553</v>
      </c>
      <c r="I2243">
        <v>457</v>
      </c>
      <c r="J2243" t="s">
        <v>27</v>
      </c>
      <c r="K2243">
        <v>11</v>
      </c>
      <c r="L2243" s="1">
        <v>74444.509999999995</v>
      </c>
      <c r="M2243" s="1" t="str" cm="1">
        <f t="array" ref="M224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43" t="s">
        <v>228</v>
      </c>
      <c r="O2243" t="s">
        <v>135</v>
      </c>
      <c r="P2243" s="2" t="s">
        <v>389</v>
      </c>
      <c r="Q2243">
        <v>4</v>
      </c>
      <c r="R2243" t="s">
        <v>392</v>
      </c>
      <c r="S2243" s="1">
        <f>electric_vehicles_dataset[[#This Row],[Units_Sold_2024]]*electric_vehicles_dataset[[#This Row],[Price_USD]]</f>
        <v>691887275.93999994</v>
      </c>
      <c r="T2243">
        <v>3</v>
      </c>
      <c r="U2243">
        <v>9294</v>
      </c>
      <c r="V2243">
        <v>4</v>
      </c>
    </row>
    <row r="2244" spans="1:22" x14ac:dyDescent="0.35">
      <c r="A2244">
        <v>2243</v>
      </c>
      <c r="B2244" t="s">
        <v>74</v>
      </c>
      <c r="C2244" t="s">
        <v>75</v>
      </c>
      <c r="D2244">
        <v>2020</v>
      </c>
      <c r="E2244" t="s">
        <v>133</v>
      </c>
      <c r="F2244">
        <v>43.8</v>
      </c>
      <c r="G2244" t="s">
        <v>348</v>
      </c>
      <c r="H2244">
        <f>electric_vehicles_dataset[[#This Row],[Battery_Capacity_kWh]]/electric_vehicles_dataset[[#This Row],[Range_km]]</f>
        <v>0.15812274368231047</v>
      </c>
      <c r="I2244">
        <v>277</v>
      </c>
      <c r="J2244" t="s">
        <v>54</v>
      </c>
      <c r="K2244">
        <v>11</v>
      </c>
      <c r="L2244" s="1">
        <v>82424.160000000003</v>
      </c>
      <c r="M2244" s="1" t="str" cm="1">
        <f t="array" ref="M224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44" t="s">
        <v>271</v>
      </c>
      <c r="O2244" t="s">
        <v>107</v>
      </c>
      <c r="P2244" s="2" t="s">
        <v>394</v>
      </c>
      <c r="Q2244">
        <v>1</v>
      </c>
      <c r="R2244" t="s">
        <v>391</v>
      </c>
      <c r="S2244" s="1">
        <f>electric_vehicles_dataset[[#This Row],[Units_Sold_2024]]*electric_vehicles_dataset[[#This Row],[Price_USD]]</f>
        <v>631781186.39999998</v>
      </c>
      <c r="T2244">
        <v>4</v>
      </c>
      <c r="U2244">
        <v>7665</v>
      </c>
      <c r="V2244">
        <v>5</v>
      </c>
    </row>
    <row r="2245" spans="1:22" x14ac:dyDescent="0.35">
      <c r="A2245">
        <v>2244</v>
      </c>
      <c r="B2245" t="s">
        <v>21</v>
      </c>
      <c r="C2245" t="s">
        <v>363</v>
      </c>
      <c r="D2245">
        <v>2017</v>
      </c>
      <c r="E2245" t="s">
        <v>31</v>
      </c>
      <c r="F2245">
        <v>92.2</v>
      </c>
      <c r="G2245" t="s">
        <v>350</v>
      </c>
      <c r="H2245">
        <f>electric_vehicles_dataset[[#This Row],[Battery_Capacity_kWh]]/electric_vehicles_dataset[[#This Row],[Range_km]]</f>
        <v>0.60657894736842111</v>
      </c>
      <c r="I2245">
        <v>152</v>
      </c>
      <c r="J2245" t="s">
        <v>85</v>
      </c>
      <c r="K2245">
        <v>10</v>
      </c>
      <c r="L2245" s="1">
        <v>91354.71</v>
      </c>
      <c r="M2245" s="1" t="str" cm="1">
        <f t="array" ref="M224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45" t="s">
        <v>55</v>
      </c>
      <c r="O2245" t="s">
        <v>110</v>
      </c>
      <c r="P2245" s="2" t="s">
        <v>394</v>
      </c>
      <c r="Q2245">
        <v>5</v>
      </c>
      <c r="R2245" t="s">
        <v>392</v>
      </c>
      <c r="S2245" s="1">
        <f>electric_vehicles_dataset[[#This Row],[Units_Sold_2024]]*electric_vehicles_dataset[[#This Row],[Price_USD]]</f>
        <v>1644202070.5800002</v>
      </c>
      <c r="T2245">
        <v>4</v>
      </c>
      <c r="U2245">
        <v>17998</v>
      </c>
      <c r="V2245">
        <v>5</v>
      </c>
    </row>
    <row r="2246" spans="1:22" x14ac:dyDescent="0.35">
      <c r="A2246">
        <v>2245</v>
      </c>
      <c r="B2246" t="s">
        <v>222</v>
      </c>
      <c r="C2246" t="s">
        <v>223</v>
      </c>
      <c r="D2246">
        <v>2022</v>
      </c>
      <c r="E2246" t="s">
        <v>53</v>
      </c>
      <c r="F2246">
        <v>147.9</v>
      </c>
      <c r="G2246" t="s">
        <v>386</v>
      </c>
      <c r="H2246">
        <f>electric_vehicles_dataset[[#This Row],[Battery_Capacity_kWh]]/electric_vehicles_dataset[[#This Row],[Range_km]]</f>
        <v>0.2594736842105263</v>
      </c>
      <c r="I2246">
        <v>570</v>
      </c>
      <c r="J2246" t="s">
        <v>27</v>
      </c>
      <c r="K2246">
        <v>4</v>
      </c>
      <c r="L2246" s="1">
        <v>108085.62</v>
      </c>
      <c r="M2246" s="1" t="str" cm="1">
        <f t="array" ref="M224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46" t="s">
        <v>102</v>
      </c>
      <c r="O2246" t="s">
        <v>202</v>
      </c>
      <c r="P2246" s="2" t="s">
        <v>393</v>
      </c>
      <c r="Q2246">
        <v>3</v>
      </c>
      <c r="R2246" t="s">
        <v>397</v>
      </c>
      <c r="S2246" s="1">
        <f>electric_vehicles_dataset[[#This Row],[Units_Sold_2024]]*electric_vehicles_dataset[[#This Row],[Price_USD]]</f>
        <v>2132421196.98</v>
      </c>
      <c r="T2246">
        <v>5</v>
      </c>
      <c r="U2246">
        <v>19729</v>
      </c>
      <c r="V2246">
        <v>4</v>
      </c>
    </row>
    <row r="2247" spans="1:22" x14ac:dyDescent="0.35">
      <c r="A2247">
        <v>2246</v>
      </c>
      <c r="B2247" t="s">
        <v>41</v>
      </c>
      <c r="C2247" t="s">
        <v>374</v>
      </c>
      <c r="D2247">
        <v>2016</v>
      </c>
      <c r="E2247" t="s">
        <v>26</v>
      </c>
      <c r="F2247">
        <v>30.5</v>
      </c>
      <c r="G2247" t="s">
        <v>357</v>
      </c>
      <c r="H2247">
        <f>electric_vehicles_dataset[[#This Row],[Battery_Capacity_kWh]]/electric_vehicles_dataset[[#This Row],[Range_km]]</f>
        <v>9.5911949685534598E-2</v>
      </c>
      <c r="I2247">
        <v>318</v>
      </c>
      <c r="J2247" t="s">
        <v>85</v>
      </c>
      <c r="K2247">
        <v>8</v>
      </c>
      <c r="L2247" s="1">
        <v>108096.08</v>
      </c>
      <c r="M2247" s="1" t="str" cm="1">
        <f t="array" ref="M22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47" t="s">
        <v>146</v>
      </c>
      <c r="O2247" t="s">
        <v>78</v>
      </c>
      <c r="P2247" s="2" t="s">
        <v>389</v>
      </c>
      <c r="Q2247">
        <v>3</v>
      </c>
      <c r="R2247" t="s">
        <v>397</v>
      </c>
      <c r="S2247" s="1">
        <f>electric_vehicles_dataset[[#This Row],[Units_Sold_2024]]*electric_vehicles_dataset[[#This Row],[Price_USD]]</f>
        <v>11674376.640000001</v>
      </c>
      <c r="T2247">
        <v>4</v>
      </c>
      <c r="U2247">
        <v>108</v>
      </c>
      <c r="V2247">
        <v>4</v>
      </c>
    </row>
    <row r="2248" spans="1:22" x14ac:dyDescent="0.35">
      <c r="A2248">
        <v>2247</v>
      </c>
      <c r="B2248" t="s">
        <v>173</v>
      </c>
      <c r="C2248" t="s">
        <v>174</v>
      </c>
      <c r="D2248">
        <v>2015</v>
      </c>
      <c r="E2248" t="s">
        <v>17</v>
      </c>
      <c r="F2248">
        <v>92.6</v>
      </c>
      <c r="G2248" t="s">
        <v>350</v>
      </c>
      <c r="H2248">
        <f>electric_vehicles_dataset[[#This Row],[Battery_Capacity_kWh]]/electric_vehicles_dataset[[#This Row],[Range_km]]</f>
        <v>0.16245614035087719</v>
      </c>
      <c r="I2248">
        <v>570</v>
      </c>
      <c r="J2248" t="s">
        <v>54</v>
      </c>
      <c r="K2248">
        <v>7</v>
      </c>
      <c r="L2248" s="1">
        <v>109034.7</v>
      </c>
      <c r="M2248" s="1" t="str" cm="1">
        <f t="array" ref="M224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48" t="s">
        <v>217</v>
      </c>
      <c r="O2248" t="s">
        <v>118</v>
      </c>
      <c r="P2248" s="2" t="s">
        <v>389</v>
      </c>
      <c r="Q2248">
        <v>3</v>
      </c>
      <c r="R2248" t="s">
        <v>397</v>
      </c>
      <c r="S2248" s="1">
        <f>electric_vehicles_dataset[[#This Row],[Units_Sold_2024]]*electric_vehicles_dataset[[#This Row],[Price_USD]]</f>
        <v>1802670695.0999999</v>
      </c>
      <c r="T2248">
        <v>4</v>
      </c>
      <c r="U2248">
        <v>16533</v>
      </c>
      <c r="V2248">
        <v>4</v>
      </c>
    </row>
    <row r="2249" spans="1:22" x14ac:dyDescent="0.35">
      <c r="A2249">
        <v>2248</v>
      </c>
      <c r="B2249" t="s">
        <v>215</v>
      </c>
      <c r="C2249" t="s">
        <v>377</v>
      </c>
      <c r="D2249">
        <v>2017</v>
      </c>
      <c r="E2249" t="s">
        <v>183</v>
      </c>
      <c r="F2249">
        <v>29.2</v>
      </c>
      <c r="G2249" t="s">
        <v>357</v>
      </c>
      <c r="H2249">
        <f>electric_vehicles_dataset[[#This Row],[Battery_Capacity_kWh]]/electric_vehicles_dataset[[#This Row],[Range_km]]</f>
        <v>7.7044854881266486E-2</v>
      </c>
      <c r="I2249">
        <v>379</v>
      </c>
      <c r="J2249" t="s">
        <v>76</v>
      </c>
      <c r="K2249">
        <v>10</v>
      </c>
      <c r="L2249" s="1">
        <v>139434.32999999999</v>
      </c>
      <c r="M2249" s="1" t="str" cm="1">
        <f t="array" ref="M224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49" t="s">
        <v>91</v>
      </c>
      <c r="O2249" t="s">
        <v>92</v>
      </c>
      <c r="P2249" s="2" t="s">
        <v>394</v>
      </c>
      <c r="Q2249">
        <v>2</v>
      </c>
      <c r="R2249" t="s">
        <v>391</v>
      </c>
      <c r="S2249" s="1">
        <f>electric_vehicles_dataset[[#This Row],[Units_Sold_2024]]*electric_vehicles_dataset[[#This Row],[Price_USD]]</f>
        <v>782644894.28999996</v>
      </c>
      <c r="T2249">
        <v>4</v>
      </c>
      <c r="U2249">
        <v>5613</v>
      </c>
      <c r="V2249">
        <v>3</v>
      </c>
    </row>
    <row r="2250" spans="1:22" x14ac:dyDescent="0.35">
      <c r="A2250">
        <v>2249</v>
      </c>
      <c r="B2250" t="s">
        <v>187</v>
      </c>
      <c r="C2250" t="s">
        <v>318</v>
      </c>
      <c r="D2250">
        <v>2020</v>
      </c>
      <c r="E2250" t="s">
        <v>104</v>
      </c>
      <c r="F2250">
        <v>33.1</v>
      </c>
      <c r="G2250" t="s">
        <v>357</v>
      </c>
      <c r="H2250">
        <f>electric_vehicles_dataset[[#This Row],[Battery_Capacity_kWh]]/electric_vehicles_dataset[[#This Row],[Range_km]]</f>
        <v>6.3899613899613905E-2</v>
      </c>
      <c r="I2250">
        <v>518</v>
      </c>
      <c r="J2250" t="s">
        <v>359</v>
      </c>
      <c r="K2250">
        <v>9</v>
      </c>
      <c r="L2250" s="1">
        <v>119099.52</v>
      </c>
      <c r="M2250" s="1" t="str" cm="1">
        <f t="array" ref="M225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50" t="s">
        <v>217</v>
      </c>
      <c r="O2250" t="s">
        <v>92</v>
      </c>
      <c r="P2250" s="2" t="s">
        <v>394</v>
      </c>
      <c r="Q2250">
        <v>0</v>
      </c>
      <c r="R2250" t="s">
        <v>390</v>
      </c>
      <c r="S2250" s="1">
        <f>electric_vehicles_dataset[[#This Row],[Units_Sold_2024]]*electric_vehicles_dataset[[#This Row],[Price_USD]]</f>
        <v>1382983626.24</v>
      </c>
      <c r="T2250">
        <v>5</v>
      </c>
      <c r="U2250">
        <v>11612</v>
      </c>
      <c r="V2250">
        <v>3</v>
      </c>
    </row>
    <row r="2251" spans="1:22" x14ac:dyDescent="0.35">
      <c r="A2251">
        <v>2250</v>
      </c>
      <c r="B2251" t="s">
        <v>269</v>
      </c>
      <c r="C2251" t="s">
        <v>307</v>
      </c>
      <c r="D2251">
        <v>2015</v>
      </c>
      <c r="E2251" t="s">
        <v>90</v>
      </c>
      <c r="F2251">
        <v>73.400000000000006</v>
      </c>
      <c r="G2251" t="s">
        <v>351</v>
      </c>
      <c r="H2251">
        <f>electric_vehicles_dataset[[#This Row],[Battery_Capacity_kWh]]/electric_vehicles_dataset[[#This Row],[Range_km]]</f>
        <v>0.28449612403100777</v>
      </c>
      <c r="I2251">
        <v>258</v>
      </c>
      <c r="J2251" t="s">
        <v>38</v>
      </c>
      <c r="K2251">
        <v>2</v>
      </c>
      <c r="L2251" s="1">
        <v>57647.1</v>
      </c>
      <c r="M2251" s="1" t="str" cm="1">
        <f t="array" ref="M225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51" t="s">
        <v>271</v>
      </c>
      <c r="O2251" t="s">
        <v>199</v>
      </c>
      <c r="P2251" s="2" t="s">
        <v>394</v>
      </c>
      <c r="Q2251">
        <v>2</v>
      </c>
      <c r="R2251" t="s">
        <v>391</v>
      </c>
      <c r="S2251" s="1">
        <f>electric_vehicles_dataset[[#This Row],[Units_Sold_2024]]*electric_vehicles_dataset[[#This Row],[Price_USD]]</f>
        <v>633138099.29999995</v>
      </c>
      <c r="T2251">
        <v>4</v>
      </c>
      <c r="U2251">
        <v>10983</v>
      </c>
      <c r="V2251">
        <v>5</v>
      </c>
    </row>
    <row r="2252" spans="1:22" x14ac:dyDescent="0.35">
      <c r="A2252">
        <v>2251</v>
      </c>
      <c r="B2252" t="s">
        <v>144</v>
      </c>
      <c r="C2252" t="s">
        <v>145</v>
      </c>
      <c r="D2252">
        <v>2016</v>
      </c>
      <c r="E2252" t="s">
        <v>130</v>
      </c>
      <c r="F2252">
        <v>50.9</v>
      </c>
      <c r="G2252" t="s">
        <v>348</v>
      </c>
      <c r="H2252">
        <f>electric_vehicles_dataset[[#This Row],[Battery_Capacity_kWh]]/electric_vehicles_dataset[[#This Row],[Range_km]]</f>
        <v>9.2210144927536236E-2</v>
      </c>
      <c r="I2252">
        <v>552</v>
      </c>
      <c r="J2252" t="s">
        <v>18</v>
      </c>
      <c r="K2252">
        <v>2</v>
      </c>
      <c r="L2252" s="1">
        <v>61297.78</v>
      </c>
      <c r="M2252" s="1" t="str" cm="1">
        <f t="array" ref="M225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52" t="s">
        <v>70</v>
      </c>
      <c r="O2252" t="s">
        <v>230</v>
      </c>
      <c r="P2252" s="2" t="s">
        <v>389</v>
      </c>
      <c r="Q2252">
        <v>3</v>
      </c>
      <c r="R2252" t="s">
        <v>397</v>
      </c>
      <c r="S2252" s="1">
        <f>electric_vehicles_dataset[[#This Row],[Units_Sold_2024]]*electric_vehicles_dataset[[#This Row],[Price_USD]]</f>
        <v>399109845.57999998</v>
      </c>
      <c r="T2252">
        <v>5</v>
      </c>
      <c r="U2252">
        <v>6511</v>
      </c>
      <c r="V2252">
        <v>5</v>
      </c>
    </row>
    <row r="2253" spans="1:22" x14ac:dyDescent="0.35">
      <c r="A2253">
        <v>2252</v>
      </c>
      <c r="B2253" t="s">
        <v>120</v>
      </c>
      <c r="C2253" t="s">
        <v>288</v>
      </c>
      <c r="D2253">
        <v>2025</v>
      </c>
      <c r="E2253" t="s">
        <v>26</v>
      </c>
      <c r="F2253">
        <v>90.8</v>
      </c>
      <c r="G2253" t="s">
        <v>350</v>
      </c>
      <c r="H2253">
        <f>electric_vehicles_dataset[[#This Row],[Battery_Capacity_kWh]]/electric_vehicles_dataset[[#This Row],[Range_km]]</f>
        <v>0.53099415204678357</v>
      </c>
      <c r="I2253">
        <v>171</v>
      </c>
      <c r="J2253" t="s">
        <v>364</v>
      </c>
      <c r="K2253">
        <v>6</v>
      </c>
      <c r="L2253" s="1">
        <v>136421.16</v>
      </c>
      <c r="M2253" s="1" t="str" cm="1">
        <f t="array" ref="M22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53" t="s">
        <v>212</v>
      </c>
      <c r="O2253" t="s">
        <v>118</v>
      </c>
      <c r="P2253" s="2" t="s">
        <v>389</v>
      </c>
      <c r="Q2253">
        <v>4</v>
      </c>
      <c r="R2253" t="s">
        <v>392</v>
      </c>
      <c r="S2253" s="1">
        <f>electric_vehicles_dataset[[#This Row],[Units_Sold_2024]]*electric_vehicles_dataset[[#This Row],[Price_USD]]</f>
        <v>1980835243.2</v>
      </c>
      <c r="T2253">
        <v>4</v>
      </c>
      <c r="U2253">
        <v>14520</v>
      </c>
      <c r="V2253">
        <v>5</v>
      </c>
    </row>
    <row r="2254" spans="1:22" x14ac:dyDescent="0.35">
      <c r="A2254">
        <v>2253</v>
      </c>
      <c r="B2254" t="s">
        <v>94</v>
      </c>
      <c r="C2254" t="s">
        <v>360</v>
      </c>
      <c r="D2254">
        <v>2020</v>
      </c>
      <c r="E2254" t="s">
        <v>53</v>
      </c>
      <c r="F2254">
        <v>38.1</v>
      </c>
      <c r="G2254" t="s">
        <v>357</v>
      </c>
      <c r="H2254">
        <f>electric_vehicles_dataset[[#This Row],[Battery_Capacity_kWh]]/electric_vehicles_dataset[[#This Row],[Range_km]]</f>
        <v>7.3269230769230767E-2</v>
      </c>
      <c r="I2254">
        <v>520</v>
      </c>
      <c r="J2254" t="s">
        <v>48</v>
      </c>
      <c r="K2254">
        <v>1</v>
      </c>
      <c r="L2254" s="1">
        <v>49347.77</v>
      </c>
      <c r="M2254" s="1" t="str" cm="1">
        <f t="array" ref="M22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54" t="s">
        <v>277</v>
      </c>
      <c r="O2254" t="s">
        <v>89</v>
      </c>
      <c r="P2254" s="2" t="s">
        <v>389</v>
      </c>
      <c r="Q2254">
        <v>3</v>
      </c>
      <c r="R2254" t="s">
        <v>397</v>
      </c>
      <c r="S2254" s="1">
        <f>electric_vehicles_dataset[[#This Row],[Units_Sold_2024]]*electric_vehicles_dataset[[#This Row],[Price_USD]]</f>
        <v>113697262.08</v>
      </c>
      <c r="T2254">
        <v>3</v>
      </c>
      <c r="U2254">
        <v>2304</v>
      </c>
      <c r="V2254">
        <v>3</v>
      </c>
    </row>
    <row r="2255" spans="1:22" x14ac:dyDescent="0.35">
      <c r="A2255">
        <v>2254</v>
      </c>
      <c r="B2255" t="s">
        <v>234</v>
      </c>
      <c r="C2255" t="s">
        <v>235</v>
      </c>
      <c r="D2255">
        <v>2018</v>
      </c>
      <c r="E2255" t="s">
        <v>58</v>
      </c>
      <c r="F2255">
        <v>136.69999999999999</v>
      </c>
      <c r="G2255" t="s">
        <v>352</v>
      </c>
      <c r="H2255">
        <f>electric_vehicles_dataset[[#This Row],[Battery_Capacity_kWh]]/electric_vehicles_dataset[[#This Row],[Range_km]]</f>
        <v>0.36648793565683641</v>
      </c>
      <c r="I2255">
        <v>373</v>
      </c>
      <c r="J2255" t="s">
        <v>34</v>
      </c>
      <c r="K2255">
        <v>2</v>
      </c>
      <c r="L2255" s="1">
        <v>58888.54</v>
      </c>
      <c r="M2255" s="1" t="str" cm="1">
        <f t="array" ref="M225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55" t="s">
        <v>257</v>
      </c>
      <c r="O2255" t="s">
        <v>199</v>
      </c>
      <c r="P2255" s="2" t="s">
        <v>394</v>
      </c>
      <c r="Q2255">
        <v>2</v>
      </c>
      <c r="R2255" t="s">
        <v>391</v>
      </c>
      <c r="S2255" s="1">
        <f>electric_vehicles_dataset[[#This Row],[Units_Sold_2024]]*electric_vehicles_dataset[[#This Row],[Price_USD]]</f>
        <v>50820810.020000003</v>
      </c>
      <c r="T2255">
        <v>4</v>
      </c>
      <c r="U2255">
        <v>863</v>
      </c>
      <c r="V2255">
        <v>3</v>
      </c>
    </row>
    <row r="2256" spans="1:22" x14ac:dyDescent="0.35">
      <c r="A2256">
        <v>2255</v>
      </c>
      <c r="B2256" t="s">
        <v>87</v>
      </c>
      <c r="C2256" t="s">
        <v>88</v>
      </c>
      <c r="D2256">
        <v>2023</v>
      </c>
      <c r="E2256" t="s">
        <v>183</v>
      </c>
      <c r="F2256">
        <v>22.4</v>
      </c>
      <c r="G2256" t="s">
        <v>357</v>
      </c>
      <c r="H2256">
        <f>electric_vehicles_dataset[[#This Row],[Battery_Capacity_kWh]]/electric_vehicles_dataset[[#This Row],[Range_km]]</f>
        <v>4.8695652173913043E-2</v>
      </c>
      <c r="I2256">
        <v>460</v>
      </c>
      <c r="J2256" t="s">
        <v>358</v>
      </c>
      <c r="K2256">
        <v>4</v>
      </c>
      <c r="L2256" s="1">
        <v>144220.20000000001</v>
      </c>
      <c r="M2256" s="1" t="str" cm="1">
        <f t="array" ref="M225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56" t="s">
        <v>66</v>
      </c>
      <c r="O2256" t="s">
        <v>20</v>
      </c>
      <c r="P2256" s="2" t="s">
        <v>389</v>
      </c>
      <c r="Q2256">
        <v>0</v>
      </c>
      <c r="R2256" t="s">
        <v>390</v>
      </c>
      <c r="S2256" s="1">
        <f>electric_vehicles_dataset[[#This Row],[Units_Sold_2024]]*electric_vehicles_dataset[[#This Row],[Price_USD]]</f>
        <v>358098756.60000002</v>
      </c>
      <c r="T2256">
        <v>4</v>
      </c>
      <c r="U2256">
        <v>2483</v>
      </c>
      <c r="V2256">
        <v>5</v>
      </c>
    </row>
    <row r="2257" spans="1:22" x14ac:dyDescent="0.35">
      <c r="A2257">
        <v>2256</v>
      </c>
      <c r="B2257" t="s">
        <v>180</v>
      </c>
      <c r="C2257" t="s">
        <v>285</v>
      </c>
      <c r="D2257">
        <v>2023</v>
      </c>
      <c r="E2257" t="s">
        <v>58</v>
      </c>
      <c r="F2257">
        <v>78.2</v>
      </c>
      <c r="G2257" t="s">
        <v>351</v>
      </c>
      <c r="H2257">
        <f>electric_vehicles_dataset[[#This Row],[Battery_Capacity_kWh]]/electric_vehicles_dataset[[#This Row],[Range_km]]</f>
        <v>0.46547619047619049</v>
      </c>
      <c r="I2257">
        <v>168</v>
      </c>
      <c r="J2257" t="s">
        <v>105</v>
      </c>
      <c r="K2257">
        <v>12</v>
      </c>
      <c r="L2257" s="1">
        <v>37521.74</v>
      </c>
      <c r="M2257" s="1" t="str" cm="1">
        <f t="array" ref="M225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57" t="s">
        <v>238</v>
      </c>
      <c r="O2257" t="s">
        <v>354</v>
      </c>
      <c r="P2257" s="2" t="s">
        <v>394</v>
      </c>
      <c r="Q2257">
        <v>3</v>
      </c>
      <c r="R2257" t="s">
        <v>397</v>
      </c>
      <c r="S2257" s="1">
        <f>electric_vehicles_dataset[[#This Row],[Units_Sold_2024]]*electric_vehicles_dataset[[#This Row],[Price_USD]]</f>
        <v>78945740.959999993</v>
      </c>
      <c r="T2257">
        <v>3</v>
      </c>
      <c r="U2257">
        <v>2104</v>
      </c>
      <c r="V2257">
        <v>4</v>
      </c>
    </row>
    <row r="2258" spans="1:22" x14ac:dyDescent="0.35">
      <c r="A2258">
        <v>2257</v>
      </c>
      <c r="B2258" t="s">
        <v>261</v>
      </c>
      <c r="C2258" t="s">
        <v>370</v>
      </c>
      <c r="D2258">
        <v>2024</v>
      </c>
      <c r="E2258" t="s">
        <v>130</v>
      </c>
      <c r="F2258">
        <v>132</v>
      </c>
      <c r="G2258" t="s">
        <v>352</v>
      </c>
      <c r="H2258">
        <f>electric_vehicles_dataset[[#This Row],[Battery_Capacity_kWh]]/electric_vehicles_dataset[[#This Row],[Range_km]]</f>
        <v>0.24581005586592178</v>
      </c>
      <c r="I2258">
        <v>537</v>
      </c>
      <c r="J2258" t="s">
        <v>76</v>
      </c>
      <c r="K2258">
        <v>3</v>
      </c>
      <c r="L2258" s="1">
        <v>45403.1</v>
      </c>
      <c r="M2258" s="1" t="str" cm="1">
        <f t="array" ref="M225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58" t="s">
        <v>301</v>
      </c>
      <c r="O2258" t="s">
        <v>134</v>
      </c>
      <c r="P2258" s="2" t="s">
        <v>389</v>
      </c>
      <c r="Q2258">
        <v>2</v>
      </c>
      <c r="R2258" t="s">
        <v>391</v>
      </c>
      <c r="S2258" s="1">
        <f>electric_vehicles_dataset[[#This Row],[Units_Sold_2024]]*electric_vehicles_dataset[[#This Row],[Price_USD]]</f>
        <v>304881816.5</v>
      </c>
      <c r="T2258">
        <v>5</v>
      </c>
      <c r="U2258">
        <v>6715</v>
      </c>
      <c r="V2258">
        <v>4</v>
      </c>
    </row>
    <row r="2259" spans="1:22" x14ac:dyDescent="0.35">
      <c r="A2259">
        <v>2258</v>
      </c>
      <c r="B2259" t="s">
        <v>234</v>
      </c>
      <c r="C2259" t="s">
        <v>235</v>
      </c>
      <c r="D2259">
        <v>2016</v>
      </c>
      <c r="E2259" t="s">
        <v>84</v>
      </c>
      <c r="F2259">
        <v>73.5</v>
      </c>
      <c r="G2259" t="s">
        <v>351</v>
      </c>
      <c r="H2259">
        <f>electric_vehicles_dataset[[#This Row],[Battery_Capacity_kWh]]/electric_vehicles_dataset[[#This Row],[Range_km]]</f>
        <v>0.55263157894736847</v>
      </c>
      <c r="I2259">
        <v>133</v>
      </c>
      <c r="J2259" t="s">
        <v>27</v>
      </c>
      <c r="K2259">
        <v>10</v>
      </c>
      <c r="L2259" s="1">
        <v>65307.45</v>
      </c>
      <c r="M2259" s="1" t="str" cm="1">
        <f t="array" ref="M225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59" t="s">
        <v>253</v>
      </c>
      <c r="O2259" t="s">
        <v>115</v>
      </c>
      <c r="P2259" s="2" t="s">
        <v>396</v>
      </c>
      <c r="Q2259">
        <v>2</v>
      </c>
      <c r="R2259" t="s">
        <v>391</v>
      </c>
      <c r="S2259" s="1">
        <f>electric_vehicles_dataset[[#This Row],[Units_Sold_2024]]*electric_vehicles_dataset[[#This Row],[Price_USD]]</f>
        <v>501626523.44999999</v>
      </c>
      <c r="T2259">
        <v>3</v>
      </c>
      <c r="U2259">
        <v>7681</v>
      </c>
      <c r="V2259">
        <v>4</v>
      </c>
    </row>
    <row r="2260" spans="1:22" x14ac:dyDescent="0.35">
      <c r="A2260">
        <v>2259</v>
      </c>
      <c r="B2260" t="s">
        <v>187</v>
      </c>
      <c r="C2260" t="s">
        <v>319</v>
      </c>
      <c r="D2260">
        <v>2022</v>
      </c>
      <c r="E2260" t="s">
        <v>90</v>
      </c>
      <c r="F2260">
        <v>59.4</v>
      </c>
      <c r="G2260" t="s">
        <v>348</v>
      </c>
      <c r="H2260">
        <f>electric_vehicles_dataset[[#This Row],[Battery_Capacity_kWh]]/electric_vehicles_dataset[[#This Row],[Range_km]]</f>
        <v>0.4790322580645161</v>
      </c>
      <c r="I2260">
        <v>124</v>
      </c>
      <c r="J2260" t="s">
        <v>356</v>
      </c>
      <c r="K2260">
        <v>9</v>
      </c>
      <c r="L2260" s="1">
        <v>149820.78</v>
      </c>
      <c r="M2260" s="1" t="str" cm="1">
        <f t="array" ref="M226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60" t="s">
        <v>106</v>
      </c>
      <c r="O2260" t="s">
        <v>150</v>
      </c>
      <c r="P2260" s="2" t="s">
        <v>389</v>
      </c>
      <c r="Q2260">
        <v>4</v>
      </c>
      <c r="R2260" t="s">
        <v>392</v>
      </c>
      <c r="S2260" s="1">
        <f>electric_vehicles_dataset[[#This Row],[Units_Sold_2024]]*electric_vehicles_dataset[[#This Row],[Price_USD]]</f>
        <v>2279073705.3600001</v>
      </c>
      <c r="T2260">
        <v>5</v>
      </c>
      <c r="U2260">
        <v>15212</v>
      </c>
      <c r="V2260">
        <v>3</v>
      </c>
    </row>
    <row r="2261" spans="1:22" x14ac:dyDescent="0.35">
      <c r="A2261">
        <v>2260</v>
      </c>
      <c r="B2261" t="s">
        <v>68</v>
      </c>
      <c r="C2261" t="s">
        <v>103</v>
      </c>
      <c r="D2261">
        <v>2022</v>
      </c>
      <c r="E2261" t="s">
        <v>42</v>
      </c>
      <c r="F2261">
        <v>123.3</v>
      </c>
      <c r="G2261" t="s">
        <v>352</v>
      </c>
      <c r="H2261">
        <f>electric_vehicles_dataset[[#This Row],[Battery_Capacity_kWh]]/electric_vehicles_dataset[[#This Row],[Range_km]]</f>
        <v>0.88705035971223023</v>
      </c>
      <c r="I2261">
        <v>139</v>
      </c>
      <c r="J2261" t="s">
        <v>356</v>
      </c>
      <c r="K2261">
        <v>9</v>
      </c>
      <c r="L2261" s="1">
        <v>138746.76999999999</v>
      </c>
      <c r="M2261" s="1" t="str" cm="1">
        <f t="array" ref="M226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61" t="s">
        <v>257</v>
      </c>
      <c r="O2261" t="s">
        <v>40</v>
      </c>
      <c r="P2261" s="2" t="s">
        <v>395</v>
      </c>
      <c r="Q2261">
        <v>3</v>
      </c>
      <c r="R2261" t="s">
        <v>397</v>
      </c>
      <c r="S2261" s="1">
        <f>electric_vehicles_dataset[[#This Row],[Units_Sold_2024]]*electric_vehicles_dataset[[#This Row],[Price_USD]]</f>
        <v>989819457.17999995</v>
      </c>
      <c r="T2261">
        <v>3</v>
      </c>
      <c r="U2261">
        <v>7134</v>
      </c>
      <c r="V2261">
        <v>5</v>
      </c>
    </row>
    <row r="2262" spans="1:22" x14ac:dyDescent="0.35">
      <c r="A2262">
        <v>2261</v>
      </c>
      <c r="B2262" t="s">
        <v>173</v>
      </c>
      <c r="C2262" t="s">
        <v>174</v>
      </c>
      <c r="D2262">
        <v>2025</v>
      </c>
      <c r="E2262" t="s">
        <v>58</v>
      </c>
      <c r="F2262">
        <v>36.700000000000003</v>
      </c>
      <c r="G2262" t="s">
        <v>357</v>
      </c>
      <c r="H2262">
        <f>electric_vehicles_dataset[[#This Row],[Battery_Capacity_kWh]]/electric_vehicles_dataset[[#This Row],[Range_km]]</f>
        <v>0.17559808612440192</v>
      </c>
      <c r="I2262">
        <v>209</v>
      </c>
      <c r="J2262" t="s">
        <v>364</v>
      </c>
      <c r="K2262">
        <v>7</v>
      </c>
      <c r="L2262" s="1">
        <v>98851.29</v>
      </c>
      <c r="M2262" s="1" t="str" cm="1">
        <f t="array" ref="M22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62" t="s">
        <v>217</v>
      </c>
      <c r="O2262" t="s">
        <v>40</v>
      </c>
      <c r="P2262" s="2" t="s">
        <v>395</v>
      </c>
      <c r="Q2262">
        <v>1</v>
      </c>
      <c r="R2262" t="s">
        <v>391</v>
      </c>
      <c r="S2262" s="1">
        <f>electric_vehicles_dataset[[#This Row],[Units_Sold_2024]]*electric_vehicles_dataset[[#This Row],[Price_USD]]</f>
        <v>125738840.88</v>
      </c>
      <c r="T2262">
        <v>3</v>
      </c>
      <c r="U2262">
        <v>1272</v>
      </c>
      <c r="V2262">
        <v>4</v>
      </c>
    </row>
    <row r="2263" spans="1:22" x14ac:dyDescent="0.35">
      <c r="A2263">
        <v>2262</v>
      </c>
      <c r="B2263" t="s">
        <v>187</v>
      </c>
      <c r="C2263" t="s">
        <v>188</v>
      </c>
      <c r="D2263">
        <v>2024</v>
      </c>
      <c r="E2263" t="s">
        <v>133</v>
      </c>
      <c r="F2263">
        <v>61.5</v>
      </c>
      <c r="G2263" t="s">
        <v>351</v>
      </c>
      <c r="H2263">
        <f>electric_vehicles_dataset[[#This Row],[Battery_Capacity_kWh]]/electric_vehicles_dataset[[#This Row],[Range_km]]</f>
        <v>0.12866108786610878</v>
      </c>
      <c r="I2263">
        <v>478</v>
      </c>
      <c r="J2263" t="s">
        <v>358</v>
      </c>
      <c r="K2263">
        <v>11</v>
      </c>
      <c r="L2263" s="1">
        <v>127018.54</v>
      </c>
      <c r="M2263" s="1" t="str" cm="1">
        <f t="array" ref="M22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63" t="s">
        <v>143</v>
      </c>
      <c r="O2263" t="s">
        <v>40</v>
      </c>
      <c r="P2263" s="2" t="s">
        <v>395</v>
      </c>
      <c r="Q2263">
        <v>1</v>
      </c>
      <c r="R2263" t="s">
        <v>391</v>
      </c>
      <c r="S2263" s="1">
        <f>electric_vehicles_dataset[[#This Row],[Units_Sold_2024]]*electric_vehicles_dataset[[#This Row],[Price_USD]]</f>
        <v>127399595.61999999</v>
      </c>
      <c r="T2263">
        <v>5</v>
      </c>
      <c r="U2263">
        <v>1003</v>
      </c>
      <c r="V2263">
        <v>4</v>
      </c>
    </row>
    <row r="2264" spans="1:22" x14ac:dyDescent="0.35">
      <c r="A2264">
        <v>2263</v>
      </c>
      <c r="B2264" t="s">
        <v>41</v>
      </c>
      <c r="C2264" t="s">
        <v>355</v>
      </c>
      <c r="D2264">
        <v>2019</v>
      </c>
      <c r="E2264" t="s">
        <v>17</v>
      </c>
      <c r="F2264">
        <v>108.1</v>
      </c>
      <c r="G2264" t="s">
        <v>361</v>
      </c>
      <c r="H2264">
        <f>electric_vehicles_dataset[[#This Row],[Battery_Capacity_kWh]]/electric_vehicles_dataset[[#This Row],[Range_km]]</f>
        <v>0.47831858407079642</v>
      </c>
      <c r="I2264">
        <v>226</v>
      </c>
      <c r="J2264" t="s">
        <v>48</v>
      </c>
      <c r="K2264">
        <v>5</v>
      </c>
      <c r="L2264" s="1">
        <v>88135.2</v>
      </c>
      <c r="M2264" s="1" t="str" cm="1">
        <f t="array" ref="M226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64" t="s">
        <v>146</v>
      </c>
      <c r="O2264" t="s">
        <v>206</v>
      </c>
      <c r="P2264" s="2" t="s">
        <v>394</v>
      </c>
      <c r="Q2264">
        <v>1</v>
      </c>
      <c r="R2264" t="s">
        <v>391</v>
      </c>
      <c r="S2264" s="1">
        <f>electric_vehicles_dataset[[#This Row],[Units_Sold_2024]]*electric_vehicles_dataset[[#This Row],[Price_USD]]</f>
        <v>939433096.79999995</v>
      </c>
      <c r="T2264">
        <v>5</v>
      </c>
      <c r="U2264">
        <v>10659</v>
      </c>
      <c r="V2264">
        <v>3</v>
      </c>
    </row>
    <row r="2265" spans="1:22" x14ac:dyDescent="0.35">
      <c r="A2265">
        <v>2264</v>
      </c>
      <c r="B2265" t="s">
        <v>68</v>
      </c>
      <c r="C2265" t="s">
        <v>69</v>
      </c>
      <c r="D2265">
        <v>2017</v>
      </c>
      <c r="E2265" t="s">
        <v>84</v>
      </c>
      <c r="F2265">
        <v>67</v>
      </c>
      <c r="G2265" t="s">
        <v>351</v>
      </c>
      <c r="H2265">
        <f>electric_vehicles_dataset[[#This Row],[Battery_Capacity_kWh]]/electric_vehicles_dataset[[#This Row],[Range_km]]</f>
        <v>0.27685950413223143</v>
      </c>
      <c r="I2265">
        <v>242</v>
      </c>
      <c r="J2265" t="s">
        <v>54</v>
      </c>
      <c r="K2265">
        <v>7</v>
      </c>
      <c r="L2265" s="1">
        <v>122064.88</v>
      </c>
      <c r="M2265" s="1" t="str" cm="1">
        <f t="array" ref="M226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65" t="s">
        <v>98</v>
      </c>
      <c r="O2265" t="s">
        <v>86</v>
      </c>
      <c r="P2265" s="2" t="s">
        <v>389</v>
      </c>
      <c r="Q2265">
        <v>5</v>
      </c>
      <c r="R2265" t="s">
        <v>392</v>
      </c>
      <c r="S2265" s="1">
        <f>electric_vehicles_dataset[[#This Row],[Units_Sold_2024]]*electric_vehicles_dataset[[#This Row],[Price_USD]]</f>
        <v>911458458.96000004</v>
      </c>
      <c r="T2265">
        <v>4</v>
      </c>
      <c r="U2265">
        <v>7467</v>
      </c>
      <c r="V2265">
        <v>5</v>
      </c>
    </row>
    <row r="2266" spans="1:22" x14ac:dyDescent="0.35">
      <c r="A2266">
        <v>2265</v>
      </c>
      <c r="B2266" t="s">
        <v>56</v>
      </c>
      <c r="C2266" t="s">
        <v>57</v>
      </c>
      <c r="D2266">
        <v>2022</v>
      </c>
      <c r="E2266" t="s">
        <v>84</v>
      </c>
      <c r="F2266">
        <v>38.200000000000003</v>
      </c>
      <c r="G2266" t="s">
        <v>357</v>
      </c>
      <c r="H2266">
        <f>electric_vehicles_dataset[[#This Row],[Battery_Capacity_kWh]]/electric_vehicles_dataset[[#This Row],[Range_km]]</f>
        <v>0.30078740157480316</v>
      </c>
      <c r="I2266">
        <v>127</v>
      </c>
      <c r="J2266" t="s">
        <v>345</v>
      </c>
      <c r="K2266">
        <v>12</v>
      </c>
      <c r="L2266" s="1">
        <v>38964.410000000003</v>
      </c>
      <c r="M2266" s="1" t="str" cm="1">
        <f t="array" ref="M226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66" t="s">
        <v>91</v>
      </c>
      <c r="O2266" t="s">
        <v>63</v>
      </c>
      <c r="P2266" s="2" t="s">
        <v>389</v>
      </c>
      <c r="Q2266">
        <v>5</v>
      </c>
      <c r="R2266" t="s">
        <v>392</v>
      </c>
      <c r="S2266" s="1">
        <f>electric_vehicles_dataset[[#This Row],[Units_Sold_2024]]*electric_vehicles_dataset[[#This Row],[Price_USD]]</f>
        <v>442207089.09000003</v>
      </c>
      <c r="T2266">
        <v>4</v>
      </c>
      <c r="U2266">
        <v>11349</v>
      </c>
      <c r="V2266">
        <v>4</v>
      </c>
    </row>
    <row r="2267" spans="1:22" x14ac:dyDescent="0.35">
      <c r="A2267">
        <v>2266</v>
      </c>
      <c r="B2267" t="s">
        <v>94</v>
      </c>
      <c r="C2267" t="s">
        <v>360</v>
      </c>
      <c r="D2267">
        <v>2020</v>
      </c>
      <c r="E2267" t="s">
        <v>17</v>
      </c>
      <c r="F2267">
        <v>63.8</v>
      </c>
      <c r="G2267" t="s">
        <v>351</v>
      </c>
      <c r="H2267">
        <f>electric_vehicles_dataset[[#This Row],[Battery_Capacity_kWh]]/electric_vehicles_dataset[[#This Row],[Range_km]]</f>
        <v>0.30094339622641508</v>
      </c>
      <c r="I2267">
        <v>212</v>
      </c>
      <c r="J2267" t="s">
        <v>38</v>
      </c>
      <c r="K2267">
        <v>4</v>
      </c>
      <c r="L2267" s="1">
        <v>142436.39000000001</v>
      </c>
      <c r="M2267" s="1" t="str" cm="1">
        <f t="array" ref="M226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67" t="s">
        <v>77</v>
      </c>
      <c r="O2267" t="s">
        <v>95</v>
      </c>
      <c r="P2267" s="2" t="s">
        <v>394</v>
      </c>
      <c r="Q2267">
        <v>4</v>
      </c>
      <c r="R2267" t="s">
        <v>392</v>
      </c>
      <c r="S2267" s="1">
        <f>electric_vehicles_dataset[[#This Row],[Units_Sold_2024]]*electric_vehicles_dataset[[#This Row],[Price_USD]]</f>
        <v>2184119604.2600002</v>
      </c>
      <c r="T2267">
        <v>4</v>
      </c>
      <c r="U2267">
        <v>15334</v>
      </c>
      <c r="V2267">
        <v>5</v>
      </c>
    </row>
    <row r="2268" spans="1:22" x14ac:dyDescent="0.35">
      <c r="A2268">
        <v>2267</v>
      </c>
      <c r="B2268" t="s">
        <v>140</v>
      </c>
      <c r="C2268" t="s">
        <v>227</v>
      </c>
      <c r="D2268">
        <v>2025</v>
      </c>
      <c r="E2268" t="s">
        <v>17</v>
      </c>
      <c r="F2268">
        <v>136.69999999999999</v>
      </c>
      <c r="G2268" t="s">
        <v>352</v>
      </c>
      <c r="H2268">
        <f>electric_vehicles_dataset[[#This Row],[Battery_Capacity_kWh]]/electric_vehicles_dataset[[#This Row],[Range_km]]</f>
        <v>0.80887573964497039</v>
      </c>
      <c r="I2268">
        <v>169</v>
      </c>
      <c r="J2268" t="s">
        <v>48</v>
      </c>
      <c r="K2268">
        <v>9</v>
      </c>
      <c r="L2268" s="1">
        <v>33754.03</v>
      </c>
      <c r="M2268" s="1" t="str" cm="1">
        <f t="array" ref="M226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68" t="s">
        <v>210</v>
      </c>
      <c r="O2268" t="s">
        <v>40</v>
      </c>
      <c r="P2268" s="2" t="s">
        <v>395</v>
      </c>
      <c r="Q2268">
        <v>5</v>
      </c>
      <c r="R2268" t="s">
        <v>392</v>
      </c>
      <c r="S2268" s="1">
        <f>electric_vehicles_dataset[[#This Row],[Units_Sold_2024]]*electric_vehicles_dataset[[#This Row],[Price_USD]]</f>
        <v>343244731.06999999</v>
      </c>
      <c r="T2268">
        <v>3</v>
      </c>
      <c r="U2268">
        <v>10169</v>
      </c>
      <c r="V2268">
        <v>4</v>
      </c>
    </row>
    <row r="2269" spans="1:22" x14ac:dyDescent="0.35">
      <c r="A2269">
        <v>2268</v>
      </c>
      <c r="B2269" t="s">
        <v>51</v>
      </c>
      <c r="C2269" t="s">
        <v>52</v>
      </c>
      <c r="D2269">
        <v>2016</v>
      </c>
      <c r="E2269" t="s">
        <v>183</v>
      </c>
      <c r="F2269">
        <v>42.6</v>
      </c>
      <c r="G2269" t="s">
        <v>348</v>
      </c>
      <c r="H2269">
        <f>electric_vehicles_dataset[[#This Row],[Battery_Capacity_kWh]]/electric_vehicles_dataset[[#This Row],[Range_km]]</f>
        <v>0.13921568627450981</v>
      </c>
      <c r="I2269">
        <v>306</v>
      </c>
      <c r="J2269" t="s">
        <v>48</v>
      </c>
      <c r="K2269">
        <v>8</v>
      </c>
      <c r="L2269" s="1">
        <v>74047.320000000007</v>
      </c>
      <c r="M2269" s="1" t="str" cm="1">
        <f t="array" ref="M22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69" t="s">
        <v>214</v>
      </c>
      <c r="O2269" t="s">
        <v>107</v>
      </c>
      <c r="P2269" s="2" t="s">
        <v>394</v>
      </c>
      <c r="Q2269">
        <v>2</v>
      </c>
      <c r="R2269" t="s">
        <v>391</v>
      </c>
      <c r="S2269" s="1">
        <f>electric_vehicles_dataset[[#This Row],[Units_Sold_2024]]*electric_vehicles_dataset[[#This Row],[Price_USD]]</f>
        <v>753653622.96000004</v>
      </c>
      <c r="T2269">
        <v>5</v>
      </c>
      <c r="U2269">
        <v>10178</v>
      </c>
      <c r="V2269">
        <v>5</v>
      </c>
    </row>
    <row r="2270" spans="1:22" x14ac:dyDescent="0.35">
      <c r="A2270">
        <v>2269</v>
      </c>
      <c r="B2270" t="s">
        <v>222</v>
      </c>
      <c r="C2270" t="s">
        <v>295</v>
      </c>
      <c r="D2270">
        <v>2022</v>
      </c>
      <c r="E2270" t="s">
        <v>58</v>
      </c>
      <c r="F2270">
        <v>87.8</v>
      </c>
      <c r="G2270" t="s">
        <v>350</v>
      </c>
      <c r="H2270">
        <f>electric_vehicles_dataset[[#This Row],[Battery_Capacity_kWh]]/electric_vehicles_dataset[[#This Row],[Range_km]]</f>
        <v>0.38008658008658008</v>
      </c>
      <c r="I2270">
        <v>231</v>
      </c>
      <c r="J2270" t="s">
        <v>105</v>
      </c>
      <c r="K2270">
        <v>2</v>
      </c>
      <c r="L2270" s="1">
        <v>82008.44</v>
      </c>
      <c r="M2270" s="1" t="str" cm="1">
        <f t="array" ref="M22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70" t="s">
        <v>168</v>
      </c>
      <c r="O2270" t="s">
        <v>265</v>
      </c>
      <c r="P2270" s="2" t="s">
        <v>389</v>
      </c>
      <c r="Q2270">
        <v>3</v>
      </c>
      <c r="R2270" t="s">
        <v>397</v>
      </c>
      <c r="S2270" s="1">
        <f>electric_vehicles_dataset[[#This Row],[Units_Sold_2024]]*electric_vehicles_dataset[[#This Row],[Price_USD]]</f>
        <v>1113592606.76</v>
      </c>
      <c r="T2270">
        <v>5</v>
      </c>
      <c r="U2270">
        <v>13579</v>
      </c>
      <c r="V2270">
        <v>4</v>
      </c>
    </row>
    <row r="2271" spans="1:22" x14ac:dyDescent="0.35">
      <c r="A2271">
        <v>2270</v>
      </c>
      <c r="B2271" t="s">
        <v>200</v>
      </c>
      <c r="C2271" t="s">
        <v>201</v>
      </c>
      <c r="D2271">
        <v>2015</v>
      </c>
      <c r="E2271" t="s">
        <v>58</v>
      </c>
      <c r="F2271">
        <v>85.3</v>
      </c>
      <c r="G2271" t="s">
        <v>350</v>
      </c>
      <c r="H2271">
        <f>electric_vehicles_dataset[[#This Row],[Battery_Capacity_kWh]]/electric_vehicles_dataset[[#This Row],[Range_km]]</f>
        <v>0.25236686390532542</v>
      </c>
      <c r="I2271">
        <v>338</v>
      </c>
      <c r="J2271" t="s">
        <v>76</v>
      </c>
      <c r="K2271">
        <v>3</v>
      </c>
      <c r="L2271" s="1">
        <v>48843.62</v>
      </c>
      <c r="M2271" s="1" t="str" cm="1">
        <f t="array" ref="M227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71" t="s">
        <v>32</v>
      </c>
      <c r="O2271" t="s">
        <v>67</v>
      </c>
      <c r="P2271" s="2" t="s">
        <v>394</v>
      </c>
      <c r="Q2271">
        <v>5</v>
      </c>
      <c r="R2271" t="s">
        <v>392</v>
      </c>
      <c r="S2271" s="1">
        <f>electric_vehicles_dataset[[#This Row],[Units_Sold_2024]]*electric_vehicles_dataset[[#This Row],[Price_USD]]</f>
        <v>741934587.80000007</v>
      </c>
      <c r="T2271">
        <v>3</v>
      </c>
      <c r="U2271">
        <v>15190</v>
      </c>
      <c r="V2271">
        <v>3</v>
      </c>
    </row>
    <row r="2272" spans="1:22" x14ac:dyDescent="0.35">
      <c r="A2272">
        <v>2271</v>
      </c>
      <c r="B2272" t="s">
        <v>60</v>
      </c>
      <c r="C2272" t="s">
        <v>166</v>
      </c>
      <c r="D2272">
        <v>2021</v>
      </c>
      <c r="E2272" t="s">
        <v>73</v>
      </c>
      <c r="F2272">
        <v>75</v>
      </c>
      <c r="G2272" t="s">
        <v>351</v>
      </c>
      <c r="H2272">
        <f>electric_vehicles_dataset[[#This Row],[Battery_Capacity_kWh]]/electric_vehicles_dataset[[#This Row],[Range_km]]</f>
        <v>0.20215633423180593</v>
      </c>
      <c r="I2272">
        <v>371</v>
      </c>
      <c r="J2272" t="s">
        <v>356</v>
      </c>
      <c r="K2272">
        <v>8</v>
      </c>
      <c r="L2272" s="1">
        <v>60764.04</v>
      </c>
      <c r="M2272" s="1" t="str" cm="1">
        <f t="array" ref="M22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72" t="s">
        <v>271</v>
      </c>
      <c r="O2272" t="s">
        <v>67</v>
      </c>
      <c r="P2272" s="2" t="s">
        <v>394</v>
      </c>
      <c r="Q2272">
        <v>5</v>
      </c>
      <c r="R2272" t="s">
        <v>392</v>
      </c>
      <c r="S2272" s="1">
        <f>electric_vehicles_dataset[[#This Row],[Units_Sold_2024]]*electric_vehicles_dataset[[#This Row],[Price_USD]]</f>
        <v>1022233444.92</v>
      </c>
      <c r="T2272">
        <v>3</v>
      </c>
      <c r="U2272">
        <v>16823</v>
      </c>
      <c r="V2272">
        <v>3</v>
      </c>
    </row>
    <row r="2273" spans="1:22" x14ac:dyDescent="0.35">
      <c r="A2273">
        <v>2272</v>
      </c>
      <c r="B2273" t="s">
        <v>74</v>
      </c>
      <c r="C2273" t="s">
        <v>75</v>
      </c>
      <c r="D2273">
        <v>2022</v>
      </c>
      <c r="E2273" t="s">
        <v>90</v>
      </c>
      <c r="F2273">
        <v>97.3</v>
      </c>
      <c r="G2273" t="s">
        <v>350</v>
      </c>
      <c r="H2273">
        <f>electric_vehicles_dataset[[#This Row],[Battery_Capacity_kWh]]/electric_vehicles_dataset[[#This Row],[Range_km]]</f>
        <v>0.20313152400835072</v>
      </c>
      <c r="I2273">
        <v>479</v>
      </c>
      <c r="J2273" t="s">
        <v>18</v>
      </c>
      <c r="K2273">
        <v>4</v>
      </c>
      <c r="L2273" s="1">
        <v>130977.7</v>
      </c>
      <c r="M2273" s="1" t="str" cm="1">
        <f t="array" ref="M227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73" t="s">
        <v>177</v>
      </c>
      <c r="O2273" t="s">
        <v>265</v>
      </c>
      <c r="P2273" s="2" t="s">
        <v>389</v>
      </c>
      <c r="Q2273">
        <v>2</v>
      </c>
      <c r="R2273" t="s">
        <v>391</v>
      </c>
      <c r="S2273" s="1">
        <f>electric_vehicles_dataset[[#This Row],[Units_Sold_2024]]*electric_vehicles_dataset[[#This Row],[Price_USD]]</f>
        <v>822408978.29999995</v>
      </c>
      <c r="T2273">
        <v>5</v>
      </c>
      <c r="U2273">
        <v>6279</v>
      </c>
      <c r="V2273">
        <v>3</v>
      </c>
    </row>
    <row r="2274" spans="1:22" x14ac:dyDescent="0.35">
      <c r="A2274">
        <v>2273</v>
      </c>
      <c r="B2274" t="s">
        <v>200</v>
      </c>
      <c r="C2274" t="s">
        <v>368</v>
      </c>
      <c r="D2274">
        <v>2019</v>
      </c>
      <c r="E2274" t="s">
        <v>31</v>
      </c>
      <c r="F2274">
        <v>37.700000000000003</v>
      </c>
      <c r="G2274" t="s">
        <v>357</v>
      </c>
      <c r="H2274">
        <f>electric_vehicles_dataset[[#This Row],[Battery_Capacity_kWh]]/electric_vehicles_dataset[[#This Row],[Range_km]]</f>
        <v>0.26549295774647891</v>
      </c>
      <c r="I2274">
        <v>142</v>
      </c>
      <c r="J2274" t="s">
        <v>105</v>
      </c>
      <c r="K2274">
        <v>11</v>
      </c>
      <c r="L2274" s="1">
        <v>112720.77</v>
      </c>
      <c r="M2274" s="1" t="str" cm="1">
        <f t="array" ref="M227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74" t="s">
        <v>257</v>
      </c>
      <c r="O2274" t="s">
        <v>33</v>
      </c>
      <c r="P2274" s="2" t="s">
        <v>393</v>
      </c>
      <c r="Q2274">
        <v>2</v>
      </c>
      <c r="R2274" t="s">
        <v>391</v>
      </c>
      <c r="S2274" s="1">
        <f>electric_vehicles_dataset[[#This Row],[Units_Sold_2024]]*electric_vehicles_dataset[[#This Row],[Price_USD]]</f>
        <v>2196476924.2200003</v>
      </c>
      <c r="T2274">
        <v>4</v>
      </c>
      <c r="U2274">
        <v>19486</v>
      </c>
      <c r="V2274">
        <v>3</v>
      </c>
    </row>
    <row r="2275" spans="1:22" x14ac:dyDescent="0.35">
      <c r="A2275">
        <v>2274</v>
      </c>
      <c r="B2275" t="s">
        <v>241</v>
      </c>
      <c r="C2275" t="s">
        <v>242</v>
      </c>
      <c r="D2275">
        <v>2015</v>
      </c>
      <c r="E2275" t="s">
        <v>84</v>
      </c>
      <c r="F2275">
        <v>51.9</v>
      </c>
      <c r="G2275" t="s">
        <v>348</v>
      </c>
      <c r="H2275">
        <f>electric_vehicles_dataset[[#This Row],[Battery_Capacity_kWh]]/electric_vehicles_dataset[[#This Row],[Range_km]]</f>
        <v>0.2327354260089686</v>
      </c>
      <c r="I2275">
        <v>223</v>
      </c>
      <c r="J2275" t="s">
        <v>345</v>
      </c>
      <c r="K2275">
        <v>4</v>
      </c>
      <c r="L2275" s="1">
        <v>117460.47</v>
      </c>
      <c r="M2275" s="1" t="str" cm="1">
        <f t="array" ref="M22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75" t="s">
        <v>240</v>
      </c>
      <c r="O2275" t="s">
        <v>202</v>
      </c>
      <c r="P2275" s="2" t="s">
        <v>393</v>
      </c>
      <c r="Q2275">
        <v>5</v>
      </c>
      <c r="R2275" t="s">
        <v>392</v>
      </c>
      <c r="S2275" s="1">
        <f>electric_vehicles_dataset[[#This Row],[Units_Sold_2024]]*electric_vehicles_dataset[[#This Row],[Price_USD]]</f>
        <v>1272449271.51</v>
      </c>
      <c r="T2275">
        <v>4</v>
      </c>
      <c r="U2275">
        <v>10833</v>
      </c>
      <c r="V2275">
        <v>3</v>
      </c>
    </row>
    <row r="2276" spans="1:22" x14ac:dyDescent="0.35">
      <c r="A2276">
        <v>2275</v>
      </c>
      <c r="B2276" t="s">
        <v>24</v>
      </c>
      <c r="C2276" t="s">
        <v>328</v>
      </c>
      <c r="D2276">
        <v>2020</v>
      </c>
      <c r="E2276" t="s">
        <v>58</v>
      </c>
      <c r="F2276">
        <v>133.80000000000001</v>
      </c>
      <c r="G2276" t="s">
        <v>352</v>
      </c>
      <c r="H2276">
        <f>electric_vehicles_dataset[[#This Row],[Battery_Capacity_kWh]]/electric_vehicles_dataset[[#This Row],[Range_km]]</f>
        <v>0.30203160270880364</v>
      </c>
      <c r="I2276">
        <v>443</v>
      </c>
      <c r="J2276" t="s">
        <v>18</v>
      </c>
      <c r="K2276">
        <v>3</v>
      </c>
      <c r="L2276" s="1">
        <v>38764.74</v>
      </c>
      <c r="M2276" s="1" t="str" cm="1">
        <f t="array" ref="M227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76" t="s">
        <v>219</v>
      </c>
      <c r="O2276" t="s">
        <v>161</v>
      </c>
      <c r="P2276" s="2" t="s">
        <v>389</v>
      </c>
      <c r="Q2276">
        <v>5</v>
      </c>
      <c r="R2276" t="s">
        <v>392</v>
      </c>
      <c r="S2276" s="1">
        <f>electric_vehicles_dataset[[#This Row],[Units_Sold_2024]]*electric_vehicles_dataset[[#This Row],[Price_USD]]</f>
        <v>174635153.69999999</v>
      </c>
      <c r="T2276">
        <v>3</v>
      </c>
      <c r="U2276">
        <v>4505</v>
      </c>
      <c r="V2276">
        <v>3</v>
      </c>
    </row>
    <row r="2277" spans="1:22" x14ac:dyDescent="0.35">
      <c r="A2277">
        <v>2276</v>
      </c>
      <c r="B2277" t="s">
        <v>24</v>
      </c>
      <c r="C2277" t="s">
        <v>264</v>
      </c>
      <c r="D2277">
        <v>2022</v>
      </c>
      <c r="E2277" t="s">
        <v>58</v>
      </c>
      <c r="F2277">
        <v>52.2</v>
      </c>
      <c r="G2277" t="s">
        <v>348</v>
      </c>
      <c r="H2277">
        <f>electric_vehicles_dataset[[#This Row],[Battery_Capacity_kWh]]/electric_vehicles_dataset[[#This Row],[Range_km]]</f>
        <v>0.17114754098360657</v>
      </c>
      <c r="I2277">
        <v>305</v>
      </c>
      <c r="J2277" t="s">
        <v>359</v>
      </c>
      <c r="K2277">
        <v>1</v>
      </c>
      <c r="L2277" s="1">
        <v>33965.83</v>
      </c>
      <c r="M2277" s="1" t="str" cm="1">
        <f t="array" ref="M227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77" t="s">
        <v>131</v>
      </c>
      <c r="O2277" t="s">
        <v>86</v>
      </c>
      <c r="P2277" s="2" t="s">
        <v>389</v>
      </c>
      <c r="Q2277">
        <v>5</v>
      </c>
      <c r="R2277" t="s">
        <v>392</v>
      </c>
      <c r="S2277" s="1">
        <f>electric_vehicles_dataset[[#This Row],[Units_Sold_2024]]*electric_vehicles_dataset[[#This Row],[Price_USD]]</f>
        <v>471717447.04000002</v>
      </c>
      <c r="T2277">
        <v>5</v>
      </c>
      <c r="U2277">
        <v>13888</v>
      </c>
      <c r="V2277">
        <v>4</v>
      </c>
    </row>
    <row r="2278" spans="1:22" x14ac:dyDescent="0.35">
      <c r="A2278">
        <v>2277</v>
      </c>
      <c r="B2278" t="s">
        <v>224</v>
      </c>
      <c r="C2278" t="s">
        <v>297</v>
      </c>
      <c r="D2278">
        <v>2020</v>
      </c>
      <c r="E2278" t="s">
        <v>26</v>
      </c>
      <c r="F2278">
        <v>46</v>
      </c>
      <c r="G2278" t="s">
        <v>348</v>
      </c>
      <c r="H2278">
        <f>electric_vehicles_dataset[[#This Row],[Battery_Capacity_kWh]]/electric_vehicles_dataset[[#This Row],[Range_km]]</f>
        <v>0.19574468085106383</v>
      </c>
      <c r="I2278">
        <v>235</v>
      </c>
      <c r="J2278" t="s">
        <v>18</v>
      </c>
      <c r="K2278">
        <v>4</v>
      </c>
      <c r="L2278" s="1">
        <v>80930.41</v>
      </c>
      <c r="M2278" s="1" t="str" cm="1">
        <f t="array" ref="M227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78" t="s">
        <v>43</v>
      </c>
      <c r="O2278" t="s">
        <v>169</v>
      </c>
      <c r="P2278" s="2" t="s">
        <v>394</v>
      </c>
      <c r="Q2278">
        <v>5</v>
      </c>
      <c r="R2278" t="s">
        <v>392</v>
      </c>
      <c r="S2278" s="1">
        <f>electric_vehicles_dataset[[#This Row],[Units_Sold_2024]]*electric_vehicles_dataset[[#This Row],[Price_USD]]</f>
        <v>1513884249.46</v>
      </c>
      <c r="T2278">
        <v>5</v>
      </c>
      <c r="U2278">
        <v>18706</v>
      </c>
      <c r="V2278">
        <v>5</v>
      </c>
    </row>
    <row r="2279" spans="1:22" x14ac:dyDescent="0.35">
      <c r="A2279">
        <v>2278</v>
      </c>
      <c r="B2279" t="s">
        <v>155</v>
      </c>
      <c r="C2279" t="s">
        <v>190</v>
      </c>
      <c r="D2279">
        <v>2019</v>
      </c>
      <c r="E2279" t="s">
        <v>17</v>
      </c>
      <c r="F2279">
        <v>38.4</v>
      </c>
      <c r="G2279" t="s">
        <v>357</v>
      </c>
      <c r="H2279">
        <f>electric_vehicles_dataset[[#This Row],[Battery_Capacity_kWh]]/electric_vehicles_dataset[[#This Row],[Range_km]]</f>
        <v>7.6039603960396038E-2</v>
      </c>
      <c r="I2279">
        <v>505</v>
      </c>
      <c r="J2279" t="s">
        <v>364</v>
      </c>
      <c r="K2279">
        <v>7</v>
      </c>
      <c r="L2279" s="1">
        <v>132122.22</v>
      </c>
      <c r="M2279" s="1" t="str" cm="1">
        <f t="array" ref="M227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79" t="s">
        <v>219</v>
      </c>
      <c r="O2279" t="s">
        <v>89</v>
      </c>
      <c r="P2279" s="2" t="s">
        <v>389</v>
      </c>
      <c r="Q2279">
        <v>2</v>
      </c>
      <c r="R2279" t="s">
        <v>391</v>
      </c>
      <c r="S2279" s="1">
        <f>electric_vehicles_dataset[[#This Row],[Units_Sold_2024]]*electric_vehicles_dataset[[#This Row],[Price_USD]]</f>
        <v>550817535.17999995</v>
      </c>
      <c r="T2279">
        <v>5</v>
      </c>
      <c r="U2279">
        <v>4169</v>
      </c>
      <c r="V2279">
        <v>5</v>
      </c>
    </row>
    <row r="2280" spans="1:22" x14ac:dyDescent="0.35">
      <c r="A2280">
        <v>2279</v>
      </c>
      <c r="B2280" t="s">
        <v>224</v>
      </c>
      <c r="C2280" t="s">
        <v>225</v>
      </c>
      <c r="D2280">
        <v>2015</v>
      </c>
      <c r="E2280" t="s">
        <v>47</v>
      </c>
      <c r="F2280">
        <v>33.799999999999997</v>
      </c>
      <c r="G2280" t="s">
        <v>357</v>
      </c>
      <c r="H2280">
        <f>electric_vehicles_dataset[[#This Row],[Battery_Capacity_kWh]]/electric_vehicles_dataset[[#This Row],[Range_km]]</f>
        <v>6.3177570093457938E-2</v>
      </c>
      <c r="I2280">
        <v>535</v>
      </c>
      <c r="J2280" t="s">
        <v>54</v>
      </c>
      <c r="K2280">
        <v>12</v>
      </c>
      <c r="L2280" s="1">
        <v>51956.69</v>
      </c>
      <c r="M2280" s="1" t="str" cm="1">
        <f t="array" ref="M22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80" t="s">
        <v>55</v>
      </c>
      <c r="O2280" t="s">
        <v>150</v>
      </c>
      <c r="P2280" s="2" t="s">
        <v>389</v>
      </c>
      <c r="Q2280">
        <v>4</v>
      </c>
      <c r="R2280" t="s">
        <v>392</v>
      </c>
      <c r="S2280" s="1">
        <f>electric_vehicles_dataset[[#This Row],[Units_Sold_2024]]*electric_vehicles_dataset[[#This Row],[Price_USD]]</f>
        <v>870274557.5</v>
      </c>
      <c r="T2280">
        <v>4</v>
      </c>
      <c r="U2280">
        <v>16750</v>
      </c>
      <c r="V2280">
        <v>3</v>
      </c>
    </row>
    <row r="2281" spans="1:22" x14ac:dyDescent="0.35">
      <c r="A2281">
        <v>2280</v>
      </c>
      <c r="B2281" t="s">
        <v>136</v>
      </c>
      <c r="C2281" t="s">
        <v>137</v>
      </c>
      <c r="D2281">
        <v>2025</v>
      </c>
      <c r="E2281" t="s">
        <v>17</v>
      </c>
      <c r="F2281">
        <v>141.30000000000001</v>
      </c>
      <c r="G2281" t="s">
        <v>386</v>
      </c>
      <c r="H2281">
        <f>electric_vehicles_dataset[[#This Row],[Battery_Capacity_kWh]]/electric_vehicles_dataset[[#This Row],[Range_km]]</f>
        <v>0.52333333333333343</v>
      </c>
      <c r="I2281">
        <v>270</v>
      </c>
      <c r="J2281" t="s">
        <v>85</v>
      </c>
      <c r="K2281">
        <v>6</v>
      </c>
      <c r="L2281" s="1">
        <v>33631.18</v>
      </c>
      <c r="M2281" s="1" t="str" cm="1">
        <f t="array" ref="M228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81" t="s">
        <v>301</v>
      </c>
      <c r="O2281" t="s">
        <v>230</v>
      </c>
      <c r="P2281" s="2" t="s">
        <v>389</v>
      </c>
      <c r="Q2281">
        <v>3</v>
      </c>
      <c r="R2281" t="s">
        <v>397</v>
      </c>
      <c r="S2281" s="1">
        <f>electric_vehicles_dataset[[#This Row],[Units_Sold_2024]]*electric_vehicles_dataset[[#This Row],[Price_USD]]</f>
        <v>497068840.39999998</v>
      </c>
      <c r="T2281">
        <v>5</v>
      </c>
      <c r="U2281">
        <v>14780</v>
      </c>
      <c r="V2281">
        <v>3</v>
      </c>
    </row>
    <row r="2282" spans="1:22" x14ac:dyDescent="0.35">
      <c r="A2282">
        <v>2281</v>
      </c>
      <c r="B2282" t="s">
        <v>187</v>
      </c>
      <c r="C2282" t="s">
        <v>319</v>
      </c>
      <c r="D2282">
        <v>2019</v>
      </c>
      <c r="E2282" t="s">
        <v>53</v>
      </c>
      <c r="F2282">
        <v>37.1</v>
      </c>
      <c r="G2282" t="s">
        <v>357</v>
      </c>
      <c r="H2282">
        <f>electric_vehicles_dataset[[#This Row],[Battery_Capacity_kWh]]/electric_vehicles_dataset[[#This Row],[Range_km]]</f>
        <v>0.19322916666666667</v>
      </c>
      <c r="I2282">
        <v>192</v>
      </c>
      <c r="J2282" t="s">
        <v>105</v>
      </c>
      <c r="K2282">
        <v>9</v>
      </c>
      <c r="L2282" s="1">
        <v>86803.32</v>
      </c>
      <c r="M2282" s="1" t="str" cm="1">
        <f t="array" ref="M228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82" t="s">
        <v>214</v>
      </c>
      <c r="O2282" t="s">
        <v>226</v>
      </c>
      <c r="P2282" s="2" t="s">
        <v>395</v>
      </c>
      <c r="Q2282">
        <v>2</v>
      </c>
      <c r="R2282" t="s">
        <v>391</v>
      </c>
      <c r="S2282" s="1">
        <f>electric_vehicles_dataset[[#This Row],[Units_Sold_2024]]*electric_vehicles_dataset[[#This Row],[Price_USD]]</f>
        <v>697638282.84000003</v>
      </c>
      <c r="T2282">
        <v>5</v>
      </c>
      <c r="U2282">
        <v>8037</v>
      </c>
      <c r="V2282">
        <v>3</v>
      </c>
    </row>
    <row r="2283" spans="1:22" x14ac:dyDescent="0.35">
      <c r="A2283">
        <v>2282</v>
      </c>
      <c r="B2283" t="s">
        <v>234</v>
      </c>
      <c r="C2283" t="s">
        <v>235</v>
      </c>
      <c r="D2283">
        <v>2019</v>
      </c>
      <c r="E2283" t="s">
        <v>183</v>
      </c>
      <c r="F2283">
        <v>26.9</v>
      </c>
      <c r="G2283" t="s">
        <v>357</v>
      </c>
      <c r="H2283">
        <f>electric_vehicles_dataset[[#This Row],[Battery_Capacity_kWh]]/electric_vehicles_dataset[[#This Row],[Range_km]]</f>
        <v>8.3540372670807453E-2</v>
      </c>
      <c r="I2283">
        <v>322</v>
      </c>
      <c r="J2283" t="s">
        <v>76</v>
      </c>
      <c r="K2283">
        <v>5</v>
      </c>
      <c r="L2283" s="1">
        <v>93848.73</v>
      </c>
      <c r="M2283" s="1" t="str" cm="1">
        <f t="array" ref="M228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83" t="s">
        <v>246</v>
      </c>
      <c r="O2283" t="s">
        <v>150</v>
      </c>
      <c r="P2283" s="2" t="s">
        <v>389</v>
      </c>
      <c r="Q2283">
        <v>4</v>
      </c>
      <c r="R2283" t="s">
        <v>392</v>
      </c>
      <c r="S2283" s="1">
        <f>electric_vehicles_dataset[[#This Row],[Units_Sold_2024]]*electric_vehicles_dataset[[#This Row],[Price_USD]]</f>
        <v>1406792462.7</v>
      </c>
      <c r="T2283">
        <v>5</v>
      </c>
      <c r="U2283">
        <v>14990</v>
      </c>
      <c r="V2283">
        <v>4</v>
      </c>
    </row>
    <row r="2284" spans="1:22" x14ac:dyDescent="0.35">
      <c r="A2284">
        <v>2283</v>
      </c>
      <c r="B2284" t="s">
        <v>74</v>
      </c>
      <c r="C2284" t="s">
        <v>75</v>
      </c>
      <c r="D2284">
        <v>2018</v>
      </c>
      <c r="E2284" t="s">
        <v>130</v>
      </c>
      <c r="F2284">
        <v>80.099999999999994</v>
      </c>
      <c r="G2284" t="s">
        <v>350</v>
      </c>
      <c r="H2284">
        <f>electric_vehicles_dataset[[#This Row],[Battery_Capacity_kWh]]/electric_vehicles_dataset[[#This Row],[Range_km]]</f>
        <v>0.37083333333333329</v>
      </c>
      <c r="I2284">
        <v>216</v>
      </c>
      <c r="J2284" t="s">
        <v>149</v>
      </c>
      <c r="K2284">
        <v>11</v>
      </c>
      <c r="L2284" s="1">
        <v>133841.24</v>
      </c>
      <c r="M2284" s="1" t="str" cm="1">
        <f t="array" ref="M228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84" t="s">
        <v>39</v>
      </c>
      <c r="O2284" t="s">
        <v>110</v>
      </c>
      <c r="P2284" s="2" t="s">
        <v>394</v>
      </c>
      <c r="Q2284">
        <v>4</v>
      </c>
      <c r="R2284" t="s">
        <v>392</v>
      </c>
      <c r="S2284" s="1">
        <f>electric_vehicles_dataset[[#This Row],[Units_Sold_2024]]*electric_vehicles_dataset[[#This Row],[Price_USD]]</f>
        <v>106805309.52</v>
      </c>
      <c r="T2284">
        <v>4</v>
      </c>
      <c r="U2284">
        <v>798</v>
      </c>
      <c r="V2284">
        <v>4</v>
      </c>
    </row>
    <row r="2285" spans="1:22" x14ac:dyDescent="0.35">
      <c r="A2285">
        <v>2284</v>
      </c>
      <c r="B2285" t="s">
        <v>220</v>
      </c>
      <c r="C2285" t="s">
        <v>336</v>
      </c>
      <c r="D2285">
        <v>2019</v>
      </c>
      <c r="E2285" t="s">
        <v>183</v>
      </c>
      <c r="F2285">
        <v>147.1</v>
      </c>
      <c r="G2285" t="s">
        <v>386</v>
      </c>
      <c r="H2285">
        <f>electric_vehicles_dataset[[#This Row],[Battery_Capacity_kWh]]/electric_vehicles_dataset[[#This Row],[Range_km]]</f>
        <v>0.31033755274261604</v>
      </c>
      <c r="I2285">
        <v>474</v>
      </c>
      <c r="J2285" t="s">
        <v>359</v>
      </c>
      <c r="K2285">
        <v>7</v>
      </c>
      <c r="L2285" s="1">
        <v>35222.81</v>
      </c>
      <c r="M2285" s="1" t="str" cm="1">
        <f t="array" ref="M228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85" t="s">
        <v>62</v>
      </c>
      <c r="O2285" t="s">
        <v>199</v>
      </c>
      <c r="P2285" s="2" t="s">
        <v>394</v>
      </c>
      <c r="Q2285">
        <v>4</v>
      </c>
      <c r="R2285" t="s">
        <v>392</v>
      </c>
      <c r="S2285" s="1">
        <f>electric_vehicles_dataset[[#This Row],[Units_Sold_2024]]*electric_vehicles_dataset[[#This Row],[Price_USD]]</f>
        <v>163116833.10999998</v>
      </c>
      <c r="T2285">
        <v>3</v>
      </c>
      <c r="U2285">
        <v>4631</v>
      </c>
      <c r="V2285">
        <v>5</v>
      </c>
    </row>
    <row r="2286" spans="1:22" x14ac:dyDescent="0.35">
      <c r="A2286">
        <v>2285</v>
      </c>
      <c r="B2286" t="s">
        <v>269</v>
      </c>
      <c r="C2286" t="s">
        <v>270</v>
      </c>
      <c r="D2286">
        <v>2022</v>
      </c>
      <c r="E2286" t="s">
        <v>84</v>
      </c>
      <c r="F2286">
        <v>77.2</v>
      </c>
      <c r="G2286" t="s">
        <v>351</v>
      </c>
      <c r="H2286">
        <f>electric_vehicles_dataset[[#This Row],[Battery_Capacity_kWh]]/electric_vehicles_dataset[[#This Row],[Range_km]]</f>
        <v>0.44624277456647399</v>
      </c>
      <c r="I2286">
        <v>173</v>
      </c>
      <c r="J2286" t="s">
        <v>34</v>
      </c>
      <c r="K2286">
        <v>12</v>
      </c>
      <c r="L2286" s="1">
        <v>73268.27</v>
      </c>
      <c r="M2286" s="1" t="str" cm="1">
        <f t="array" ref="M228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86" t="s">
        <v>81</v>
      </c>
      <c r="O2286" t="s">
        <v>93</v>
      </c>
      <c r="P2286" s="2" t="s">
        <v>389</v>
      </c>
      <c r="Q2286">
        <v>2</v>
      </c>
      <c r="R2286" t="s">
        <v>391</v>
      </c>
      <c r="S2286" s="1">
        <f>electric_vehicles_dataset[[#This Row],[Units_Sold_2024]]*electric_vehicles_dataset[[#This Row],[Price_USD]]</f>
        <v>522402765.10000002</v>
      </c>
      <c r="T2286">
        <v>3</v>
      </c>
      <c r="U2286">
        <v>7130</v>
      </c>
      <c r="V2286">
        <v>3</v>
      </c>
    </row>
    <row r="2287" spans="1:22" x14ac:dyDescent="0.35">
      <c r="A2287">
        <v>2286</v>
      </c>
      <c r="B2287" t="s">
        <v>187</v>
      </c>
      <c r="C2287" t="s">
        <v>188</v>
      </c>
      <c r="D2287">
        <v>2025</v>
      </c>
      <c r="E2287" t="s">
        <v>26</v>
      </c>
      <c r="F2287">
        <v>50</v>
      </c>
      <c r="G2287" t="s">
        <v>348</v>
      </c>
      <c r="H2287">
        <f>electric_vehicles_dataset[[#This Row],[Battery_Capacity_kWh]]/electric_vehicles_dataset[[#This Row],[Range_km]]</f>
        <v>0.11160714285714286</v>
      </c>
      <c r="I2287">
        <v>448</v>
      </c>
      <c r="J2287" t="s">
        <v>54</v>
      </c>
      <c r="K2287">
        <v>3</v>
      </c>
      <c r="L2287" s="1">
        <v>106154.57</v>
      </c>
      <c r="M2287" s="1" t="str" cm="1">
        <f t="array" ref="M228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87" t="s">
        <v>246</v>
      </c>
      <c r="O2287" t="s">
        <v>121</v>
      </c>
      <c r="P2287" s="2" t="s">
        <v>398</v>
      </c>
      <c r="Q2287">
        <v>2</v>
      </c>
      <c r="R2287" t="s">
        <v>391</v>
      </c>
      <c r="S2287" s="1">
        <f>electric_vehicles_dataset[[#This Row],[Units_Sold_2024]]*electric_vehicles_dataset[[#This Row],[Price_USD]]</f>
        <v>1243494632.98</v>
      </c>
      <c r="T2287">
        <v>5</v>
      </c>
      <c r="U2287">
        <v>11714</v>
      </c>
      <c r="V2287">
        <v>3</v>
      </c>
    </row>
    <row r="2288" spans="1:22" x14ac:dyDescent="0.35">
      <c r="A2288">
        <v>2287</v>
      </c>
      <c r="B2288" t="s">
        <v>94</v>
      </c>
      <c r="C2288" t="s">
        <v>99</v>
      </c>
      <c r="D2288">
        <v>2021</v>
      </c>
      <c r="E2288" t="s">
        <v>58</v>
      </c>
      <c r="F2288">
        <v>122.2</v>
      </c>
      <c r="G2288" t="s">
        <v>352</v>
      </c>
      <c r="H2288">
        <f>electric_vehicles_dataset[[#This Row],[Battery_Capacity_kWh]]/electric_vehicles_dataset[[#This Row],[Range_km]]</f>
        <v>0.34422535211267608</v>
      </c>
      <c r="I2288">
        <v>355</v>
      </c>
      <c r="J2288" t="s">
        <v>105</v>
      </c>
      <c r="K2288">
        <v>7</v>
      </c>
      <c r="L2288" s="1">
        <v>117109.05</v>
      </c>
      <c r="M2288" s="1" t="str" cm="1">
        <f t="array" ref="M228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88" t="s">
        <v>219</v>
      </c>
      <c r="O2288" t="s">
        <v>111</v>
      </c>
      <c r="P2288" s="2" t="s">
        <v>389</v>
      </c>
      <c r="Q2288">
        <v>5</v>
      </c>
      <c r="R2288" t="s">
        <v>392</v>
      </c>
      <c r="S2288" s="1">
        <f>electric_vehicles_dataset[[#This Row],[Units_Sold_2024]]*electric_vehicles_dataset[[#This Row],[Price_USD]]</f>
        <v>1751365842.75</v>
      </c>
      <c r="T2288">
        <v>4</v>
      </c>
      <c r="U2288">
        <v>14955</v>
      </c>
      <c r="V2288">
        <v>5</v>
      </c>
    </row>
    <row r="2289" spans="1:22" x14ac:dyDescent="0.35">
      <c r="A2289">
        <v>2288</v>
      </c>
      <c r="B2289" t="s">
        <v>140</v>
      </c>
      <c r="C2289" t="s">
        <v>339</v>
      </c>
      <c r="D2289">
        <v>2017</v>
      </c>
      <c r="E2289" t="s">
        <v>130</v>
      </c>
      <c r="F2289">
        <v>114.3</v>
      </c>
      <c r="G2289" t="s">
        <v>361</v>
      </c>
      <c r="H2289">
        <f>electric_vehicles_dataset[[#This Row],[Battery_Capacity_kWh]]/electric_vehicles_dataset[[#This Row],[Range_km]]</f>
        <v>0.24267515923566879</v>
      </c>
      <c r="I2289">
        <v>471</v>
      </c>
      <c r="J2289" t="s">
        <v>48</v>
      </c>
      <c r="K2289">
        <v>6</v>
      </c>
      <c r="L2289" s="1">
        <v>134889.82</v>
      </c>
      <c r="M2289" s="1" t="str" cm="1">
        <f t="array" ref="M228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89" t="s">
        <v>106</v>
      </c>
      <c r="O2289" t="s">
        <v>44</v>
      </c>
      <c r="P2289" s="2" t="s">
        <v>389</v>
      </c>
      <c r="Q2289">
        <v>0</v>
      </c>
      <c r="R2289" t="s">
        <v>390</v>
      </c>
      <c r="S2289" s="1">
        <f>electric_vehicles_dataset[[#This Row],[Units_Sold_2024]]*electric_vehicles_dataset[[#This Row],[Price_USD]]</f>
        <v>1236939649.4000001</v>
      </c>
      <c r="T2289">
        <v>3</v>
      </c>
      <c r="U2289">
        <v>9170</v>
      </c>
      <c r="V2289">
        <v>3</v>
      </c>
    </row>
    <row r="2290" spans="1:22" x14ac:dyDescent="0.35">
      <c r="A2290">
        <v>2289</v>
      </c>
      <c r="B2290" t="s">
        <v>220</v>
      </c>
      <c r="C2290" t="s">
        <v>221</v>
      </c>
      <c r="D2290">
        <v>2024</v>
      </c>
      <c r="E2290" t="s">
        <v>31</v>
      </c>
      <c r="F2290">
        <v>71.2</v>
      </c>
      <c r="G2290" t="s">
        <v>351</v>
      </c>
      <c r="H2290">
        <f>electric_vehicles_dataset[[#This Row],[Battery_Capacity_kWh]]/electric_vehicles_dataset[[#This Row],[Range_km]]</f>
        <v>0.16181818181818183</v>
      </c>
      <c r="I2290">
        <v>440</v>
      </c>
      <c r="J2290" t="s">
        <v>18</v>
      </c>
      <c r="K2290">
        <v>6</v>
      </c>
      <c r="L2290" s="1">
        <v>42283.44</v>
      </c>
      <c r="M2290" s="1" t="str" cm="1">
        <f t="array" ref="M229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90" t="s">
        <v>70</v>
      </c>
      <c r="O2290" t="s">
        <v>134</v>
      </c>
      <c r="P2290" s="2" t="s">
        <v>389</v>
      </c>
      <c r="Q2290">
        <v>5</v>
      </c>
      <c r="R2290" t="s">
        <v>392</v>
      </c>
      <c r="S2290" s="1">
        <f>electric_vehicles_dataset[[#This Row],[Units_Sold_2024]]*electric_vehicles_dataset[[#This Row],[Price_USD]]</f>
        <v>539578977.84000003</v>
      </c>
      <c r="T2290">
        <v>4</v>
      </c>
      <c r="U2290">
        <v>12761</v>
      </c>
      <c r="V2290">
        <v>4</v>
      </c>
    </row>
    <row r="2291" spans="1:22" x14ac:dyDescent="0.35">
      <c r="A2291">
        <v>2290</v>
      </c>
      <c r="B2291" t="s">
        <v>68</v>
      </c>
      <c r="C2291" t="s">
        <v>69</v>
      </c>
      <c r="D2291">
        <v>2016</v>
      </c>
      <c r="E2291" t="s">
        <v>58</v>
      </c>
      <c r="F2291">
        <v>41.2</v>
      </c>
      <c r="G2291" t="s">
        <v>348</v>
      </c>
      <c r="H2291">
        <f>electric_vehicles_dataset[[#This Row],[Battery_Capacity_kWh]]/electric_vehicles_dataset[[#This Row],[Range_km]]</f>
        <v>0.14061433447098978</v>
      </c>
      <c r="I2291">
        <v>293</v>
      </c>
      <c r="J2291" t="s">
        <v>353</v>
      </c>
      <c r="K2291">
        <v>6</v>
      </c>
      <c r="L2291" s="1">
        <v>144840.21</v>
      </c>
      <c r="M2291" s="1" t="str" cm="1">
        <f t="array" ref="M229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91" t="s">
        <v>301</v>
      </c>
      <c r="O2291" t="s">
        <v>202</v>
      </c>
      <c r="P2291" s="2" t="s">
        <v>393</v>
      </c>
      <c r="Q2291">
        <v>5</v>
      </c>
      <c r="R2291" t="s">
        <v>392</v>
      </c>
      <c r="S2291" s="1">
        <f>electric_vehicles_dataset[[#This Row],[Units_Sold_2024]]*electric_vehicles_dataset[[#This Row],[Price_USD]]</f>
        <v>2524420020.0899997</v>
      </c>
      <c r="T2291">
        <v>3</v>
      </c>
      <c r="U2291">
        <v>17429</v>
      </c>
      <c r="V2291">
        <v>5</v>
      </c>
    </row>
    <row r="2292" spans="1:22" x14ac:dyDescent="0.35">
      <c r="A2292">
        <v>2291</v>
      </c>
      <c r="B2292" t="s">
        <v>157</v>
      </c>
      <c r="C2292" t="s">
        <v>296</v>
      </c>
      <c r="D2292">
        <v>2015</v>
      </c>
      <c r="E2292" t="s">
        <v>130</v>
      </c>
      <c r="F2292">
        <v>120.7</v>
      </c>
      <c r="G2292" t="s">
        <v>352</v>
      </c>
      <c r="H2292">
        <f>electric_vehicles_dataset[[#This Row],[Battery_Capacity_kWh]]/electric_vehicles_dataset[[#This Row],[Range_km]]</f>
        <v>0.48473895582329318</v>
      </c>
      <c r="I2292">
        <v>249</v>
      </c>
      <c r="J2292" t="s">
        <v>38</v>
      </c>
      <c r="K2292">
        <v>7</v>
      </c>
      <c r="L2292" s="1">
        <v>50364.98</v>
      </c>
      <c r="M2292" s="1" t="str" cm="1">
        <f t="array" ref="M229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92" t="s">
        <v>212</v>
      </c>
      <c r="O2292" t="s">
        <v>150</v>
      </c>
      <c r="P2292" s="2" t="s">
        <v>389</v>
      </c>
      <c r="Q2292">
        <v>3</v>
      </c>
      <c r="R2292" t="s">
        <v>397</v>
      </c>
      <c r="S2292" s="1">
        <f>electric_vehicles_dataset[[#This Row],[Units_Sold_2024]]*electric_vehicles_dataset[[#This Row],[Price_USD]]</f>
        <v>340416899.81999999</v>
      </c>
      <c r="T2292">
        <v>3</v>
      </c>
      <c r="U2292">
        <v>6759</v>
      </c>
      <c r="V2292">
        <v>5</v>
      </c>
    </row>
    <row r="2293" spans="1:22" x14ac:dyDescent="0.35">
      <c r="A2293">
        <v>2292</v>
      </c>
      <c r="B2293" t="s">
        <v>192</v>
      </c>
      <c r="C2293" t="s">
        <v>198</v>
      </c>
      <c r="D2293">
        <v>2019</v>
      </c>
      <c r="E2293" t="s">
        <v>31</v>
      </c>
      <c r="F2293">
        <v>138.4</v>
      </c>
      <c r="G2293" t="s">
        <v>352</v>
      </c>
      <c r="H2293">
        <f>electric_vehicles_dataset[[#This Row],[Battery_Capacity_kWh]]/electric_vehicles_dataset[[#This Row],[Range_km]]</f>
        <v>0.63778801843317978</v>
      </c>
      <c r="I2293">
        <v>217</v>
      </c>
      <c r="J2293" t="s">
        <v>345</v>
      </c>
      <c r="K2293">
        <v>3</v>
      </c>
      <c r="L2293" s="1">
        <v>124504.43</v>
      </c>
      <c r="M2293" s="1" t="str" cm="1">
        <f t="array" ref="M229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93" t="s">
        <v>66</v>
      </c>
      <c r="O2293" t="s">
        <v>236</v>
      </c>
      <c r="P2293" s="2" t="s">
        <v>394</v>
      </c>
      <c r="Q2293">
        <v>1</v>
      </c>
      <c r="R2293" t="s">
        <v>391</v>
      </c>
      <c r="S2293" s="1">
        <f>electric_vehicles_dataset[[#This Row],[Units_Sold_2024]]*electric_vehicles_dataset[[#This Row],[Price_USD]]</f>
        <v>763336660.32999992</v>
      </c>
      <c r="T2293">
        <v>5</v>
      </c>
      <c r="U2293">
        <v>6131</v>
      </c>
      <c r="V2293">
        <v>3</v>
      </c>
    </row>
    <row r="2294" spans="1:22" x14ac:dyDescent="0.35">
      <c r="A2294">
        <v>2293</v>
      </c>
      <c r="B2294" t="s">
        <v>241</v>
      </c>
      <c r="C2294" t="s">
        <v>242</v>
      </c>
      <c r="D2294">
        <v>2016</v>
      </c>
      <c r="E2294" t="s">
        <v>84</v>
      </c>
      <c r="F2294">
        <v>21.5</v>
      </c>
      <c r="G2294" t="s">
        <v>357</v>
      </c>
      <c r="H2294">
        <f>electric_vehicles_dataset[[#This Row],[Battery_Capacity_kWh]]/electric_vehicles_dataset[[#This Row],[Range_km]]</f>
        <v>7.312925170068027E-2</v>
      </c>
      <c r="I2294">
        <v>294</v>
      </c>
      <c r="J2294" t="s">
        <v>76</v>
      </c>
      <c r="K2294">
        <v>6</v>
      </c>
      <c r="L2294" s="1">
        <v>120790.84</v>
      </c>
      <c r="M2294" s="1" t="str" cm="1">
        <f t="array" ref="M22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94" t="s">
        <v>228</v>
      </c>
      <c r="O2294" t="s">
        <v>161</v>
      </c>
      <c r="P2294" s="2" t="s">
        <v>389</v>
      </c>
      <c r="Q2294">
        <v>5</v>
      </c>
      <c r="R2294" t="s">
        <v>392</v>
      </c>
      <c r="S2294" s="1">
        <f>electric_vehicles_dataset[[#This Row],[Units_Sold_2024]]*electric_vehicles_dataset[[#This Row],[Price_USD]]</f>
        <v>2065764945.6799998</v>
      </c>
      <c r="T2294">
        <v>5</v>
      </c>
      <c r="U2294">
        <v>17102</v>
      </c>
      <c r="V2294">
        <v>4</v>
      </c>
    </row>
    <row r="2295" spans="1:22" x14ac:dyDescent="0.35">
      <c r="A2295">
        <v>2294</v>
      </c>
      <c r="B2295" t="s">
        <v>261</v>
      </c>
      <c r="C2295" t="s">
        <v>370</v>
      </c>
      <c r="D2295">
        <v>2021</v>
      </c>
      <c r="E2295" t="s">
        <v>183</v>
      </c>
      <c r="F2295">
        <v>140.4</v>
      </c>
      <c r="G2295" t="s">
        <v>386</v>
      </c>
      <c r="H2295">
        <f>electric_vehicles_dataset[[#This Row],[Battery_Capacity_kWh]]/electric_vehicles_dataset[[#This Row],[Range_km]]</f>
        <v>0.51054545454545452</v>
      </c>
      <c r="I2295">
        <v>275</v>
      </c>
      <c r="J2295" t="s">
        <v>359</v>
      </c>
      <c r="K2295">
        <v>11</v>
      </c>
      <c r="L2295" s="1">
        <v>38193.980000000003</v>
      </c>
      <c r="M2295" s="1" t="str" cm="1">
        <f t="array" ref="M229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95" t="s">
        <v>91</v>
      </c>
      <c r="O2295" t="s">
        <v>226</v>
      </c>
      <c r="P2295" s="2" t="s">
        <v>395</v>
      </c>
      <c r="Q2295">
        <v>0</v>
      </c>
      <c r="R2295" t="s">
        <v>390</v>
      </c>
      <c r="S2295" s="1">
        <f>electric_vehicles_dataset[[#This Row],[Units_Sold_2024]]*electric_vehicles_dataset[[#This Row],[Price_USD]]</f>
        <v>710598997.9000001</v>
      </c>
      <c r="T2295">
        <v>4</v>
      </c>
      <c r="U2295">
        <v>18605</v>
      </c>
      <c r="V2295">
        <v>5</v>
      </c>
    </row>
    <row r="2296" spans="1:22" x14ac:dyDescent="0.35">
      <c r="A2296">
        <v>2295</v>
      </c>
      <c r="B2296" t="s">
        <v>112</v>
      </c>
      <c r="C2296" t="s">
        <v>138</v>
      </c>
      <c r="D2296">
        <v>2023</v>
      </c>
      <c r="E2296" t="s">
        <v>130</v>
      </c>
      <c r="F2296">
        <v>48.9</v>
      </c>
      <c r="G2296" t="s">
        <v>348</v>
      </c>
      <c r="H2296">
        <f>electric_vehicles_dataset[[#This Row],[Battery_Capacity_kWh]]/electric_vehicles_dataset[[#This Row],[Range_km]]</f>
        <v>0.11113636363636363</v>
      </c>
      <c r="I2296">
        <v>440</v>
      </c>
      <c r="J2296" t="s">
        <v>149</v>
      </c>
      <c r="K2296">
        <v>1</v>
      </c>
      <c r="L2296" s="1">
        <v>104723.61</v>
      </c>
      <c r="M2296" s="1" t="str" cm="1">
        <f t="array" ref="M229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96" t="s">
        <v>142</v>
      </c>
      <c r="O2296" t="s">
        <v>159</v>
      </c>
      <c r="P2296" s="2" t="s">
        <v>389</v>
      </c>
      <c r="Q2296">
        <v>1</v>
      </c>
      <c r="R2296" t="s">
        <v>391</v>
      </c>
      <c r="S2296" s="1">
        <f>electric_vehicles_dataset[[#This Row],[Units_Sold_2024]]*electric_vehicles_dataset[[#This Row],[Price_USD]]</f>
        <v>661434320.75999999</v>
      </c>
      <c r="T2296">
        <v>4</v>
      </c>
      <c r="U2296">
        <v>6316</v>
      </c>
      <c r="V2296">
        <v>4</v>
      </c>
    </row>
    <row r="2297" spans="1:22" x14ac:dyDescent="0.35">
      <c r="A2297">
        <v>2296</v>
      </c>
      <c r="B2297" t="s">
        <v>200</v>
      </c>
      <c r="C2297" t="s">
        <v>327</v>
      </c>
      <c r="D2297">
        <v>2023</v>
      </c>
      <c r="E2297" t="s">
        <v>104</v>
      </c>
      <c r="F2297">
        <v>26.7</v>
      </c>
      <c r="G2297" t="s">
        <v>357</v>
      </c>
      <c r="H2297">
        <f>electric_vehicles_dataset[[#This Row],[Battery_Capacity_kWh]]/electric_vehicles_dataset[[#This Row],[Range_km]]</f>
        <v>5.4268292682926829E-2</v>
      </c>
      <c r="I2297">
        <v>492</v>
      </c>
      <c r="J2297" t="s">
        <v>85</v>
      </c>
      <c r="K2297">
        <v>8</v>
      </c>
      <c r="L2297" s="1">
        <v>84464.22</v>
      </c>
      <c r="M2297" s="1" t="str" cm="1">
        <f t="array" ref="M229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297" t="s">
        <v>165</v>
      </c>
      <c r="O2297" t="s">
        <v>139</v>
      </c>
      <c r="P2297" s="2" t="s">
        <v>389</v>
      </c>
      <c r="Q2297">
        <v>5</v>
      </c>
      <c r="R2297" t="s">
        <v>392</v>
      </c>
      <c r="S2297" s="1">
        <f>electric_vehicles_dataset[[#This Row],[Units_Sold_2024]]*electric_vehicles_dataset[[#This Row],[Price_USD]]</f>
        <v>51269781.539999999</v>
      </c>
      <c r="T2297">
        <v>5</v>
      </c>
      <c r="U2297">
        <v>607</v>
      </c>
      <c r="V2297">
        <v>3</v>
      </c>
    </row>
    <row r="2298" spans="1:22" x14ac:dyDescent="0.35">
      <c r="A2298">
        <v>2297</v>
      </c>
      <c r="B2298" t="s">
        <v>157</v>
      </c>
      <c r="C2298" t="s">
        <v>296</v>
      </c>
      <c r="D2298">
        <v>2022</v>
      </c>
      <c r="E2298" t="s">
        <v>101</v>
      </c>
      <c r="F2298">
        <v>42.5</v>
      </c>
      <c r="G2298" t="s">
        <v>348</v>
      </c>
      <c r="H2298">
        <f>electric_vehicles_dataset[[#This Row],[Battery_Capacity_kWh]]/electric_vehicles_dataset[[#This Row],[Range_km]]</f>
        <v>0.10981912144702842</v>
      </c>
      <c r="I2298">
        <v>387</v>
      </c>
      <c r="J2298" t="s">
        <v>356</v>
      </c>
      <c r="K2298">
        <v>2</v>
      </c>
      <c r="L2298" s="1">
        <v>48794.65</v>
      </c>
      <c r="M2298" s="1" t="str" cm="1">
        <f t="array" ref="M229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298" t="s">
        <v>62</v>
      </c>
      <c r="O2298" t="s">
        <v>147</v>
      </c>
      <c r="P2298" s="2" t="s">
        <v>396</v>
      </c>
      <c r="Q2298">
        <v>2</v>
      </c>
      <c r="R2298" t="s">
        <v>391</v>
      </c>
      <c r="S2298" s="1">
        <f>electric_vehicles_dataset[[#This Row],[Units_Sold_2024]]*electric_vehicles_dataset[[#This Row],[Price_USD]]</f>
        <v>516979316.75</v>
      </c>
      <c r="T2298">
        <v>5</v>
      </c>
      <c r="U2298">
        <v>10595</v>
      </c>
      <c r="V2298">
        <v>5</v>
      </c>
    </row>
    <row r="2299" spans="1:22" x14ac:dyDescent="0.35">
      <c r="A2299">
        <v>2298</v>
      </c>
      <c r="B2299" t="s">
        <v>125</v>
      </c>
      <c r="C2299" t="s">
        <v>276</v>
      </c>
      <c r="D2299">
        <v>2017</v>
      </c>
      <c r="E2299" t="s">
        <v>31</v>
      </c>
      <c r="F2299">
        <v>47.3</v>
      </c>
      <c r="G2299" t="s">
        <v>348</v>
      </c>
      <c r="H2299">
        <f>electric_vehicles_dataset[[#This Row],[Battery_Capacity_kWh]]/electric_vehicles_dataset[[#This Row],[Range_km]]</f>
        <v>9.166666666666666E-2</v>
      </c>
      <c r="I2299">
        <v>516</v>
      </c>
      <c r="J2299" t="s">
        <v>38</v>
      </c>
      <c r="K2299">
        <v>10</v>
      </c>
      <c r="L2299" s="1">
        <v>138831.96</v>
      </c>
      <c r="M2299" s="1" t="str" cm="1">
        <f t="array" ref="M229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299" t="s">
        <v>217</v>
      </c>
      <c r="O2299" t="s">
        <v>121</v>
      </c>
      <c r="P2299" s="2" t="s">
        <v>398</v>
      </c>
      <c r="Q2299">
        <v>2</v>
      </c>
      <c r="R2299" t="s">
        <v>391</v>
      </c>
      <c r="S2299" s="1">
        <f>electric_vehicles_dataset[[#This Row],[Units_Sold_2024]]*electric_vehicles_dataset[[#This Row],[Price_USD]]</f>
        <v>134389337.28</v>
      </c>
      <c r="T2299">
        <v>5</v>
      </c>
      <c r="U2299">
        <v>968</v>
      </c>
      <c r="V2299">
        <v>3</v>
      </c>
    </row>
    <row r="2300" spans="1:22" x14ac:dyDescent="0.35">
      <c r="A2300">
        <v>2299</v>
      </c>
      <c r="B2300" t="s">
        <v>220</v>
      </c>
      <c r="C2300" t="s">
        <v>221</v>
      </c>
      <c r="D2300">
        <v>2015</v>
      </c>
      <c r="E2300" t="s">
        <v>26</v>
      </c>
      <c r="F2300">
        <v>141.69999999999999</v>
      </c>
      <c r="G2300" t="s">
        <v>386</v>
      </c>
      <c r="H2300">
        <f>electric_vehicles_dataset[[#This Row],[Battery_Capacity_kWh]]/electric_vehicles_dataset[[#This Row],[Range_km]]</f>
        <v>0.38401084010840103</v>
      </c>
      <c r="I2300">
        <v>369</v>
      </c>
      <c r="J2300" t="s">
        <v>27</v>
      </c>
      <c r="K2300">
        <v>10</v>
      </c>
      <c r="L2300" s="1">
        <v>133646.9</v>
      </c>
      <c r="M2300" s="1" t="str" cm="1">
        <f t="array" ref="M230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00" t="s">
        <v>160</v>
      </c>
      <c r="O2300" t="s">
        <v>265</v>
      </c>
      <c r="P2300" s="2" t="s">
        <v>389</v>
      </c>
      <c r="Q2300">
        <v>3</v>
      </c>
      <c r="R2300" t="s">
        <v>397</v>
      </c>
      <c r="S2300" s="1">
        <f>electric_vehicles_dataset[[#This Row],[Units_Sold_2024]]*electric_vehicles_dataset[[#This Row],[Price_USD]]</f>
        <v>1224740191.5999999</v>
      </c>
      <c r="T2300">
        <v>5</v>
      </c>
      <c r="U2300">
        <v>9164</v>
      </c>
      <c r="V2300">
        <v>3</v>
      </c>
    </row>
    <row r="2301" spans="1:22" x14ac:dyDescent="0.35">
      <c r="A2301">
        <v>2300</v>
      </c>
      <c r="B2301" t="s">
        <v>128</v>
      </c>
      <c r="C2301" t="s">
        <v>284</v>
      </c>
      <c r="D2301">
        <v>2015</v>
      </c>
      <c r="E2301" t="s">
        <v>130</v>
      </c>
      <c r="F2301">
        <v>86.7</v>
      </c>
      <c r="G2301" t="s">
        <v>350</v>
      </c>
      <c r="H2301">
        <f>electric_vehicles_dataset[[#This Row],[Battery_Capacity_kWh]]/electric_vehicles_dataset[[#This Row],[Range_km]]</f>
        <v>0.22875989445910291</v>
      </c>
      <c r="I2301">
        <v>379</v>
      </c>
      <c r="J2301" t="s">
        <v>358</v>
      </c>
      <c r="K2301">
        <v>6</v>
      </c>
      <c r="L2301" s="1">
        <v>71945.83</v>
      </c>
      <c r="M2301" s="1" t="str" cm="1">
        <f t="array" ref="M230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01" t="s">
        <v>35</v>
      </c>
      <c r="O2301" t="s">
        <v>230</v>
      </c>
      <c r="P2301" s="2" t="s">
        <v>389</v>
      </c>
      <c r="Q2301">
        <v>5</v>
      </c>
      <c r="R2301" t="s">
        <v>392</v>
      </c>
      <c r="S2301" s="1">
        <f>electric_vehicles_dataset[[#This Row],[Units_Sold_2024]]*electric_vehicles_dataset[[#This Row],[Price_USD]]</f>
        <v>1385460848.3099999</v>
      </c>
      <c r="T2301">
        <v>3</v>
      </c>
      <c r="U2301">
        <v>19257</v>
      </c>
      <c r="V2301">
        <v>4</v>
      </c>
    </row>
    <row r="2302" spans="1:22" x14ac:dyDescent="0.35">
      <c r="A2302">
        <v>2301</v>
      </c>
      <c r="B2302" t="s">
        <v>261</v>
      </c>
      <c r="C2302" t="s">
        <v>372</v>
      </c>
      <c r="D2302">
        <v>2019</v>
      </c>
      <c r="E2302" t="s">
        <v>104</v>
      </c>
      <c r="F2302">
        <v>25.6</v>
      </c>
      <c r="G2302" t="s">
        <v>357</v>
      </c>
      <c r="H2302">
        <f>electric_vehicles_dataset[[#This Row],[Battery_Capacity_kWh]]/electric_vehicles_dataset[[#This Row],[Range_km]]</f>
        <v>6.1538461538461542E-2</v>
      </c>
      <c r="I2302">
        <v>416</v>
      </c>
      <c r="J2302" t="s">
        <v>345</v>
      </c>
      <c r="K2302">
        <v>3</v>
      </c>
      <c r="L2302" s="1">
        <v>59772.92</v>
      </c>
      <c r="M2302" s="1" t="str" cm="1">
        <f t="array" ref="M230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02" t="s">
        <v>70</v>
      </c>
      <c r="O2302" t="s">
        <v>118</v>
      </c>
      <c r="P2302" s="2" t="s">
        <v>389</v>
      </c>
      <c r="Q2302">
        <v>3</v>
      </c>
      <c r="R2302" t="s">
        <v>397</v>
      </c>
      <c r="S2302" s="1">
        <f>electric_vehicles_dataset[[#This Row],[Units_Sold_2024]]*electric_vehicles_dataset[[#This Row],[Price_USD]]</f>
        <v>664196687.03999996</v>
      </c>
      <c r="T2302">
        <v>4</v>
      </c>
      <c r="U2302">
        <v>11112</v>
      </c>
      <c r="V2302">
        <v>3</v>
      </c>
    </row>
    <row r="2303" spans="1:22" x14ac:dyDescent="0.35">
      <c r="A2303">
        <v>2302</v>
      </c>
      <c r="B2303" t="s">
        <v>82</v>
      </c>
      <c r="C2303" t="s">
        <v>83</v>
      </c>
      <c r="D2303">
        <v>2019</v>
      </c>
      <c r="E2303" t="s">
        <v>183</v>
      </c>
      <c r="F2303">
        <v>109.7</v>
      </c>
      <c r="G2303" t="s">
        <v>361</v>
      </c>
      <c r="H2303">
        <f>electric_vehicles_dataset[[#This Row],[Battery_Capacity_kWh]]/electric_vehicles_dataset[[#This Row],[Range_km]]</f>
        <v>0.91416666666666668</v>
      </c>
      <c r="I2303">
        <v>120</v>
      </c>
      <c r="J2303" t="s">
        <v>54</v>
      </c>
      <c r="K2303">
        <v>10</v>
      </c>
      <c r="L2303" s="1">
        <v>140262.98000000001</v>
      </c>
      <c r="M2303" s="1" t="str" cm="1">
        <f t="array" ref="M230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03" t="s">
        <v>39</v>
      </c>
      <c r="O2303" t="s">
        <v>354</v>
      </c>
      <c r="P2303" s="2" t="s">
        <v>394</v>
      </c>
      <c r="Q2303">
        <v>5</v>
      </c>
      <c r="R2303" t="s">
        <v>392</v>
      </c>
      <c r="S2303" s="1">
        <f>electric_vehicles_dataset[[#This Row],[Units_Sold_2024]]*electric_vehicles_dataset[[#This Row],[Price_USD]]</f>
        <v>1191534015.1000001</v>
      </c>
      <c r="T2303">
        <v>4</v>
      </c>
      <c r="U2303">
        <v>8495</v>
      </c>
      <c r="V2303">
        <v>4</v>
      </c>
    </row>
    <row r="2304" spans="1:22" x14ac:dyDescent="0.35">
      <c r="A2304">
        <v>2303</v>
      </c>
      <c r="B2304" t="s">
        <v>153</v>
      </c>
      <c r="C2304" t="s">
        <v>204</v>
      </c>
      <c r="D2304">
        <v>2022</v>
      </c>
      <c r="E2304" t="s">
        <v>53</v>
      </c>
      <c r="F2304">
        <v>70.2</v>
      </c>
      <c r="G2304" t="s">
        <v>351</v>
      </c>
      <c r="H2304">
        <f>electric_vehicles_dataset[[#This Row],[Battery_Capacity_kWh]]/electric_vehicles_dataset[[#This Row],[Range_km]]</f>
        <v>0.15990888382687929</v>
      </c>
      <c r="I2304">
        <v>439</v>
      </c>
      <c r="J2304" t="s">
        <v>359</v>
      </c>
      <c r="K2304">
        <v>11</v>
      </c>
      <c r="L2304" s="1">
        <v>102572.9</v>
      </c>
      <c r="M2304" s="1" t="str" cm="1">
        <f t="array" ref="M230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04" t="s">
        <v>55</v>
      </c>
      <c r="O2304" t="s">
        <v>182</v>
      </c>
      <c r="P2304" s="2" t="s">
        <v>394</v>
      </c>
      <c r="Q2304">
        <v>0</v>
      </c>
      <c r="R2304" t="s">
        <v>390</v>
      </c>
      <c r="S2304" s="1">
        <f>electric_vehicles_dataset[[#This Row],[Units_Sold_2024]]*electric_vehicles_dataset[[#This Row],[Price_USD]]</f>
        <v>1269339637.5</v>
      </c>
      <c r="T2304">
        <v>5</v>
      </c>
      <c r="U2304">
        <v>12375</v>
      </c>
      <c r="V2304">
        <v>4</v>
      </c>
    </row>
    <row r="2305" spans="1:22" x14ac:dyDescent="0.35">
      <c r="A2305">
        <v>2304</v>
      </c>
      <c r="B2305" t="s">
        <v>180</v>
      </c>
      <c r="C2305" t="s">
        <v>285</v>
      </c>
      <c r="D2305">
        <v>2022</v>
      </c>
      <c r="E2305" t="s">
        <v>47</v>
      </c>
      <c r="F2305">
        <v>136.30000000000001</v>
      </c>
      <c r="G2305" t="s">
        <v>352</v>
      </c>
      <c r="H2305">
        <f>electric_vehicles_dataset[[#This Row],[Battery_Capacity_kWh]]/electric_vehicles_dataset[[#This Row],[Range_km]]</f>
        <v>0.35310880829015545</v>
      </c>
      <c r="I2305">
        <v>386</v>
      </c>
      <c r="J2305" t="s">
        <v>358</v>
      </c>
      <c r="K2305">
        <v>7</v>
      </c>
      <c r="L2305" s="1">
        <v>118293.1</v>
      </c>
      <c r="M2305" s="1" t="str" cm="1">
        <f t="array" ref="M230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05" t="s">
        <v>35</v>
      </c>
      <c r="O2305" t="s">
        <v>33</v>
      </c>
      <c r="P2305" s="2" t="s">
        <v>393</v>
      </c>
      <c r="Q2305">
        <v>3</v>
      </c>
      <c r="R2305" t="s">
        <v>397</v>
      </c>
      <c r="S2305" s="1">
        <f>electric_vehicles_dataset[[#This Row],[Units_Sold_2024]]*electric_vehicles_dataset[[#This Row],[Price_USD]]</f>
        <v>333468248.90000004</v>
      </c>
      <c r="T2305">
        <v>4</v>
      </c>
      <c r="U2305">
        <v>2819</v>
      </c>
      <c r="V2305">
        <v>3</v>
      </c>
    </row>
    <row r="2306" spans="1:22" x14ac:dyDescent="0.35">
      <c r="A2306">
        <v>2305</v>
      </c>
      <c r="B2306" t="s">
        <v>36</v>
      </c>
      <c r="C2306" t="s">
        <v>211</v>
      </c>
      <c r="D2306">
        <v>2022</v>
      </c>
      <c r="E2306" t="s">
        <v>73</v>
      </c>
      <c r="F2306">
        <v>39.700000000000003</v>
      </c>
      <c r="G2306" t="s">
        <v>357</v>
      </c>
      <c r="H2306">
        <f>electric_vehicles_dataset[[#This Row],[Battery_Capacity_kWh]]/electric_vehicles_dataset[[#This Row],[Range_km]]</f>
        <v>0.12445141065830721</v>
      </c>
      <c r="I2306">
        <v>319</v>
      </c>
      <c r="J2306" t="s">
        <v>54</v>
      </c>
      <c r="K2306">
        <v>11</v>
      </c>
      <c r="L2306" s="1">
        <v>90480.45</v>
      </c>
      <c r="M2306" s="1" t="str" cm="1">
        <f t="array" ref="M230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06" t="s">
        <v>217</v>
      </c>
      <c r="O2306" t="s">
        <v>78</v>
      </c>
      <c r="P2306" s="2" t="s">
        <v>389</v>
      </c>
      <c r="Q2306">
        <v>3</v>
      </c>
      <c r="R2306" t="s">
        <v>397</v>
      </c>
      <c r="S2306" s="1">
        <f>electric_vehicles_dataset[[#This Row],[Units_Sold_2024]]*electric_vehicles_dataset[[#This Row],[Price_USD]]</f>
        <v>1347525341.8499999</v>
      </c>
      <c r="T2306">
        <v>3</v>
      </c>
      <c r="U2306">
        <v>14893</v>
      </c>
      <c r="V2306">
        <v>4</v>
      </c>
    </row>
    <row r="2307" spans="1:22" x14ac:dyDescent="0.35">
      <c r="A2307">
        <v>2306</v>
      </c>
      <c r="B2307" t="s">
        <v>71</v>
      </c>
      <c r="C2307" t="s">
        <v>258</v>
      </c>
      <c r="D2307">
        <v>2017</v>
      </c>
      <c r="E2307" t="s">
        <v>133</v>
      </c>
      <c r="F2307">
        <v>94.7</v>
      </c>
      <c r="G2307" t="s">
        <v>350</v>
      </c>
      <c r="H2307">
        <f>electric_vehicles_dataset[[#This Row],[Battery_Capacity_kWh]]/electric_vehicles_dataset[[#This Row],[Range_km]]</f>
        <v>0.17249544626593807</v>
      </c>
      <c r="I2307">
        <v>549</v>
      </c>
      <c r="J2307" t="s">
        <v>48</v>
      </c>
      <c r="K2307">
        <v>6</v>
      </c>
      <c r="L2307" s="1">
        <v>61916.38</v>
      </c>
      <c r="M2307" s="1" t="str" cm="1">
        <f t="array" ref="M230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07" t="s">
        <v>106</v>
      </c>
      <c r="O2307" t="s">
        <v>139</v>
      </c>
      <c r="P2307" s="2" t="s">
        <v>389</v>
      </c>
      <c r="Q2307">
        <v>1</v>
      </c>
      <c r="R2307" t="s">
        <v>391</v>
      </c>
      <c r="S2307" s="1">
        <f>electric_vehicles_dataset[[#This Row],[Units_Sold_2024]]*electric_vehicles_dataset[[#This Row],[Price_USD]]</f>
        <v>889738380.5999999</v>
      </c>
      <c r="T2307">
        <v>3</v>
      </c>
      <c r="U2307">
        <v>14370</v>
      </c>
      <c r="V2307">
        <v>5</v>
      </c>
    </row>
    <row r="2308" spans="1:22" x14ac:dyDescent="0.35">
      <c r="A2308">
        <v>2307</v>
      </c>
      <c r="B2308" t="s">
        <v>79</v>
      </c>
      <c r="C2308" t="s">
        <v>299</v>
      </c>
      <c r="D2308">
        <v>2022</v>
      </c>
      <c r="E2308" t="s">
        <v>84</v>
      </c>
      <c r="F2308">
        <v>58.1</v>
      </c>
      <c r="G2308" t="s">
        <v>348</v>
      </c>
      <c r="H2308">
        <f>electric_vehicles_dataset[[#This Row],[Battery_Capacity_kWh]]/electric_vehicles_dataset[[#This Row],[Range_km]]</f>
        <v>0.16743515850144092</v>
      </c>
      <c r="I2308">
        <v>347</v>
      </c>
      <c r="J2308" t="s">
        <v>359</v>
      </c>
      <c r="K2308">
        <v>5</v>
      </c>
      <c r="L2308" s="1">
        <v>38192.660000000003</v>
      </c>
      <c r="M2308" s="1" t="str" cm="1">
        <f t="array" ref="M230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08" t="s">
        <v>246</v>
      </c>
      <c r="O2308" t="s">
        <v>236</v>
      </c>
      <c r="P2308" s="2" t="s">
        <v>394</v>
      </c>
      <c r="Q2308">
        <v>4</v>
      </c>
      <c r="R2308" t="s">
        <v>392</v>
      </c>
      <c r="S2308" s="1">
        <f>electric_vehicles_dataset[[#This Row],[Units_Sold_2024]]*electric_vehicles_dataset[[#This Row],[Price_USD]]</f>
        <v>737729420.56000006</v>
      </c>
      <c r="T2308">
        <v>5</v>
      </c>
      <c r="U2308">
        <v>19316</v>
      </c>
      <c r="V2308">
        <v>3</v>
      </c>
    </row>
    <row r="2309" spans="1:22" x14ac:dyDescent="0.35">
      <c r="A2309">
        <v>2308</v>
      </c>
      <c r="B2309" t="s">
        <v>51</v>
      </c>
      <c r="C2309" t="s">
        <v>52</v>
      </c>
      <c r="D2309">
        <v>2018</v>
      </c>
      <c r="E2309" t="s">
        <v>73</v>
      </c>
      <c r="F2309">
        <v>146</v>
      </c>
      <c r="G2309" t="s">
        <v>386</v>
      </c>
      <c r="H2309">
        <f>electric_vehicles_dataset[[#This Row],[Battery_Capacity_kWh]]/electric_vehicles_dataset[[#This Row],[Range_km]]</f>
        <v>0.30997876857749468</v>
      </c>
      <c r="I2309">
        <v>471</v>
      </c>
      <c r="J2309" t="s">
        <v>85</v>
      </c>
      <c r="K2309">
        <v>6</v>
      </c>
      <c r="L2309" s="1">
        <v>55001.14</v>
      </c>
      <c r="M2309" s="1" t="str" cm="1">
        <f t="array" ref="M230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09" t="s">
        <v>219</v>
      </c>
      <c r="O2309" t="s">
        <v>230</v>
      </c>
      <c r="P2309" s="2" t="s">
        <v>389</v>
      </c>
      <c r="Q2309">
        <v>4</v>
      </c>
      <c r="R2309" t="s">
        <v>392</v>
      </c>
      <c r="S2309" s="1">
        <f>electric_vehicles_dataset[[#This Row],[Units_Sold_2024]]*electric_vehicles_dataset[[#This Row],[Price_USD]]</f>
        <v>130407702.94</v>
      </c>
      <c r="T2309">
        <v>3</v>
      </c>
      <c r="U2309">
        <v>2371</v>
      </c>
      <c r="V2309">
        <v>3</v>
      </c>
    </row>
    <row r="2310" spans="1:22" x14ac:dyDescent="0.35">
      <c r="A2310">
        <v>2309</v>
      </c>
      <c r="B2310" t="s">
        <v>87</v>
      </c>
      <c r="C2310" t="s">
        <v>88</v>
      </c>
      <c r="D2310">
        <v>2015</v>
      </c>
      <c r="E2310" t="s">
        <v>47</v>
      </c>
      <c r="F2310">
        <v>121.5</v>
      </c>
      <c r="G2310" t="s">
        <v>352</v>
      </c>
      <c r="H2310">
        <f>electric_vehicles_dataset[[#This Row],[Battery_Capacity_kWh]]/electric_vehicles_dataset[[#This Row],[Range_km]]</f>
        <v>0.36377245508982037</v>
      </c>
      <c r="I2310">
        <v>334</v>
      </c>
      <c r="J2310" t="s">
        <v>149</v>
      </c>
      <c r="K2310">
        <v>10</v>
      </c>
      <c r="L2310" s="1">
        <v>43816.67</v>
      </c>
      <c r="M2310" s="1" t="str" cm="1">
        <f t="array" ref="M231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10" t="s">
        <v>102</v>
      </c>
      <c r="O2310" t="s">
        <v>44</v>
      </c>
      <c r="P2310" s="2" t="s">
        <v>389</v>
      </c>
      <c r="Q2310">
        <v>1</v>
      </c>
      <c r="R2310" t="s">
        <v>391</v>
      </c>
      <c r="S2310" s="1">
        <f>electric_vehicles_dataset[[#This Row],[Units_Sold_2024]]*electric_vehicles_dataset[[#This Row],[Price_USD]]</f>
        <v>9902567.4199999999</v>
      </c>
      <c r="T2310">
        <v>3</v>
      </c>
      <c r="U2310">
        <v>226</v>
      </c>
      <c r="V2310">
        <v>5</v>
      </c>
    </row>
    <row r="2311" spans="1:22" x14ac:dyDescent="0.35">
      <c r="A2311">
        <v>2310</v>
      </c>
      <c r="B2311" t="s">
        <v>82</v>
      </c>
      <c r="C2311" t="s">
        <v>83</v>
      </c>
      <c r="D2311">
        <v>2020</v>
      </c>
      <c r="E2311" t="s">
        <v>53</v>
      </c>
      <c r="F2311">
        <v>83.8</v>
      </c>
      <c r="G2311" t="s">
        <v>350</v>
      </c>
      <c r="H2311">
        <f>electric_vehicles_dataset[[#This Row],[Battery_Capacity_kWh]]/electric_vehicles_dataset[[#This Row],[Range_km]]</f>
        <v>0.22346666666666665</v>
      </c>
      <c r="I2311">
        <v>375</v>
      </c>
      <c r="J2311" t="s">
        <v>359</v>
      </c>
      <c r="K2311">
        <v>5</v>
      </c>
      <c r="L2311" s="1">
        <v>102689.87</v>
      </c>
      <c r="M2311" s="1" t="str" cm="1">
        <f t="array" ref="M23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11" t="s">
        <v>35</v>
      </c>
      <c r="O2311" t="s">
        <v>124</v>
      </c>
      <c r="P2311" s="2" t="s">
        <v>389</v>
      </c>
      <c r="Q2311">
        <v>1</v>
      </c>
      <c r="R2311" t="s">
        <v>391</v>
      </c>
      <c r="S2311" s="1">
        <f>electric_vehicles_dataset[[#This Row],[Units_Sold_2024]]*electric_vehicles_dataset[[#This Row],[Price_USD]]</f>
        <v>1364953752.04</v>
      </c>
      <c r="T2311">
        <v>3</v>
      </c>
      <c r="U2311">
        <v>13292</v>
      </c>
      <c r="V2311">
        <v>4</v>
      </c>
    </row>
    <row r="2312" spans="1:22" x14ac:dyDescent="0.35">
      <c r="A2312">
        <v>2311</v>
      </c>
      <c r="B2312" t="s">
        <v>224</v>
      </c>
      <c r="C2312" t="s">
        <v>297</v>
      </c>
      <c r="D2312">
        <v>2017</v>
      </c>
      <c r="E2312" t="s">
        <v>90</v>
      </c>
      <c r="F2312">
        <v>87</v>
      </c>
      <c r="G2312" t="s">
        <v>350</v>
      </c>
      <c r="H2312">
        <f>electric_vehicles_dataset[[#This Row],[Battery_Capacity_kWh]]/electric_vehicles_dataset[[#This Row],[Range_km]]</f>
        <v>0.27018633540372672</v>
      </c>
      <c r="I2312">
        <v>322</v>
      </c>
      <c r="J2312" t="s">
        <v>105</v>
      </c>
      <c r="K2312">
        <v>8</v>
      </c>
      <c r="L2312" s="1">
        <v>111558.43</v>
      </c>
      <c r="M2312" s="1" t="str" cm="1">
        <f t="array" ref="M231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12" t="s">
        <v>77</v>
      </c>
      <c r="O2312" t="s">
        <v>236</v>
      </c>
      <c r="P2312" s="2" t="s">
        <v>394</v>
      </c>
      <c r="Q2312">
        <v>3</v>
      </c>
      <c r="R2312" t="s">
        <v>397</v>
      </c>
      <c r="S2312" s="1">
        <f>electric_vehicles_dataset[[#This Row],[Units_Sold_2024]]*electric_vehicles_dataset[[#This Row],[Price_USD]]</f>
        <v>1821637603.4699998</v>
      </c>
      <c r="T2312">
        <v>4</v>
      </c>
      <c r="U2312">
        <v>16329</v>
      </c>
      <c r="V2312">
        <v>3</v>
      </c>
    </row>
    <row r="2313" spans="1:22" x14ac:dyDescent="0.35">
      <c r="A2313">
        <v>2312</v>
      </c>
      <c r="B2313" t="s">
        <v>222</v>
      </c>
      <c r="C2313" t="s">
        <v>223</v>
      </c>
      <c r="D2313">
        <v>2015</v>
      </c>
      <c r="E2313" t="s">
        <v>130</v>
      </c>
      <c r="F2313">
        <v>55.4</v>
      </c>
      <c r="G2313" t="s">
        <v>348</v>
      </c>
      <c r="H2313">
        <f>electric_vehicles_dataset[[#This Row],[Battery_Capacity_kWh]]/electric_vehicles_dataset[[#This Row],[Range_km]]</f>
        <v>0.18907849829351536</v>
      </c>
      <c r="I2313">
        <v>293</v>
      </c>
      <c r="J2313" t="s">
        <v>48</v>
      </c>
      <c r="K2313">
        <v>10</v>
      </c>
      <c r="L2313" s="1">
        <v>124461.54</v>
      </c>
      <c r="M2313" s="1" t="str" cm="1">
        <f t="array" ref="M231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13" t="s">
        <v>100</v>
      </c>
      <c r="O2313" t="s">
        <v>236</v>
      </c>
      <c r="P2313" s="2" t="s">
        <v>394</v>
      </c>
      <c r="Q2313">
        <v>3</v>
      </c>
      <c r="R2313" t="s">
        <v>397</v>
      </c>
      <c r="S2313" s="1">
        <f>electric_vehicles_dataset[[#This Row],[Units_Sold_2024]]*electric_vehicles_dataset[[#This Row],[Price_USD]]</f>
        <v>323475542.45999998</v>
      </c>
      <c r="T2313">
        <v>5</v>
      </c>
      <c r="U2313">
        <v>2599</v>
      </c>
      <c r="V2313">
        <v>5</v>
      </c>
    </row>
    <row r="2314" spans="1:22" x14ac:dyDescent="0.35">
      <c r="A2314">
        <v>2313</v>
      </c>
      <c r="B2314" t="s">
        <v>68</v>
      </c>
      <c r="C2314" t="s">
        <v>69</v>
      </c>
      <c r="D2314">
        <v>2019</v>
      </c>
      <c r="E2314" t="s">
        <v>53</v>
      </c>
      <c r="F2314">
        <v>143.5</v>
      </c>
      <c r="G2314" t="s">
        <v>386</v>
      </c>
      <c r="H2314">
        <f>electric_vehicles_dataset[[#This Row],[Battery_Capacity_kWh]]/electric_vehicles_dataset[[#This Row],[Range_km]]</f>
        <v>0.71750000000000003</v>
      </c>
      <c r="I2314">
        <v>200</v>
      </c>
      <c r="J2314" t="s">
        <v>34</v>
      </c>
      <c r="K2314">
        <v>7</v>
      </c>
      <c r="L2314" s="1">
        <v>39893.78</v>
      </c>
      <c r="M2314" s="1" t="str" cm="1">
        <f t="array" ref="M231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14" t="s">
        <v>254</v>
      </c>
      <c r="O2314" t="s">
        <v>110</v>
      </c>
      <c r="P2314" s="2" t="s">
        <v>394</v>
      </c>
      <c r="Q2314">
        <v>5</v>
      </c>
      <c r="R2314" t="s">
        <v>392</v>
      </c>
      <c r="S2314" s="1">
        <f>electric_vehicles_dataset[[#This Row],[Units_Sold_2024]]*electric_vehicles_dataset[[#This Row],[Price_USD]]</f>
        <v>467674782.94</v>
      </c>
      <c r="T2314">
        <v>3</v>
      </c>
      <c r="U2314">
        <v>11723</v>
      </c>
      <c r="V2314">
        <v>4</v>
      </c>
    </row>
    <row r="2315" spans="1:22" x14ac:dyDescent="0.35">
      <c r="A2315">
        <v>2314</v>
      </c>
      <c r="B2315" t="s">
        <v>215</v>
      </c>
      <c r="C2315" t="s">
        <v>377</v>
      </c>
      <c r="D2315">
        <v>2019</v>
      </c>
      <c r="E2315" t="s">
        <v>26</v>
      </c>
      <c r="F2315">
        <v>20.8</v>
      </c>
      <c r="G2315" t="s">
        <v>357</v>
      </c>
      <c r="H2315">
        <f>electric_vehicles_dataset[[#This Row],[Battery_Capacity_kWh]]/electric_vehicles_dataset[[#This Row],[Range_km]]</f>
        <v>7.8195488721804512E-2</v>
      </c>
      <c r="I2315">
        <v>266</v>
      </c>
      <c r="J2315" t="s">
        <v>105</v>
      </c>
      <c r="K2315">
        <v>12</v>
      </c>
      <c r="L2315" s="1">
        <v>130000.81</v>
      </c>
      <c r="M2315" s="1" t="str" cm="1">
        <f t="array" ref="M231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15" t="s">
        <v>196</v>
      </c>
      <c r="O2315" t="s">
        <v>199</v>
      </c>
      <c r="P2315" s="2" t="s">
        <v>394</v>
      </c>
      <c r="Q2315">
        <v>5</v>
      </c>
      <c r="R2315" t="s">
        <v>392</v>
      </c>
      <c r="S2315" s="1">
        <f>electric_vehicles_dataset[[#This Row],[Units_Sold_2024]]*electric_vehicles_dataset[[#This Row],[Price_USD]]</f>
        <v>2127593256.46</v>
      </c>
      <c r="T2315">
        <v>5</v>
      </c>
      <c r="U2315">
        <v>16366</v>
      </c>
      <c r="V2315">
        <v>4</v>
      </c>
    </row>
    <row r="2316" spans="1:22" x14ac:dyDescent="0.35">
      <c r="A2316">
        <v>2315</v>
      </c>
      <c r="B2316" t="s">
        <v>29</v>
      </c>
      <c r="C2316" t="s">
        <v>331</v>
      </c>
      <c r="D2316">
        <v>2017</v>
      </c>
      <c r="E2316" t="s">
        <v>130</v>
      </c>
      <c r="F2316">
        <v>85.8</v>
      </c>
      <c r="G2316" t="s">
        <v>350</v>
      </c>
      <c r="H2316">
        <f>electric_vehicles_dataset[[#This Row],[Battery_Capacity_kWh]]/electric_vehicles_dataset[[#This Row],[Range_km]]</f>
        <v>0.1557168784029038</v>
      </c>
      <c r="I2316">
        <v>551</v>
      </c>
      <c r="J2316" t="s">
        <v>353</v>
      </c>
      <c r="K2316">
        <v>8</v>
      </c>
      <c r="L2316" s="1">
        <v>60083.11</v>
      </c>
      <c r="M2316" s="1" t="str" cm="1">
        <f t="array" ref="M231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16" t="s">
        <v>254</v>
      </c>
      <c r="O2316" t="s">
        <v>139</v>
      </c>
      <c r="P2316" s="2" t="s">
        <v>389</v>
      </c>
      <c r="Q2316">
        <v>3</v>
      </c>
      <c r="R2316" t="s">
        <v>397</v>
      </c>
      <c r="S2316" s="1">
        <f>electric_vehicles_dataset[[#This Row],[Units_Sold_2024]]*electric_vehicles_dataset[[#This Row],[Price_USD]]</f>
        <v>1126017564.51</v>
      </c>
      <c r="T2316">
        <v>4</v>
      </c>
      <c r="U2316">
        <v>18741</v>
      </c>
      <c r="V2316">
        <v>3</v>
      </c>
    </row>
    <row r="2317" spans="1:22" x14ac:dyDescent="0.35">
      <c r="A2317">
        <v>2316</v>
      </c>
      <c r="B2317" t="s">
        <v>200</v>
      </c>
      <c r="C2317" t="s">
        <v>338</v>
      </c>
      <c r="D2317">
        <v>2017</v>
      </c>
      <c r="E2317" t="s">
        <v>31</v>
      </c>
      <c r="F2317">
        <v>112.8</v>
      </c>
      <c r="G2317" t="s">
        <v>361</v>
      </c>
      <c r="H2317">
        <f>electric_vehicles_dataset[[#This Row],[Battery_Capacity_kWh]]/electric_vehicles_dataset[[#This Row],[Range_km]]</f>
        <v>0.28556962025316457</v>
      </c>
      <c r="I2317">
        <v>395</v>
      </c>
      <c r="J2317" t="s">
        <v>85</v>
      </c>
      <c r="K2317">
        <v>2</v>
      </c>
      <c r="L2317" s="1">
        <v>97582.43</v>
      </c>
      <c r="M2317" s="1" t="str" cm="1">
        <f t="array" ref="M23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17" t="s">
        <v>301</v>
      </c>
      <c r="O2317" t="s">
        <v>115</v>
      </c>
      <c r="P2317" s="2" t="s">
        <v>396</v>
      </c>
      <c r="Q2317">
        <v>0</v>
      </c>
      <c r="R2317" t="s">
        <v>390</v>
      </c>
      <c r="S2317" s="1">
        <f>electric_vehicles_dataset[[#This Row],[Units_Sold_2024]]*electric_vehicles_dataset[[#This Row],[Price_USD]]</f>
        <v>21468134.599999998</v>
      </c>
      <c r="T2317">
        <v>5</v>
      </c>
      <c r="U2317">
        <v>220</v>
      </c>
      <c r="V2317">
        <v>4</v>
      </c>
    </row>
    <row r="2318" spans="1:22" x14ac:dyDescent="0.35">
      <c r="A2318">
        <v>2317</v>
      </c>
      <c r="B2318" t="s">
        <v>215</v>
      </c>
      <c r="C2318" t="s">
        <v>377</v>
      </c>
      <c r="D2318">
        <v>2023</v>
      </c>
      <c r="E2318" t="s">
        <v>133</v>
      </c>
      <c r="F2318">
        <v>140</v>
      </c>
      <c r="G2318" t="s">
        <v>352</v>
      </c>
      <c r="H2318">
        <f>electric_vehicles_dataset[[#This Row],[Battery_Capacity_kWh]]/electric_vehicles_dataset[[#This Row],[Range_km]]</f>
        <v>0.50179211469534046</v>
      </c>
      <c r="I2318">
        <v>279</v>
      </c>
      <c r="J2318" t="s">
        <v>358</v>
      </c>
      <c r="K2318">
        <v>6</v>
      </c>
      <c r="L2318" s="1">
        <v>125408.24</v>
      </c>
      <c r="M2318" s="1" t="str" cm="1">
        <f t="array" ref="M23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18" t="s">
        <v>228</v>
      </c>
      <c r="O2318" t="s">
        <v>33</v>
      </c>
      <c r="P2318" s="2" t="s">
        <v>393</v>
      </c>
      <c r="Q2318">
        <v>5</v>
      </c>
      <c r="R2318" t="s">
        <v>392</v>
      </c>
      <c r="S2318" s="1">
        <f>electric_vehicles_dataset[[#This Row],[Units_Sold_2024]]*electric_vehicles_dataset[[#This Row],[Price_USD]]</f>
        <v>1560956363.28</v>
      </c>
      <c r="T2318">
        <v>4</v>
      </c>
      <c r="U2318">
        <v>12447</v>
      </c>
      <c r="V2318">
        <v>4</v>
      </c>
    </row>
    <row r="2319" spans="1:22" x14ac:dyDescent="0.35">
      <c r="A2319">
        <v>2318</v>
      </c>
      <c r="B2319" t="s">
        <v>79</v>
      </c>
      <c r="C2319" t="s">
        <v>299</v>
      </c>
      <c r="D2319">
        <v>2020</v>
      </c>
      <c r="E2319" t="s">
        <v>42</v>
      </c>
      <c r="F2319">
        <v>91.2</v>
      </c>
      <c r="G2319" t="s">
        <v>350</v>
      </c>
      <c r="H2319">
        <f>electric_vehicles_dataset[[#This Row],[Battery_Capacity_kWh]]/electric_vehicles_dataset[[#This Row],[Range_km]]</f>
        <v>0.17272727272727273</v>
      </c>
      <c r="I2319">
        <v>528</v>
      </c>
      <c r="J2319" t="s">
        <v>353</v>
      </c>
      <c r="K2319">
        <v>7</v>
      </c>
      <c r="L2319" s="1">
        <v>137033.17000000001</v>
      </c>
      <c r="M2319" s="1" t="str" cm="1">
        <f t="array" ref="M231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19" t="s">
        <v>253</v>
      </c>
      <c r="O2319" t="s">
        <v>111</v>
      </c>
      <c r="P2319" s="2" t="s">
        <v>389</v>
      </c>
      <c r="Q2319">
        <v>5</v>
      </c>
      <c r="R2319" t="s">
        <v>392</v>
      </c>
      <c r="S2319" s="1">
        <f>electric_vehicles_dataset[[#This Row],[Units_Sold_2024]]*electric_vehicles_dataset[[#This Row],[Price_USD]]</f>
        <v>2021102224.3300002</v>
      </c>
      <c r="T2319">
        <v>5</v>
      </c>
      <c r="U2319">
        <v>14749</v>
      </c>
      <c r="V2319">
        <v>4</v>
      </c>
    </row>
    <row r="2320" spans="1:22" x14ac:dyDescent="0.35">
      <c r="A2320">
        <v>2319</v>
      </c>
      <c r="B2320" t="s">
        <v>187</v>
      </c>
      <c r="C2320" t="s">
        <v>293</v>
      </c>
      <c r="D2320">
        <v>2021</v>
      </c>
      <c r="E2320" t="s">
        <v>42</v>
      </c>
      <c r="F2320">
        <v>72.099999999999994</v>
      </c>
      <c r="G2320" t="s">
        <v>351</v>
      </c>
      <c r="H2320">
        <f>electric_vehicles_dataset[[#This Row],[Battery_Capacity_kWh]]/electric_vehicles_dataset[[#This Row],[Range_km]]</f>
        <v>0.31622807017543858</v>
      </c>
      <c r="I2320">
        <v>228</v>
      </c>
      <c r="J2320" t="s">
        <v>356</v>
      </c>
      <c r="K2320">
        <v>12</v>
      </c>
      <c r="L2320" s="1">
        <v>35624.269999999997</v>
      </c>
      <c r="M2320" s="1" t="str" cm="1">
        <f t="array" ref="M232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20" t="s">
        <v>91</v>
      </c>
      <c r="O2320" t="s">
        <v>150</v>
      </c>
      <c r="P2320" s="2" t="s">
        <v>389</v>
      </c>
      <c r="Q2320">
        <v>5</v>
      </c>
      <c r="R2320" t="s">
        <v>392</v>
      </c>
      <c r="S2320" s="1">
        <f>electric_vehicles_dataset[[#This Row],[Units_Sold_2024]]*electric_vehicles_dataset[[#This Row],[Price_USD]]</f>
        <v>163016659.51999998</v>
      </c>
      <c r="T2320">
        <v>5</v>
      </c>
      <c r="U2320">
        <v>4576</v>
      </c>
      <c r="V2320">
        <v>5</v>
      </c>
    </row>
    <row r="2321" spans="1:22" x14ac:dyDescent="0.35">
      <c r="A2321">
        <v>2320</v>
      </c>
      <c r="B2321" t="s">
        <v>222</v>
      </c>
      <c r="C2321" t="s">
        <v>232</v>
      </c>
      <c r="D2321">
        <v>2020</v>
      </c>
      <c r="E2321" t="s">
        <v>53</v>
      </c>
      <c r="F2321">
        <v>61.7</v>
      </c>
      <c r="G2321" t="s">
        <v>351</v>
      </c>
      <c r="H2321">
        <f>electric_vehicles_dataset[[#This Row],[Battery_Capacity_kWh]]/electric_vehicles_dataset[[#This Row],[Range_km]]</f>
        <v>0.3180412371134021</v>
      </c>
      <c r="I2321">
        <v>194</v>
      </c>
      <c r="J2321" t="s">
        <v>364</v>
      </c>
      <c r="K2321">
        <v>6</v>
      </c>
      <c r="L2321" s="1">
        <v>37442.769999999997</v>
      </c>
      <c r="M2321" s="1" t="str" cm="1">
        <f t="array" ref="M232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21" t="s">
        <v>59</v>
      </c>
      <c r="O2321" t="s">
        <v>118</v>
      </c>
      <c r="P2321" s="2" t="s">
        <v>389</v>
      </c>
      <c r="Q2321">
        <v>3</v>
      </c>
      <c r="R2321" t="s">
        <v>397</v>
      </c>
      <c r="S2321" s="1">
        <f>electric_vehicles_dataset[[#This Row],[Units_Sold_2024]]*electric_vehicles_dataset[[#This Row],[Price_USD]]</f>
        <v>598298021.82999992</v>
      </c>
      <c r="T2321">
        <v>5</v>
      </c>
      <c r="U2321">
        <v>15979</v>
      </c>
      <c r="V2321">
        <v>3</v>
      </c>
    </row>
    <row r="2322" spans="1:22" x14ac:dyDescent="0.35">
      <c r="A2322">
        <v>2321</v>
      </c>
      <c r="B2322" t="s">
        <v>45</v>
      </c>
      <c r="C2322" t="s">
        <v>283</v>
      </c>
      <c r="D2322">
        <v>2019</v>
      </c>
      <c r="E2322" t="s">
        <v>17</v>
      </c>
      <c r="F2322">
        <v>55.9</v>
      </c>
      <c r="G2322" t="s">
        <v>348</v>
      </c>
      <c r="H2322">
        <f>electric_vehicles_dataset[[#This Row],[Battery_Capacity_kWh]]/electric_vehicles_dataset[[#This Row],[Range_km]]</f>
        <v>0.30216216216216213</v>
      </c>
      <c r="I2322">
        <v>185</v>
      </c>
      <c r="J2322" t="s">
        <v>76</v>
      </c>
      <c r="K2322">
        <v>6</v>
      </c>
      <c r="L2322" s="1">
        <v>112432.69</v>
      </c>
      <c r="M2322" s="1" t="str" cm="1">
        <f t="array" ref="M232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22" t="s">
        <v>114</v>
      </c>
      <c r="O2322" t="s">
        <v>33</v>
      </c>
      <c r="P2322" s="2" t="s">
        <v>393</v>
      </c>
      <c r="Q2322">
        <v>3</v>
      </c>
      <c r="R2322" t="s">
        <v>397</v>
      </c>
      <c r="S2322" s="1">
        <f>electric_vehicles_dataset[[#This Row],[Units_Sold_2024]]*electric_vehicles_dataset[[#This Row],[Price_USD]]</f>
        <v>1722019080.04</v>
      </c>
      <c r="T2322">
        <v>5</v>
      </c>
      <c r="U2322">
        <v>15316</v>
      </c>
      <c r="V2322">
        <v>5</v>
      </c>
    </row>
    <row r="2323" spans="1:22" x14ac:dyDescent="0.35">
      <c r="A2323">
        <v>2322</v>
      </c>
      <c r="B2323" t="s">
        <v>128</v>
      </c>
      <c r="C2323" t="s">
        <v>332</v>
      </c>
      <c r="D2323">
        <v>2025</v>
      </c>
      <c r="E2323" t="s">
        <v>133</v>
      </c>
      <c r="F2323">
        <v>24.5</v>
      </c>
      <c r="G2323" t="s">
        <v>357</v>
      </c>
      <c r="H2323">
        <f>electric_vehicles_dataset[[#This Row],[Battery_Capacity_kWh]]/electric_vehicles_dataset[[#This Row],[Range_km]]</f>
        <v>8.3333333333333329E-2</v>
      </c>
      <c r="I2323">
        <v>294</v>
      </c>
      <c r="J2323" t="s">
        <v>356</v>
      </c>
      <c r="K2323">
        <v>2</v>
      </c>
      <c r="L2323" s="1">
        <v>79786.27</v>
      </c>
      <c r="M2323" s="1" t="str" cm="1">
        <f t="array" ref="M232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23" t="s">
        <v>196</v>
      </c>
      <c r="O2323" t="s">
        <v>63</v>
      </c>
      <c r="P2323" s="2" t="s">
        <v>389</v>
      </c>
      <c r="Q2323">
        <v>1</v>
      </c>
      <c r="R2323" t="s">
        <v>391</v>
      </c>
      <c r="S2323" s="1">
        <f>electric_vehicles_dataset[[#This Row],[Units_Sold_2024]]*electric_vehicles_dataset[[#This Row],[Price_USD]]</f>
        <v>646189000.73000002</v>
      </c>
      <c r="T2323">
        <v>4</v>
      </c>
      <c r="U2323">
        <v>8099</v>
      </c>
      <c r="V2323">
        <v>3</v>
      </c>
    </row>
    <row r="2324" spans="1:22" x14ac:dyDescent="0.35">
      <c r="A2324">
        <v>2323</v>
      </c>
      <c r="B2324" t="s">
        <v>112</v>
      </c>
      <c r="C2324" t="s">
        <v>138</v>
      </c>
      <c r="D2324">
        <v>2023</v>
      </c>
      <c r="E2324" t="s">
        <v>17</v>
      </c>
      <c r="F2324">
        <v>44.7</v>
      </c>
      <c r="G2324" t="s">
        <v>348</v>
      </c>
      <c r="H2324">
        <f>electric_vehicles_dataset[[#This Row],[Battery_Capacity_kWh]]/electric_vehicles_dataset[[#This Row],[Range_km]]</f>
        <v>0.11461538461538462</v>
      </c>
      <c r="I2324">
        <v>390</v>
      </c>
      <c r="J2324" t="s">
        <v>353</v>
      </c>
      <c r="K2324">
        <v>3</v>
      </c>
      <c r="L2324" s="1">
        <v>32378.18</v>
      </c>
      <c r="M2324" s="1" t="str" cm="1">
        <f t="array" ref="M232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24" t="s">
        <v>143</v>
      </c>
      <c r="O2324" t="s">
        <v>93</v>
      </c>
      <c r="P2324" s="2" t="s">
        <v>389</v>
      </c>
      <c r="Q2324">
        <v>4</v>
      </c>
      <c r="R2324" t="s">
        <v>392</v>
      </c>
      <c r="S2324" s="1">
        <f>electric_vehicles_dataset[[#This Row],[Units_Sold_2024]]*electric_vehicles_dataset[[#This Row],[Price_USD]]</f>
        <v>375198349.83999997</v>
      </c>
      <c r="T2324">
        <v>4</v>
      </c>
      <c r="U2324">
        <v>11588</v>
      </c>
      <c r="V2324">
        <v>4</v>
      </c>
    </row>
    <row r="2325" spans="1:22" x14ac:dyDescent="0.35">
      <c r="A2325">
        <v>2324</v>
      </c>
      <c r="B2325" t="s">
        <v>140</v>
      </c>
      <c r="C2325" t="s">
        <v>141</v>
      </c>
      <c r="D2325">
        <v>2020</v>
      </c>
      <c r="E2325" t="s">
        <v>47</v>
      </c>
      <c r="F2325">
        <v>84.8</v>
      </c>
      <c r="G2325" t="s">
        <v>350</v>
      </c>
      <c r="H2325">
        <f>electric_vehicles_dataset[[#This Row],[Battery_Capacity_kWh]]/electric_vehicles_dataset[[#This Row],[Range_km]]</f>
        <v>0.29241379310344828</v>
      </c>
      <c r="I2325">
        <v>290</v>
      </c>
      <c r="J2325" t="s">
        <v>18</v>
      </c>
      <c r="K2325">
        <v>9</v>
      </c>
      <c r="L2325" s="1">
        <v>72657.5</v>
      </c>
      <c r="M2325" s="1" t="str" cm="1">
        <f t="array" ref="M232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25" t="s">
        <v>59</v>
      </c>
      <c r="O2325" t="s">
        <v>164</v>
      </c>
      <c r="P2325" s="2" t="s">
        <v>394</v>
      </c>
      <c r="Q2325">
        <v>4</v>
      </c>
      <c r="R2325" t="s">
        <v>392</v>
      </c>
      <c r="S2325" s="1">
        <f>electric_vehicles_dataset[[#This Row],[Units_Sold_2024]]*electric_vehicles_dataset[[#This Row],[Price_USD]]</f>
        <v>1089135925</v>
      </c>
      <c r="T2325">
        <v>5</v>
      </c>
      <c r="U2325">
        <v>14990</v>
      </c>
      <c r="V2325">
        <v>4</v>
      </c>
    </row>
    <row r="2326" spans="1:22" x14ac:dyDescent="0.35">
      <c r="A2326">
        <v>2325</v>
      </c>
      <c r="B2326" t="s">
        <v>243</v>
      </c>
      <c r="C2326" t="s">
        <v>371</v>
      </c>
      <c r="D2326">
        <v>2023</v>
      </c>
      <c r="E2326" t="s">
        <v>31</v>
      </c>
      <c r="F2326">
        <v>61.3</v>
      </c>
      <c r="G2326" t="s">
        <v>351</v>
      </c>
      <c r="H2326">
        <f>electric_vehicles_dataset[[#This Row],[Battery_Capacity_kWh]]/electric_vehicles_dataset[[#This Row],[Range_km]]</f>
        <v>0.10587219343696028</v>
      </c>
      <c r="I2326">
        <v>579</v>
      </c>
      <c r="J2326" t="s">
        <v>345</v>
      </c>
      <c r="K2326">
        <v>12</v>
      </c>
      <c r="L2326" s="1">
        <v>135563.39000000001</v>
      </c>
      <c r="M2326" s="1" t="str" cm="1">
        <f t="array" ref="M232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26" t="s">
        <v>55</v>
      </c>
      <c r="O2326" t="s">
        <v>206</v>
      </c>
      <c r="P2326" s="2" t="s">
        <v>394</v>
      </c>
      <c r="Q2326">
        <v>0</v>
      </c>
      <c r="R2326" t="s">
        <v>390</v>
      </c>
      <c r="S2326" s="1">
        <f>electric_vehicles_dataset[[#This Row],[Units_Sold_2024]]*electric_vehicles_dataset[[#This Row],[Price_USD]]</f>
        <v>1884331121.0000002</v>
      </c>
      <c r="T2326">
        <v>4</v>
      </c>
      <c r="U2326">
        <v>13900</v>
      </c>
      <c r="V2326">
        <v>5</v>
      </c>
    </row>
    <row r="2327" spans="1:22" x14ac:dyDescent="0.35">
      <c r="A2327">
        <v>2326</v>
      </c>
      <c r="B2327" t="s">
        <v>222</v>
      </c>
      <c r="C2327" t="s">
        <v>231</v>
      </c>
      <c r="D2327">
        <v>2025</v>
      </c>
      <c r="E2327" t="s">
        <v>31</v>
      </c>
      <c r="F2327">
        <v>125</v>
      </c>
      <c r="G2327" t="s">
        <v>352</v>
      </c>
      <c r="H2327">
        <f>electric_vehicles_dataset[[#This Row],[Battery_Capacity_kWh]]/electric_vehicles_dataset[[#This Row],[Range_km]]</f>
        <v>0.33156498673740054</v>
      </c>
      <c r="I2327">
        <v>377</v>
      </c>
      <c r="J2327" t="s">
        <v>149</v>
      </c>
      <c r="K2327">
        <v>9</v>
      </c>
      <c r="L2327" s="1">
        <v>119345.97</v>
      </c>
      <c r="M2327" s="1" t="str" cm="1">
        <f t="array" ref="M232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27" t="s">
        <v>196</v>
      </c>
      <c r="O2327" t="s">
        <v>161</v>
      </c>
      <c r="P2327" s="2" t="s">
        <v>389</v>
      </c>
      <c r="Q2327">
        <v>0</v>
      </c>
      <c r="R2327" t="s">
        <v>390</v>
      </c>
      <c r="S2327" s="1">
        <f>electric_vehicles_dataset[[#This Row],[Units_Sold_2024]]*electric_vehicles_dataset[[#This Row],[Price_USD]]</f>
        <v>1513664937.51</v>
      </c>
      <c r="T2327">
        <v>4</v>
      </c>
      <c r="U2327">
        <v>12683</v>
      </c>
      <c r="V2327">
        <v>3</v>
      </c>
    </row>
    <row r="2328" spans="1:22" x14ac:dyDescent="0.35">
      <c r="A2328">
        <v>2327</v>
      </c>
      <c r="B2328" t="s">
        <v>136</v>
      </c>
      <c r="C2328" t="s">
        <v>137</v>
      </c>
      <c r="D2328">
        <v>2024</v>
      </c>
      <c r="E2328" t="s">
        <v>90</v>
      </c>
      <c r="F2328">
        <v>117.5</v>
      </c>
      <c r="G2328" t="s">
        <v>361</v>
      </c>
      <c r="H2328">
        <f>electric_vehicles_dataset[[#This Row],[Battery_Capacity_kWh]]/electric_vehicles_dataset[[#This Row],[Range_km]]</f>
        <v>0.75320512820512819</v>
      </c>
      <c r="I2328">
        <v>156</v>
      </c>
      <c r="J2328" t="s">
        <v>358</v>
      </c>
      <c r="K2328">
        <v>2</v>
      </c>
      <c r="L2328" s="1">
        <v>133285.39000000001</v>
      </c>
      <c r="M2328" s="1" t="str" cm="1">
        <f t="array" ref="M23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28" t="s">
        <v>160</v>
      </c>
      <c r="O2328" t="s">
        <v>111</v>
      </c>
      <c r="P2328" s="2" t="s">
        <v>389</v>
      </c>
      <c r="Q2328">
        <v>3</v>
      </c>
      <c r="R2328" t="s">
        <v>397</v>
      </c>
      <c r="S2328" s="1">
        <f>electric_vehicles_dataset[[#This Row],[Units_Sold_2024]]*electric_vehicles_dataset[[#This Row],[Price_USD]]</f>
        <v>1717782106.3200002</v>
      </c>
      <c r="T2328">
        <v>3</v>
      </c>
      <c r="U2328">
        <v>12888</v>
      </c>
      <c r="V2328">
        <v>5</v>
      </c>
    </row>
    <row r="2329" spans="1:22" x14ac:dyDescent="0.35">
      <c r="A2329">
        <v>2328</v>
      </c>
      <c r="B2329" t="s">
        <v>82</v>
      </c>
      <c r="C2329" t="s">
        <v>281</v>
      </c>
      <c r="D2329">
        <v>2017</v>
      </c>
      <c r="E2329" t="s">
        <v>42</v>
      </c>
      <c r="F2329">
        <v>88.3</v>
      </c>
      <c r="G2329" t="s">
        <v>350</v>
      </c>
      <c r="H2329">
        <f>electric_vehicles_dataset[[#This Row],[Battery_Capacity_kWh]]/electric_vehicles_dataset[[#This Row],[Range_km]]</f>
        <v>0.30982456140350878</v>
      </c>
      <c r="I2329">
        <v>285</v>
      </c>
      <c r="J2329" t="s">
        <v>48</v>
      </c>
      <c r="K2329">
        <v>6</v>
      </c>
      <c r="L2329" s="1">
        <v>100782.57</v>
      </c>
      <c r="M2329" s="1" t="str" cm="1">
        <f t="array" ref="M232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29" t="s">
        <v>55</v>
      </c>
      <c r="O2329" t="s">
        <v>199</v>
      </c>
      <c r="P2329" s="2" t="s">
        <v>394</v>
      </c>
      <c r="Q2329">
        <v>5</v>
      </c>
      <c r="R2329" t="s">
        <v>392</v>
      </c>
      <c r="S2329" s="1">
        <f>electric_vehicles_dataset[[#This Row],[Units_Sold_2024]]*electric_vehicles_dataset[[#This Row],[Price_USD]]</f>
        <v>298719537.48000002</v>
      </c>
      <c r="T2329">
        <v>3</v>
      </c>
      <c r="U2329">
        <v>2964</v>
      </c>
      <c r="V2329">
        <v>3</v>
      </c>
    </row>
    <row r="2330" spans="1:22" x14ac:dyDescent="0.35">
      <c r="A2330">
        <v>2329</v>
      </c>
      <c r="B2330" t="s">
        <v>60</v>
      </c>
      <c r="C2330" t="s">
        <v>61</v>
      </c>
      <c r="D2330">
        <v>2022</v>
      </c>
      <c r="E2330" t="s">
        <v>26</v>
      </c>
      <c r="F2330">
        <v>30</v>
      </c>
      <c r="G2330" t="s">
        <v>357</v>
      </c>
      <c r="H2330">
        <f>electric_vehicles_dataset[[#This Row],[Battery_Capacity_kWh]]/electric_vehicles_dataset[[#This Row],[Range_km]]</f>
        <v>6.1475409836065573E-2</v>
      </c>
      <c r="I2330">
        <v>488</v>
      </c>
      <c r="J2330" t="s">
        <v>27</v>
      </c>
      <c r="K2330">
        <v>8</v>
      </c>
      <c r="L2330" s="1">
        <v>149616.97</v>
      </c>
      <c r="M2330" s="1" t="str" cm="1">
        <f t="array" ref="M23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30" t="s">
        <v>146</v>
      </c>
      <c r="O2330" t="s">
        <v>150</v>
      </c>
      <c r="P2330" s="2" t="s">
        <v>389</v>
      </c>
      <c r="Q2330">
        <v>1</v>
      </c>
      <c r="R2330" t="s">
        <v>391</v>
      </c>
      <c r="S2330" s="1">
        <f>electric_vehicles_dataset[[#This Row],[Units_Sold_2024]]*electric_vehicles_dataset[[#This Row],[Price_USD]]</f>
        <v>494334468.88</v>
      </c>
      <c r="T2330">
        <v>3</v>
      </c>
      <c r="U2330">
        <v>3304</v>
      </c>
      <c r="V2330">
        <v>3</v>
      </c>
    </row>
    <row r="2331" spans="1:22" x14ac:dyDescent="0.35">
      <c r="A2331">
        <v>2330</v>
      </c>
      <c r="B2331" t="s">
        <v>64</v>
      </c>
      <c r="C2331" t="s">
        <v>65</v>
      </c>
      <c r="D2331">
        <v>2025</v>
      </c>
      <c r="E2331" t="s">
        <v>58</v>
      </c>
      <c r="F2331">
        <v>94.4</v>
      </c>
      <c r="G2331" t="s">
        <v>350</v>
      </c>
      <c r="H2331">
        <f>electric_vehicles_dataset[[#This Row],[Battery_Capacity_kWh]]/electric_vehicles_dataset[[#This Row],[Range_km]]</f>
        <v>0.22264150943396227</v>
      </c>
      <c r="I2331">
        <v>424</v>
      </c>
      <c r="J2331" t="s">
        <v>105</v>
      </c>
      <c r="K2331">
        <v>11</v>
      </c>
      <c r="L2331" s="1">
        <v>117721.16</v>
      </c>
      <c r="M2331" s="1" t="str" cm="1">
        <f t="array" ref="M233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31" t="s">
        <v>28</v>
      </c>
      <c r="O2331" t="s">
        <v>23</v>
      </c>
      <c r="P2331" s="2" t="s">
        <v>389</v>
      </c>
      <c r="Q2331">
        <v>5</v>
      </c>
      <c r="R2331" t="s">
        <v>392</v>
      </c>
      <c r="S2331" s="1">
        <f>electric_vehicles_dataset[[#This Row],[Units_Sold_2024]]*electric_vehicles_dataset[[#This Row],[Price_USD]]</f>
        <v>137498314.88</v>
      </c>
      <c r="T2331">
        <v>3</v>
      </c>
      <c r="U2331">
        <v>1168</v>
      </c>
      <c r="V2331">
        <v>3</v>
      </c>
    </row>
    <row r="2332" spans="1:22" x14ac:dyDescent="0.35">
      <c r="A2332">
        <v>2331</v>
      </c>
      <c r="B2332" t="s">
        <v>36</v>
      </c>
      <c r="C2332" t="s">
        <v>37</v>
      </c>
      <c r="D2332">
        <v>2021</v>
      </c>
      <c r="E2332" t="s">
        <v>42</v>
      </c>
      <c r="F2332">
        <v>48.2</v>
      </c>
      <c r="G2332" t="s">
        <v>348</v>
      </c>
      <c r="H2332">
        <f>electric_vehicles_dataset[[#This Row],[Battery_Capacity_kWh]]/electric_vehicles_dataset[[#This Row],[Range_km]]</f>
        <v>9.5445544554455447E-2</v>
      </c>
      <c r="I2332">
        <v>505</v>
      </c>
      <c r="J2332" t="s">
        <v>353</v>
      </c>
      <c r="K2332">
        <v>7</v>
      </c>
      <c r="L2332" s="1">
        <v>148249.32999999999</v>
      </c>
      <c r="M2332" s="1" t="str" cm="1">
        <f t="array" ref="M233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32" t="s">
        <v>91</v>
      </c>
      <c r="O2332" t="s">
        <v>95</v>
      </c>
      <c r="P2332" s="2" t="s">
        <v>394</v>
      </c>
      <c r="Q2332">
        <v>2</v>
      </c>
      <c r="R2332" t="s">
        <v>391</v>
      </c>
      <c r="S2332" s="1">
        <f>electric_vehicles_dataset[[#This Row],[Units_Sold_2024]]*electric_vehicles_dataset[[#This Row],[Price_USD]]</f>
        <v>1569219158.05</v>
      </c>
      <c r="T2332">
        <v>3</v>
      </c>
      <c r="U2332">
        <v>10585</v>
      </c>
      <c r="V2332">
        <v>3</v>
      </c>
    </row>
    <row r="2333" spans="1:22" x14ac:dyDescent="0.35">
      <c r="A2333">
        <v>2332</v>
      </c>
      <c r="B2333" t="s">
        <v>94</v>
      </c>
      <c r="C2333" t="s">
        <v>360</v>
      </c>
      <c r="D2333">
        <v>2016</v>
      </c>
      <c r="E2333" t="s">
        <v>133</v>
      </c>
      <c r="F2333">
        <v>21.9</v>
      </c>
      <c r="G2333" t="s">
        <v>357</v>
      </c>
      <c r="H2333">
        <f>electric_vehicles_dataset[[#This Row],[Battery_Capacity_kWh]]/electric_vehicles_dataset[[#This Row],[Range_km]]</f>
        <v>0.17244094488188974</v>
      </c>
      <c r="I2333">
        <v>127</v>
      </c>
      <c r="J2333" t="s">
        <v>356</v>
      </c>
      <c r="K2333">
        <v>4</v>
      </c>
      <c r="L2333" s="1">
        <v>143327.97</v>
      </c>
      <c r="M2333" s="1" t="str" cm="1">
        <f t="array" ref="M23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33" t="s">
        <v>160</v>
      </c>
      <c r="O2333" t="s">
        <v>121</v>
      </c>
      <c r="P2333" s="2" t="s">
        <v>398</v>
      </c>
      <c r="Q2333">
        <v>0</v>
      </c>
      <c r="R2333" t="s">
        <v>390</v>
      </c>
      <c r="S2333" s="1">
        <f>electric_vehicles_dataset[[#This Row],[Units_Sold_2024]]*electric_vehicles_dataset[[#This Row],[Price_USD]]</f>
        <v>662748533.27999997</v>
      </c>
      <c r="T2333">
        <v>3</v>
      </c>
      <c r="U2333">
        <v>4624</v>
      </c>
      <c r="V2333">
        <v>4</v>
      </c>
    </row>
    <row r="2334" spans="1:22" x14ac:dyDescent="0.35">
      <c r="A2334">
        <v>2333</v>
      </c>
      <c r="B2334" t="s">
        <v>207</v>
      </c>
      <c r="C2334" t="s">
        <v>287</v>
      </c>
      <c r="D2334">
        <v>2018</v>
      </c>
      <c r="E2334" t="s">
        <v>183</v>
      </c>
      <c r="F2334">
        <v>143.19999999999999</v>
      </c>
      <c r="G2334" t="s">
        <v>386</v>
      </c>
      <c r="H2334">
        <f>electric_vehicles_dataset[[#This Row],[Battery_Capacity_kWh]]/electric_vehicles_dataset[[#This Row],[Range_km]]</f>
        <v>1.1456</v>
      </c>
      <c r="I2334">
        <v>125</v>
      </c>
      <c r="J2334" t="s">
        <v>356</v>
      </c>
      <c r="K2334">
        <v>4</v>
      </c>
      <c r="L2334" s="1">
        <v>31737.919999999998</v>
      </c>
      <c r="M2334" s="1" t="str" cm="1">
        <f t="array" ref="M233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34" t="s">
        <v>277</v>
      </c>
      <c r="O2334" t="s">
        <v>139</v>
      </c>
      <c r="P2334" s="2" t="s">
        <v>389</v>
      </c>
      <c r="Q2334">
        <v>1</v>
      </c>
      <c r="R2334" t="s">
        <v>391</v>
      </c>
      <c r="S2334" s="1">
        <f>electric_vehicles_dataset[[#This Row],[Units_Sold_2024]]*electric_vehicles_dataset[[#This Row],[Price_USD]]</f>
        <v>587595850.88</v>
      </c>
      <c r="T2334">
        <v>5</v>
      </c>
      <c r="U2334">
        <v>18514</v>
      </c>
      <c r="V2334">
        <v>5</v>
      </c>
    </row>
    <row r="2335" spans="1:22" x14ac:dyDescent="0.35">
      <c r="A2335">
        <v>2334</v>
      </c>
      <c r="B2335" t="s">
        <v>170</v>
      </c>
      <c r="C2335" t="s">
        <v>275</v>
      </c>
      <c r="D2335">
        <v>2015</v>
      </c>
      <c r="E2335" t="s">
        <v>101</v>
      </c>
      <c r="F2335">
        <v>54.4</v>
      </c>
      <c r="G2335" t="s">
        <v>348</v>
      </c>
      <c r="H2335">
        <f>electric_vehicles_dataset[[#This Row],[Battery_Capacity_kWh]]/electric_vehicles_dataset[[#This Row],[Range_km]]</f>
        <v>0.53333333333333333</v>
      </c>
      <c r="I2335">
        <v>102</v>
      </c>
      <c r="J2335" t="s">
        <v>54</v>
      </c>
      <c r="K2335">
        <v>11</v>
      </c>
      <c r="L2335" s="1">
        <v>54265.4</v>
      </c>
      <c r="M2335" s="1" t="str" cm="1">
        <f t="array" ref="M23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35" t="s">
        <v>301</v>
      </c>
      <c r="O2335" t="s">
        <v>118</v>
      </c>
      <c r="P2335" s="2" t="s">
        <v>389</v>
      </c>
      <c r="Q2335">
        <v>1</v>
      </c>
      <c r="R2335" t="s">
        <v>391</v>
      </c>
      <c r="S2335" s="1">
        <f>electric_vehicles_dataset[[#This Row],[Units_Sold_2024]]*electric_vehicles_dataset[[#This Row],[Price_USD]]</f>
        <v>418928888</v>
      </c>
      <c r="T2335">
        <v>3</v>
      </c>
      <c r="U2335">
        <v>7720</v>
      </c>
      <c r="V2335">
        <v>5</v>
      </c>
    </row>
    <row r="2336" spans="1:22" x14ac:dyDescent="0.35">
      <c r="A2336">
        <v>2335</v>
      </c>
      <c r="B2336" t="s">
        <v>313</v>
      </c>
      <c r="C2336" t="s">
        <v>314</v>
      </c>
      <c r="D2336">
        <v>2017</v>
      </c>
      <c r="E2336" t="s">
        <v>183</v>
      </c>
      <c r="F2336">
        <v>133.1</v>
      </c>
      <c r="G2336" t="s">
        <v>352</v>
      </c>
      <c r="H2336">
        <f>electric_vehicles_dataset[[#This Row],[Battery_Capacity_kWh]]/electric_vehicles_dataset[[#This Row],[Range_km]]</f>
        <v>0.38804664723032067</v>
      </c>
      <c r="I2336">
        <v>343</v>
      </c>
      <c r="J2336" t="s">
        <v>353</v>
      </c>
      <c r="K2336">
        <v>6</v>
      </c>
      <c r="L2336" s="1">
        <v>72551.88</v>
      </c>
      <c r="M2336" s="1" t="str" cm="1">
        <f t="array" ref="M233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36" t="s">
        <v>189</v>
      </c>
      <c r="O2336" t="s">
        <v>236</v>
      </c>
      <c r="P2336" s="2" t="s">
        <v>394</v>
      </c>
      <c r="Q2336">
        <v>3</v>
      </c>
      <c r="R2336" t="s">
        <v>397</v>
      </c>
      <c r="S2336" s="1">
        <f>electric_vehicles_dataset[[#This Row],[Units_Sold_2024]]*electric_vehicles_dataset[[#This Row],[Price_USD]]</f>
        <v>802423792.80000007</v>
      </c>
      <c r="T2336">
        <v>3</v>
      </c>
      <c r="U2336">
        <v>11060</v>
      </c>
      <c r="V2336">
        <v>4</v>
      </c>
    </row>
    <row r="2337" spans="1:22" x14ac:dyDescent="0.35">
      <c r="A2337">
        <v>2336</v>
      </c>
      <c r="B2337" t="s">
        <v>234</v>
      </c>
      <c r="C2337" t="s">
        <v>235</v>
      </c>
      <c r="D2337">
        <v>2019</v>
      </c>
      <c r="E2337" t="s">
        <v>130</v>
      </c>
      <c r="F2337">
        <v>141.9</v>
      </c>
      <c r="G2337" t="s">
        <v>386</v>
      </c>
      <c r="H2337">
        <f>electric_vehicles_dataset[[#This Row],[Battery_Capacity_kWh]]/electric_vehicles_dataset[[#This Row],[Range_km]]</f>
        <v>0.73906250000000007</v>
      </c>
      <c r="I2337">
        <v>192</v>
      </c>
      <c r="J2337" t="s">
        <v>34</v>
      </c>
      <c r="K2337">
        <v>5</v>
      </c>
      <c r="L2337" s="1">
        <v>42690.33</v>
      </c>
      <c r="M2337" s="1" t="str" cm="1">
        <f t="array" ref="M23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37" t="s">
        <v>106</v>
      </c>
      <c r="O2337" t="s">
        <v>78</v>
      </c>
      <c r="P2337" s="2" t="s">
        <v>389</v>
      </c>
      <c r="Q2337">
        <v>4</v>
      </c>
      <c r="R2337" t="s">
        <v>392</v>
      </c>
      <c r="S2337" s="1">
        <f>electric_vehicles_dataset[[#This Row],[Units_Sold_2024]]*electric_vehicles_dataset[[#This Row],[Price_USD]]</f>
        <v>250720308.09</v>
      </c>
      <c r="T2337">
        <v>4</v>
      </c>
      <c r="U2337">
        <v>5873</v>
      </c>
      <c r="V2337">
        <v>4</v>
      </c>
    </row>
    <row r="2338" spans="1:22" x14ac:dyDescent="0.35">
      <c r="A2338">
        <v>2337</v>
      </c>
      <c r="B2338" t="s">
        <v>215</v>
      </c>
      <c r="C2338" t="s">
        <v>216</v>
      </c>
      <c r="D2338">
        <v>2017</v>
      </c>
      <c r="E2338" t="s">
        <v>58</v>
      </c>
      <c r="F2338">
        <v>64.900000000000006</v>
      </c>
      <c r="G2338" t="s">
        <v>351</v>
      </c>
      <c r="H2338">
        <f>electric_vehicles_dataset[[#This Row],[Battery_Capacity_kWh]]/electric_vehicles_dataset[[#This Row],[Range_km]]</f>
        <v>0.11228373702422147</v>
      </c>
      <c r="I2338">
        <v>578</v>
      </c>
      <c r="J2338" t="s">
        <v>48</v>
      </c>
      <c r="K2338">
        <v>3</v>
      </c>
      <c r="L2338" s="1">
        <v>60562</v>
      </c>
      <c r="M2338" s="1" t="str" cm="1">
        <f t="array" ref="M233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38" t="s">
        <v>77</v>
      </c>
      <c r="O2338" t="s">
        <v>159</v>
      </c>
      <c r="P2338" s="2" t="s">
        <v>389</v>
      </c>
      <c r="Q2338">
        <v>4</v>
      </c>
      <c r="R2338" t="s">
        <v>392</v>
      </c>
      <c r="S2338" s="1">
        <f>electric_vehicles_dataset[[#This Row],[Units_Sold_2024]]*electric_vehicles_dataset[[#This Row],[Price_USD]]</f>
        <v>1070796722</v>
      </c>
      <c r="T2338">
        <v>5</v>
      </c>
      <c r="U2338">
        <v>17681</v>
      </c>
      <c r="V2338">
        <v>5</v>
      </c>
    </row>
    <row r="2339" spans="1:22" x14ac:dyDescent="0.35">
      <c r="A2339">
        <v>2338</v>
      </c>
      <c r="B2339" t="s">
        <v>224</v>
      </c>
      <c r="C2339" t="s">
        <v>225</v>
      </c>
      <c r="D2339">
        <v>2023</v>
      </c>
      <c r="E2339" t="s">
        <v>101</v>
      </c>
      <c r="F2339">
        <v>135.9</v>
      </c>
      <c r="G2339" t="s">
        <v>352</v>
      </c>
      <c r="H2339">
        <f>electric_vehicles_dataset[[#This Row],[Battery_Capacity_kWh]]/electric_vehicles_dataset[[#This Row],[Range_km]]</f>
        <v>0.26388349514563109</v>
      </c>
      <c r="I2339">
        <v>515</v>
      </c>
      <c r="J2339" t="s">
        <v>345</v>
      </c>
      <c r="K2339">
        <v>6</v>
      </c>
      <c r="L2339" s="1">
        <v>55826.21</v>
      </c>
      <c r="M2339" s="1" t="str" cm="1">
        <f t="array" ref="M23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39" t="s">
        <v>142</v>
      </c>
      <c r="O2339" t="s">
        <v>182</v>
      </c>
      <c r="P2339" s="2" t="s">
        <v>394</v>
      </c>
      <c r="Q2339">
        <v>4</v>
      </c>
      <c r="R2339" t="s">
        <v>392</v>
      </c>
      <c r="S2339" s="1">
        <f>electric_vehicles_dataset[[#This Row],[Units_Sold_2024]]*electric_vehicles_dataset[[#This Row],[Price_USD]]</f>
        <v>404349239.02999997</v>
      </c>
      <c r="T2339">
        <v>3</v>
      </c>
      <c r="U2339">
        <v>7243</v>
      </c>
      <c r="V2339">
        <v>4</v>
      </c>
    </row>
    <row r="2340" spans="1:22" x14ac:dyDescent="0.35">
      <c r="A2340">
        <v>2339</v>
      </c>
      <c r="B2340" t="s">
        <v>64</v>
      </c>
      <c r="C2340" t="s">
        <v>65</v>
      </c>
      <c r="D2340">
        <v>2017</v>
      </c>
      <c r="E2340" t="s">
        <v>130</v>
      </c>
      <c r="F2340">
        <v>65.099999999999994</v>
      </c>
      <c r="G2340" t="s">
        <v>351</v>
      </c>
      <c r="H2340">
        <f>electric_vehicles_dataset[[#This Row],[Battery_Capacity_kWh]]/electric_vehicles_dataset[[#This Row],[Range_km]]</f>
        <v>0.29062499999999997</v>
      </c>
      <c r="I2340">
        <v>224</v>
      </c>
      <c r="J2340" t="s">
        <v>149</v>
      </c>
      <c r="K2340">
        <v>4</v>
      </c>
      <c r="L2340" s="1">
        <v>110154.9</v>
      </c>
      <c r="M2340" s="1" t="str" cm="1">
        <f t="array" ref="M23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40" t="s">
        <v>143</v>
      </c>
      <c r="O2340" t="s">
        <v>265</v>
      </c>
      <c r="P2340" s="2" t="s">
        <v>389</v>
      </c>
      <c r="Q2340">
        <v>0</v>
      </c>
      <c r="R2340" t="s">
        <v>390</v>
      </c>
      <c r="S2340" s="1">
        <f>electric_vehicles_dataset[[#This Row],[Units_Sold_2024]]*electric_vehicles_dataset[[#This Row],[Price_USD]]</f>
        <v>674808917.39999998</v>
      </c>
      <c r="T2340">
        <v>4</v>
      </c>
      <c r="U2340">
        <v>6126</v>
      </c>
      <c r="V2340">
        <v>3</v>
      </c>
    </row>
    <row r="2341" spans="1:22" x14ac:dyDescent="0.35">
      <c r="A2341">
        <v>2340</v>
      </c>
      <c r="B2341" t="s">
        <v>108</v>
      </c>
      <c r="C2341" t="s">
        <v>325</v>
      </c>
      <c r="D2341">
        <v>2025</v>
      </c>
      <c r="E2341" t="s">
        <v>17</v>
      </c>
      <c r="F2341">
        <v>107.5</v>
      </c>
      <c r="G2341" t="s">
        <v>361</v>
      </c>
      <c r="H2341">
        <f>electric_vehicles_dataset[[#This Row],[Battery_Capacity_kWh]]/electric_vehicles_dataset[[#This Row],[Range_km]]</f>
        <v>0.26477832512315269</v>
      </c>
      <c r="I2341">
        <v>406</v>
      </c>
      <c r="J2341" t="s">
        <v>364</v>
      </c>
      <c r="K2341">
        <v>1</v>
      </c>
      <c r="L2341" s="1">
        <v>116056.97</v>
      </c>
      <c r="M2341" s="1" t="str" cm="1">
        <f t="array" ref="M234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41" t="s">
        <v>142</v>
      </c>
      <c r="O2341" t="s">
        <v>161</v>
      </c>
      <c r="P2341" s="2" t="s">
        <v>389</v>
      </c>
      <c r="Q2341">
        <v>2</v>
      </c>
      <c r="R2341" t="s">
        <v>391</v>
      </c>
      <c r="S2341" s="1">
        <f>electric_vehicles_dataset[[#This Row],[Units_Sold_2024]]*electric_vehicles_dataset[[#This Row],[Price_USD]]</f>
        <v>954452521.27999997</v>
      </c>
      <c r="T2341">
        <v>4</v>
      </c>
      <c r="U2341">
        <v>8224</v>
      </c>
      <c r="V2341">
        <v>3</v>
      </c>
    </row>
    <row r="2342" spans="1:22" x14ac:dyDescent="0.35">
      <c r="A2342">
        <v>2341</v>
      </c>
      <c r="B2342" t="s">
        <v>241</v>
      </c>
      <c r="C2342" t="s">
        <v>286</v>
      </c>
      <c r="D2342">
        <v>2024</v>
      </c>
      <c r="E2342" t="s">
        <v>183</v>
      </c>
      <c r="F2342">
        <v>123.3</v>
      </c>
      <c r="G2342" t="s">
        <v>352</v>
      </c>
      <c r="H2342">
        <f>electric_vehicles_dataset[[#This Row],[Battery_Capacity_kWh]]/electric_vehicles_dataset[[#This Row],[Range_km]]</f>
        <v>0.30748129675810471</v>
      </c>
      <c r="I2342">
        <v>401</v>
      </c>
      <c r="J2342" t="s">
        <v>364</v>
      </c>
      <c r="K2342">
        <v>3</v>
      </c>
      <c r="L2342" s="1">
        <v>48757.21</v>
      </c>
      <c r="M2342" s="1" t="str" cm="1">
        <f t="array" ref="M234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42" t="s">
        <v>62</v>
      </c>
      <c r="O2342" t="s">
        <v>115</v>
      </c>
      <c r="P2342" s="2" t="s">
        <v>396</v>
      </c>
      <c r="Q2342">
        <v>3</v>
      </c>
      <c r="R2342" t="s">
        <v>397</v>
      </c>
      <c r="S2342" s="1">
        <f>electric_vehicles_dataset[[#This Row],[Units_Sold_2024]]*electric_vehicles_dataset[[#This Row],[Price_USD]]</f>
        <v>635794018.39999998</v>
      </c>
      <c r="T2342">
        <v>4</v>
      </c>
      <c r="U2342">
        <v>13040</v>
      </c>
      <c r="V2342">
        <v>5</v>
      </c>
    </row>
    <row r="2343" spans="1:22" x14ac:dyDescent="0.35">
      <c r="A2343">
        <v>2342</v>
      </c>
      <c r="B2343" t="s">
        <v>140</v>
      </c>
      <c r="C2343" t="s">
        <v>227</v>
      </c>
      <c r="D2343">
        <v>2020</v>
      </c>
      <c r="E2343" t="s">
        <v>101</v>
      </c>
      <c r="F2343">
        <v>80</v>
      </c>
      <c r="G2343" t="s">
        <v>351</v>
      </c>
      <c r="H2343">
        <f>electric_vehicles_dataset[[#This Row],[Battery_Capacity_kWh]]/electric_vehicles_dataset[[#This Row],[Range_km]]</f>
        <v>0.64516129032258063</v>
      </c>
      <c r="I2343">
        <v>124</v>
      </c>
      <c r="J2343" t="s">
        <v>345</v>
      </c>
      <c r="K2343">
        <v>11</v>
      </c>
      <c r="L2343" s="1">
        <v>68352.92</v>
      </c>
      <c r="M2343" s="1" t="str" cm="1">
        <f t="array" ref="M234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43" t="s">
        <v>152</v>
      </c>
      <c r="O2343" t="s">
        <v>93</v>
      </c>
      <c r="P2343" s="2" t="s">
        <v>389</v>
      </c>
      <c r="Q2343">
        <v>3</v>
      </c>
      <c r="R2343" t="s">
        <v>397</v>
      </c>
      <c r="S2343" s="1">
        <f>electric_vehicles_dataset[[#This Row],[Units_Sold_2024]]*electric_vehicles_dataset[[#This Row],[Price_USD]]</f>
        <v>488313260.47999996</v>
      </c>
      <c r="T2343">
        <v>4</v>
      </c>
      <c r="U2343">
        <v>7144</v>
      </c>
      <c r="V2343">
        <v>3</v>
      </c>
    </row>
    <row r="2344" spans="1:22" x14ac:dyDescent="0.35">
      <c r="A2344">
        <v>2343</v>
      </c>
      <c r="B2344" t="s">
        <v>79</v>
      </c>
      <c r="C2344" t="s">
        <v>267</v>
      </c>
      <c r="D2344">
        <v>2024</v>
      </c>
      <c r="E2344" t="s">
        <v>84</v>
      </c>
      <c r="F2344">
        <v>136.9</v>
      </c>
      <c r="G2344" t="s">
        <v>352</v>
      </c>
      <c r="H2344">
        <f>electric_vehicles_dataset[[#This Row],[Battery_Capacity_kWh]]/electric_vehicles_dataset[[#This Row],[Range_km]]</f>
        <v>0.31113636363636366</v>
      </c>
      <c r="I2344">
        <v>440</v>
      </c>
      <c r="J2344" t="s">
        <v>358</v>
      </c>
      <c r="K2344">
        <v>3</v>
      </c>
      <c r="L2344" s="1">
        <v>147056.35</v>
      </c>
      <c r="M2344" s="1" t="str" cm="1">
        <f t="array" ref="M23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44" t="s">
        <v>219</v>
      </c>
      <c r="O2344" t="s">
        <v>206</v>
      </c>
      <c r="P2344" s="2" t="s">
        <v>394</v>
      </c>
      <c r="Q2344">
        <v>3</v>
      </c>
      <c r="R2344" t="s">
        <v>397</v>
      </c>
      <c r="S2344" s="1">
        <f>electric_vehicles_dataset[[#This Row],[Units_Sold_2024]]*electric_vehicles_dataset[[#This Row],[Price_USD]]</f>
        <v>1593502608.6000001</v>
      </c>
      <c r="T2344">
        <v>4</v>
      </c>
      <c r="U2344">
        <v>10836</v>
      </c>
      <c r="V2344">
        <v>4</v>
      </c>
    </row>
    <row r="2345" spans="1:22" x14ac:dyDescent="0.35">
      <c r="A2345">
        <v>2344</v>
      </c>
      <c r="B2345" t="s">
        <v>36</v>
      </c>
      <c r="C2345" t="s">
        <v>37</v>
      </c>
      <c r="D2345">
        <v>2023</v>
      </c>
      <c r="E2345" t="s">
        <v>42</v>
      </c>
      <c r="F2345">
        <v>35.700000000000003</v>
      </c>
      <c r="G2345" t="s">
        <v>357</v>
      </c>
      <c r="H2345">
        <f>electric_vehicles_dataset[[#This Row],[Battery_Capacity_kWh]]/electric_vehicles_dataset[[#This Row],[Range_km]]</f>
        <v>0.1940217391304348</v>
      </c>
      <c r="I2345">
        <v>184</v>
      </c>
      <c r="J2345" t="s">
        <v>54</v>
      </c>
      <c r="K2345">
        <v>12</v>
      </c>
      <c r="L2345" s="1">
        <v>108506.7</v>
      </c>
      <c r="M2345" s="1" t="str" cm="1">
        <f t="array" ref="M234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45" t="s">
        <v>100</v>
      </c>
      <c r="O2345" t="s">
        <v>265</v>
      </c>
      <c r="P2345" s="2" t="s">
        <v>389</v>
      </c>
      <c r="Q2345">
        <v>3</v>
      </c>
      <c r="R2345" t="s">
        <v>397</v>
      </c>
      <c r="S2345" s="1">
        <f>electric_vehicles_dataset[[#This Row],[Units_Sold_2024]]*electric_vehicles_dataset[[#This Row],[Price_USD]]</f>
        <v>1020505513.5</v>
      </c>
      <c r="T2345">
        <v>5</v>
      </c>
      <c r="U2345">
        <v>9405</v>
      </c>
      <c r="V2345">
        <v>4</v>
      </c>
    </row>
    <row r="2346" spans="1:22" x14ac:dyDescent="0.35">
      <c r="A2346">
        <v>2345</v>
      </c>
      <c r="B2346" t="s">
        <v>243</v>
      </c>
      <c r="C2346" t="s">
        <v>371</v>
      </c>
      <c r="D2346">
        <v>2023</v>
      </c>
      <c r="E2346" t="s">
        <v>133</v>
      </c>
      <c r="F2346">
        <v>142</v>
      </c>
      <c r="G2346" t="s">
        <v>386</v>
      </c>
      <c r="H2346">
        <f>electric_vehicles_dataset[[#This Row],[Battery_Capacity_kWh]]/electric_vehicles_dataset[[#This Row],[Range_km]]</f>
        <v>0.2874493927125506</v>
      </c>
      <c r="I2346">
        <v>494</v>
      </c>
      <c r="J2346" t="s">
        <v>364</v>
      </c>
      <c r="K2346">
        <v>4</v>
      </c>
      <c r="L2346" s="1">
        <v>119827.74</v>
      </c>
      <c r="M2346" s="1" t="str" cm="1">
        <f t="array" ref="M234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46" t="s">
        <v>277</v>
      </c>
      <c r="O2346" t="s">
        <v>63</v>
      </c>
      <c r="P2346" s="2" t="s">
        <v>389</v>
      </c>
      <c r="Q2346">
        <v>3</v>
      </c>
      <c r="R2346" t="s">
        <v>397</v>
      </c>
      <c r="S2346" s="1">
        <f>electric_vehicles_dataset[[#This Row],[Units_Sold_2024]]*electric_vehicles_dataset[[#This Row],[Price_USD]]</f>
        <v>2020775007.3600001</v>
      </c>
      <c r="T2346">
        <v>3</v>
      </c>
      <c r="U2346">
        <v>16864</v>
      </c>
      <c r="V2346">
        <v>4</v>
      </c>
    </row>
    <row r="2347" spans="1:22" x14ac:dyDescent="0.35">
      <c r="A2347">
        <v>2346</v>
      </c>
      <c r="B2347" t="s">
        <v>184</v>
      </c>
      <c r="C2347" t="s">
        <v>309</v>
      </c>
      <c r="D2347">
        <v>2021</v>
      </c>
      <c r="E2347" t="s">
        <v>90</v>
      </c>
      <c r="F2347">
        <v>107.7</v>
      </c>
      <c r="G2347" t="s">
        <v>361</v>
      </c>
      <c r="H2347">
        <f>electric_vehicles_dataset[[#This Row],[Battery_Capacity_kWh]]/electric_vehicles_dataset[[#This Row],[Range_km]]</f>
        <v>0.38056537102473498</v>
      </c>
      <c r="I2347">
        <v>283</v>
      </c>
      <c r="J2347" t="s">
        <v>149</v>
      </c>
      <c r="K2347">
        <v>11</v>
      </c>
      <c r="L2347" s="1">
        <v>79006.570000000007</v>
      </c>
      <c r="M2347" s="1" t="str" cm="1">
        <f t="array" ref="M23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47" t="s">
        <v>81</v>
      </c>
      <c r="O2347" t="s">
        <v>169</v>
      </c>
      <c r="P2347" s="2" t="s">
        <v>394</v>
      </c>
      <c r="Q2347">
        <v>3</v>
      </c>
      <c r="R2347" t="s">
        <v>397</v>
      </c>
      <c r="S2347" s="1">
        <f>electric_vehicles_dataset[[#This Row],[Units_Sold_2024]]*electric_vehicles_dataset[[#This Row],[Price_USD]]</f>
        <v>566714126.61000001</v>
      </c>
      <c r="T2347">
        <v>3</v>
      </c>
      <c r="U2347">
        <v>7173</v>
      </c>
      <c r="V2347">
        <v>4</v>
      </c>
    </row>
    <row r="2348" spans="1:22" x14ac:dyDescent="0.35">
      <c r="A2348">
        <v>2347</v>
      </c>
      <c r="B2348" t="s">
        <v>269</v>
      </c>
      <c r="C2348" t="s">
        <v>270</v>
      </c>
      <c r="D2348">
        <v>2017</v>
      </c>
      <c r="E2348" t="s">
        <v>101</v>
      </c>
      <c r="F2348">
        <v>94</v>
      </c>
      <c r="G2348" t="s">
        <v>350</v>
      </c>
      <c r="H2348">
        <f>electric_vehicles_dataset[[#This Row],[Battery_Capacity_kWh]]/electric_vehicles_dataset[[#This Row],[Range_km]]</f>
        <v>0.31125827814569534</v>
      </c>
      <c r="I2348">
        <v>302</v>
      </c>
      <c r="J2348" t="s">
        <v>105</v>
      </c>
      <c r="K2348">
        <v>6</v>
      </c>
      <c r="L2348" s="1">
        <v>106491.31</v>
      </c>
      <c r="M2348" s="1" t="str" cm="1">
        <f t="array" ref="M234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48" t="s">
        <v>143</v>
      </c>
      <c r="O2348" t="s">
        <v>115</v>
      </c>
      <c r="P2348" s="2" t="s">
        <v>396</v>
      </c>
      <c r="Q2348">
        <v>1</v>
      </c>
      <c r="R2348" t="s">
        <v>391</v>
      </c>
      <c r="S2348" s="1">
        <f>electric_vehicles_dataset[[#This Row],[Units_Sold_2024]]*electric_vehicles_dataset[[#This Row],[Price_USD]]</f>
        <v>926687379.62</v>
      </c>
      <c r="T2348">
        <v>3</v>
      </c>
      <c r="U2348">
        <v>8702</v>
      </c>
      <c r="V2348">
        <v>4</v>
      </c>
    </row>
    <row r="2349" spans="1:22" x14ac:dyDescent="0.35">
      <c r="A2349">
        <v>2348</v>
      </c>
      <c r="B2349" t="s">
        <v>243</v>
      </c>
      <c r="C2349" t="s">
        <v>371</v>
      </c>
      <c r="D2349">
        <v>2024</v>
      </c>
      <c r="E2349" t="s">
        <v>73</v>
      </c>
      <c r="F2349">
        <v>67.900000000000006</v>
      </c>
      <c r="G2349" t="s">
        <v>351</v>
      </c>
      <c r="H2349">
        <f>electric_vehicles_dataset[[#This Row],[Battery_Capacity_kWh]]/electric_vehicles_dataset[[#This Row],[Range_km]]</f>
        <v>0.1450854700854701</v>
      </c>
      <c r="I2349">
        <v>468</v>
      </c>
      <c r="J2349" t="s">
        <v>359</v>
      </c>
      <c r="K2349">
        <v>6</v>
      </c>
      <c r="L2349" s="1">
        <v>45655.41</v>
      </c>
      <c r="M2349" s="1" t="str" cm="1">
        <f t="array" ref="M234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49" t="s">
        <v>214</v>
      </c>
      <c r="O2349" t="s">
        <v>164</v>
      </c>
      <c r="P2349" s="2" t="s">
        <v>394</v>
      </c>
      <c r="Q2349">
        <v>2</v>
      </c>
      <c r="R2349" t="s">
        <v>391</v>
      </c>
      <c r="S2349" s="1">
        <f>electric_vehicles_dataset[[#This Row],[Units_Sold_2024]]*electric_vehicles_dataset[[#This Row],[Price_USD]]</f>
        <v>459110802.96000004</v>
      </c>
      <c r="T2349">
        <v>4</v>
      </c>
      <c r="U2349">
        <v>10056</v>
      </c>
      <c r="V2349">
        <v>3</v>
      </c>
    </row>
    <row r="2350" spans="1:22" x14ac:dyDescent="0.35">
      <c r="A2350">
        <v>2349</v>
      </c>
      <c r="B2350" t="s">
        <v>71</v>
      </c>
      <c r="C2350" t="s">
        <v>315</v>
      </c>
      <c r="D2350">
        <v>2024</v>
      </c>
      <c r="E2350" t="s">
        <v>26</v>
      </c>
      <c r="F2350">
        <v>81.3</v>
      </c>
      <c r="G2350" t="s">
        <v>350</v>
      </c>
      <c r="H2350">
        <f>electric_vehicles_dataset[[#This Row],[Battery_Capacity_kWh]]/electric_vehicles_dataset[[#This Row],[Range_km]]</f>
        <v>0.21451187335092348</v>
      </c>
      <c r="I2350">
        <v>379</v>
      </c>
      <c r="J2350" t="s">
        <v>364</v>
      </c>
      <c r="K2350">
        <v>3</v>
      </c>
      <c r="L2350" s="1">
        <v>88402.77</v>
      </c>
      <c r="M2350" s="1" t="str" cm="1">
        <f t="array" ref="M23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50" t="s">
        <v>229</v>
      </c>
      <c r="O2350" t="s">
        <v>167</v>
      </c>
      <c r="P2350" s="2" t="s">
        <v>394</v>
      </c>
      <c r="Q2350">
        <v>0</v>
      </c>
      <c r="R2350" t="s">
        <v>390</v>
      </c>
      <c r="S2350" s="1">
        <f>electric_vehicles_dataset[[#This Row],[Units_Sold_2024]]*electric_vehicles_dataset[[#This Row],[Price_USD]]</f>
        <v>430433087.13</v>
      </c>
      <c r="T2350">
        <v>4</v>
      </c>
      <c r="U2350">
        <v>4869</v>
      </c>
      <c r="V2350">
        <v>4</v>
      </c>
    </row>
    <row r="2351" spans="1:22" x14ac:dyDescent="0.35">
      <c r="A2351">
        <v>2350</v>
      </c>
      <c r="B2351" t="s">
        <v>68</v>
      </c>
      <c r="C2351" t="s">
        <v>103</v>
      </c>
      <c r="D2351">
        <v>2024</v>
      </c>
      <c r="E2351" t="s">
        <v>101</v>
      </c>
      <c r="F2351">
        <v>41.6</v>
      </c>
      <c r="G2351" t="s">
        <v>348</v>
      </c>
      <c r="H2351">
        <f>electric_vehicles_dataset[[#This Row],[Battery_Capacity_kWh]]/electric_vehicles_dataset[[#This Row],[Range_km]]</f>
        <v>9.7652582159624413E-2</v>
      </c>
      <c r="I2351">
        <v>426</v>
      </c>
      <c r="J2351" t="s">
        <v>149</v>
      </c>
      <c r="K2351">
        <v>1</v>
      </c>
      <c r="L2351" s="1">
        <v>115955.9</v>
      </c>
      <c r="M2351" s="1" t="str" cm="1">
        <f t="array" ref="M235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51" t="s">
        <v>106</v>
      </c>
      <c r="O2351" t="s">
        <v>111</v>
      </c>
      <c r="P2351" s="2" t="s">
        <v>389</v>
      </c>
      <c r="Q2351">
        <v>1</v>
      </c>
      <c r="R2351" t="s">
        <v>391</v>
      </c>
      <c r="S2351" s="1">
        <f>electric_vehicles_dataset[[#This Row],[Units_Sold_2024]]*electric_vehicles_dataset[[#This Row],[Price_USD]]</f>
        <v>1643327014.8</v>
      </c>
      <c r="T2351">
        <v>4</v>
      </c>
      <c r="U2351">
        <v>14172</v>
      </c>
      <c r="V2351">
        <v>5</v>
      </c>
    </row>
    <row r="2352" spans="1:22" x14ac:dyDescent="0.35">
      <c r="A2352">
        <v>2351</v>
      </c>
      <c r="B2352" t="s">
        <v>224</v>
      </c>
      <c r="C2352" t="s">
        <v>225</v>
      </c>
      <c r="D2352">
        <v>2018</v>
      </c>
      <c r="E2352" t="s">
        <v>90</v>
      </c>
      <c r="F2352">
        <v>27.1</v>
      </c>
      <c r="G2352" t="s">
        <v>357</v>
      </c>
      <c r="H2352">
        <f>electric_vehicles_dataset[[#This Row],[Battery_Capacity_kWh]]/electric_vehicles_dataset[[#This Row],[Range_km]]</f>
        <v>7.1503957783641159E-2</v>
      </c>
      <c r="I2352">
        <v>379</v>
      </c>
      <c r="J2352" t="s">
        <v>345</v>
      </c>
      <c r="K2352">
        <v>7</v>
      </c>
      <c r="L2352" s="1">
        <v>55490.12</v>
      </c>
      <c r="M2352" s="1" t="str" cm="1">
        <f t="array" ref="M235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52" t="s">
        <v>117</v>
      </c>
      <c r="O2352" t="s">
        <v>265</v>
      </c>
      <c r="P2352" s="2" t="s">
        <v>389</v>
      </c>
      <c r="Q2352">
        <v>3</v>
      </c>
      <c r="R2352" t="s">
        <v>397</v>
      </c>
      <c r="S2352" s="1">
        <f>electric_vehicles_dataset[[#This Row],[Units_Sold_2024]]*electric_vehicles_dataset[[#This Row],[Price_USD]]</f>
        <v>796949103.44000006</v>
      </c>
      <c r="T2352">
        <v>3</v>
      </c>
      <c r="U2352">
        <v>14362</v>
      </c>
      <c r="V2352">
        <v>5</v>
      </c>
    </row>
    <row r="2353" spans="1:22" x14ac:dyDescent="0.35">
      <c r="A2353">
        <v>2352</v>
      </c>
      <c r="B2353" t="s">
        <v>153</v>
      </c>
      <c r="C2353" t="s">
        <v>154</v>
      </c>
      <c r="D2353">
        <v>2019</v>
      </c>
      <c r="E2353" t="s">
        <v>42</v>
      </c>
      <c r="F2353">
        <v>76</v>
      </c>
      <c r="G2353" t="s">
        <v>351</v>
      </c>
      <c r="H2353">
        <f>electric_vehicles_dataset[[#This Row],[Battery_Capacity_kWh]]/electric_vehicles_dataset[[#This Row],[Range_km]]</f>
        <v>0.25333333333333335</v>
      </c>
      <c r="I2353">
        <v>300</v>
      </c>
      <c r="J2353" t="s">
        <v>34</v>
      </c>
      <c r="K2353">
        <v>8</v>
      </c>
      <c r="L2353" s="1">
        <v>112539.96</v>
      </c>
      <c r="M2353" s="1" t="str" cm="1">
        <f t="array" ref="M23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53" t="s">
        <v>102</v>
      </c>
      <c r="O2353" t="s">
        <v>199</v>
      </c>
      <c r="P2353" s="2" t="s">
        <v>394</v>
      </c>
      <c r="Q2353">
        <v>0</v>
      </c>
      <c r="R2353" t="s">
        <v>390</v>
      </c>
      <c r="S2353" s="1">
        <f>electric_vehicles_dataset[[#This Row],[Units_Sold_2024]]*electric_vehicles_dataset[[#This Row],[Price_USD]]</f>
        <v>775737944.28000009</v>
      </c>
      <c r="T2353">
        <v>4</v>
      </c>
      <c r="U2353">
        <v>6893</v>
      </c>
      <c r="V2353">
        <v>5</v>
      </c>
    </row>
    <row r="2354" spans="1:22" x14ac:dyDescent="0.35">
      <c r="A2354">
        <v>2353</v>
      </c>
      <c r="B2354" t="s">
        <v>125</v>
      </c>
      <c r="C2354" t="s">
        <v>291</v>
      </c>
      <c r="D2354">
        <v>2025</v>
      </c>
      <c r="E2354" t="s">
        <v>17</v>
      </c>
      <c r="F2354">
        <v>66.3</v>
      </c>
      <c r="G2354" t="s">
        <v>351</v>
      </c>
      <c r="H2354">
        <f>electric_vehicles_dataset[[#This Row],[Battery_Capacity_kWh]]/electric_vehicles_dataset[[#This Row],[Range_km]]</f>
        <v>0.14016913319238899</v>
      </c>
      <c r="I2354">
        <v>473</v>
      </c>
      <c r="J2354" t="s">
        <v>76</v>
      </c>
      <c r="K2354">
        <v>7</v>
      </c>
      <c r="L2354" s="1">
        <v>70246.83</v>
      </c>
      <c r="M2354" s="1" t="str" cm="1">
        <f t="array" ref="M235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54" t="s">
        <v>229</v>
      </c>
      <c r="O2354" t="s">
        <v>50</v>
      </c>
      <c r="P2354" s="2" t="s">
        <v>396</v>
      </c>
      <c r="Q2354">
        <v>3</v>
      </c>
      <c r="R2354" t="s">
        <v>397</v>
      </c>
      <c r="S2354" s="1">
        <f>electric_vehicles_dataset[[#This Row],[Units_Sold_2024]]*electric_vehicles_dataset[[#This Row],[Price_USD]]</f>
        <v>867759090.99000001</v>
      </c>
      <c r="T2354">
        <v>3</v>
      </c>
      <c r="U2354">
        <v>12353</v>
      </c>
      <c r="V2354">
        <v>4</v>
      </c>
    </row>
    <row r="2355" spans="1:22" x14ac:dyDescent="0.35">
      <c r="A2355">
        <v>2354</v>
      </c>
      <c r="B2355" t="s">
        <v>261</v>
      </c>
      <c r="C2355" t="s">
        <v>372</v>
      </c>
      <c r="D2355">
        <v>2018</v>
      </c>
      <c r="E2355" t="s">
        <v>183</v>
      </c>
      <c r="F2355">
        <v>138.69999999999999</v>
      </c>
      <c r="G2355" t="s">
        <v>352</v>
      </c>
      <c r="H2355">
        <f>electric_vehicles_dataset[[#This Row],[Battery_Capacity_kWh]]/electric_vehicles_dataset[[#This Row],[Range_km]]</f>
        <v>0.80173410404624268</v>
      </c>
      <c r="I2355">
        <v>173</v>
      </c>
      <c r="J2355" t="s">
        <v>38</v>
      </c>
      <c r="K2355">
        <v>6</v>
      </c>
      <c r="L2355" s="1">
        <v>127754.12</v>
      </c>
      <c r="M2355" s="1" t="str" cm="1">
        <f t="array" ref="M235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55" t="s">
        <v>214</v>
      </c>
      <c r="O2355" t="s">
        <v>78</v>
      </c>
      <c r="P2355" s="2" t="s">
        <v>389</v>
      </c>
      <c r="Q2355">
        <v>2</v>
      </c>
      <c r="R2355" t="s">
        <v>391</v>
      </c>
      <c r="S2355" s="1">
        <f>electric_vehicles_dataset[[#This Row],[Units_Sold_2024]]*electric_vehicles_dataset[[#This Row],[Price_USD]]</f>
        <v>2535663773.7599998</v>
      </c>
      <c r="T2355">
        <v>5</v>
      </c>
      <c r="U2355">
        <v>19848</v>
      </c>
      <c r="V2355">
        <v>5</v>
      </c>
    </row>
    <row r="2356" spans="1:22" x14ac:dyDescent="0.35">
      <c r="A2356">
        <v>2355</v>
      </c>
      <c r="B2356" t="s">
        <v>220</v>
      </c>
      <c r="C2356" t="s">
        <v>382</v>
      </c>
      <c r="D2356">
        <v>2015</v>
      </c>
      <c r="E2356" t="s">
        <v>17</v>
      </c>
      <c r="F2356">
        <v>108.7</v>
      </c>
      <c r="G2356" t="s">
        <v>361</v>
      </c>
      <c r="H2356">
        <f>electric_vehicles_dataset[[#This Row],[Battery_Capacity_kWh]]/electric_vehicles_dataset[[#This Row],[Range_km]]</f>
        <v>0.32064896755162242</v>
      </c>
      <c r="I2356">
        <v>339</v>
      </c>
      <c r="J2356" t="s">
        <v>85</v>
      </c>
      <c r="K2356">
        <v>3</v>
      </c>
      <c r="L2356" s="1">
        <v>110636.88</v>
      </c>
      <c r="M2356" s="1" t="str" cm="1">
        <f t="array" ref="M235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56" t="s">
        <v>100</v>
      </c>
      <c r="O2356" t="s">
        <v>161</v>
      </c>
      <c r="P2356" s="2" t="s">
        <v>389</v>
      </c>
      <c r="Q2356">
        <v>3</v>
      </c>
      <c r="R2356" t="s">
        <v>397</v>
      </c>
      <c r="S2356" s="1">
        <f>electric_vehicles_dataset[[#This Row],[Units_Sold_2024]]*electric_vehicles_dataset[[#This Row],[Price_USD]]</f>
        <v>362999603.28000003</v>
      </c>
      <c r="T2356">
        <v>4</v>
      </c>
      <c r="U2356">
        <v>3281</v>
      </c>
      <c r="V2356">
        <v>4</v>
      </c>
    </row>
    <row r="2357" spans="1:22" x14ac:dyDescent="0.35">
      <c r="A2357">
        <v>2356</v>
      </c>
      <c r="B2357" t="s">
        <v>157</v>
      </c>
      <c r="C2357" t="s">
        <v>375</v>
      </c>
      <c r="D2357">
        <v>2021</v>
      </c>
      <c r="E2357" t="s">
        <v>58</v>
      </c>
      <c r="F2357">
        <v>91.1</v>
      </c>
      <c r="G2357" t="s">
        <v>350</v>
      </c>
      <c r="H2357">
        <f>electric_vehicles_dataset[[#This Row],[Battery_Capacity_kWh]]/electric_vehicles_dataset[[#This Row],[Range_km]]</f>
        <v>0.31092150170648464</v>
      </c>
      <c r="I2357">
        <v>293</v>
      </c>
      <c r="J2357" t="s">
        <v>34</v>
      </c>
      <c r="K2357">
        <v>2</v>
      </c>
      <c r="L2357" s="1">
        <v>127650.66</v>
      </c>
      <c r="M2357" s="1" t="str" cm="1">
        <f t="array" ref="M235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57" t="s">
        <v>28</v>
      </c>
      <c r="O2357" t="s">
        <v>121</v>
      </c>
      <c r="P2357" s="2" t="s">
        <v>398</v>
      </c>
      <c r="Q2357">
        <v>3</v>
      </c>
      <c r="R2357" t="s">
        <v>397</v>
      </c>
      <c r="S2357" s="1">
        <f>electric_vehicles_dataset[[#This Row],[Units_Sold_2024]]*electric_vehicles_dataset[[#This Row],[Price_USD]]</f>
        <v>1136984428.6200001</v>
      </c>
      <c r="T2357">
        <v>3</v>
      </c>
      <c r="U2357">
        <v>8907</v>
      </c>
      <c r="V2357">
        <v>4</v>
      </c>
    </row>
    <row r="2358" spans="1:22" x14ac:dyDescent="0.35">
      <c r="A2358">
        <v>2357</v>
      </c>
      <c r="B2358" t="s">
        <v>157</v>
      </c>
      <c r="C2358" t="s">
        <v>158</v>
      </c>
      <c r="D2358">
        <v>2015</v>
      </c>
      <c r="E2358" t="s">
        <v>183</v>
      </c>
      <c r="F2358">
        <v>52</v>
      </c>
      <c r="G2358" t="s">
        <v>348</v>
      </c>
      <c r="H2358">
        <f>electric_vehicles_dataset[[#This Row],[Battery_Capacity_kWh]]/electric_vehicles_dataset[[#This Row],[Range_km]]</f>
        <v>8.9965397923875437E-2</v>
      </c>
      <c r="I2358">
        <v>578</v>
      </c>
      <c r="J2358" t="s">
        <v>149</v>
      </c>
      <c r="K2358">
        <v>2</v>
      </c>
      <c r="L2358" s="1">
        <v>144849.17000000001</v>
      </c>
      <c r="M2358" s="1" t="str" cm="1">
        <f t="array" ref="M235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58" t="s">
        <v>217</v>
      </c>
      <c r="O2358" t="s">
        <v>89</v>
      </c>
      <c r="P2358" s="2" t="s">
        <v>389</v>
      </c>
      <c r="Q2358">
        <v>0</v>
      </c>
      <c r="R2358" t="s">
        <v>390</v>
      </c>
      <c r="S2358" s="1">
        <f>electric_vehicles_dataset[[#This Row],[Units_Sold_2024]]*electric_vehicles_dataset[[#This Row],[Price_USD]]</f>
        <v>2664790180.4900002</v>
      </c>
      <c r="T2358">
        <v>3</v>
      </c>
      <c r="U2358">
        <v>18397</v>
      </c>
      <c r="V2358">
        <v>5</v>
      </c>
    </row>
    <row r="2359" spans="1:22" x14ac:dyDescent="0.35">
      <c r="A2359">
        <v>2358</v>
      </c>
      <c r="B2359" t="s">
        <v>128</v>
      </c>
      <c r="C2359" t="s">
        <v>268</v>
      </c>
      <c r="D2359">
        <v>2016</v>
      </c>
      <c r="E2359" t="s">
        <v>47</v>
      </c>
      <c r="F2359">
        <v>52.2</v>
      </c>
      <c r="G2359" t="s">
        <v>348</v>
      </c>
      <c r="H2359">
        <f>electric_vehicles_dataset[[#This Row],[Battery_Capacity_kWh]]/electric_vehicles_dataset[[#This Row],[Range_km]]</f>
        <v>0.4578947368421053</v>
      </c>
      <c r="I2359">
        <v>114</v>
      </c>
      <c r="J2359" t="s">
        <v>48</v>
      </c>
      <c r="K2359">
        <v>5</v>
      </c>
      <c r="L2359" s="1">
        <v>118944.19</v>
      </c>
      <c r="M2359" s="1" t="str" cm="1">
        <f t="array" ref="M235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59" t="s">
        <v>49</v>
      </c>
      <c r="O2359" t="s">
        <v>226</v>
      </c>
      <c r="P2359" s="2" t="s">
        <v>395</v>
      </c>
      <c r="Q2359">
        <v>0</v>
      </c>
      <c r="R2359" t="s">
        <v>390</v>
      </c>
      <c r="S2359" s="1">
        <f>electric_vehicles_dataset[[#This Row],[Units_Sold_2024]]*electric_vehicles_dataset[[#This Row],[Price_USD]]</f>
        <v>1925230659.3400002</v>
      </c>
      <c r="T2359">
        <v>3</v>
      </c>
      <c r="U2359">
        <v>16186</v>
      </c>
      <c r="V2359">
        <v>4</v>
      </c>
    </row>
    <row r="2360" spans="1:22" x14ac:dyDescent="0.35">
      <c r="A2360">
        <v>2359</v>
      </c>
      <c r="B2360" t="s">
        <v>157</v>
      </c>
      <c r="C2360" t="s">
        <v>296</v>
      </c>
      <c r="D2360">
        <v>2025</v>
      </c>
      <c r="E2360" t="s">
        <v>90</v>
      </c>
      <c r="F2360">
        <v>91.6</v>
      </c>
      <c r="G2360" t="s">
        <v>350</v>
      </c>
      <c r="H2360">
        <f>electric_vehicles_dataset[[#This Row],[Battery_Capacity_kWh]]/electric_vehicles_dataset[[#This Row],[Range_km]]</f>
        <v>0.90693069306930685</v>
      </c>
      <c r="I2360">
        <v>101</v>
      </c>
      <c r="J2360" t="s">
        <v>364</v>
      </c>
      <c r="K2360">
        <v>9</v>
      </c>
      <c r="L2360" s="1">
        <v>135198.93</v>
      </c>
      <c r="M2360" s="1" t="str" cm="1">
        <f t="array" ref="M236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60" t="s">
        <v>177</v>
      </c>
      <c r="O2360" t="s">
        <v>135</v>
      </c>
      <c r="P2360" s="2" t="s">
        <v>389</v>
      </c>
      <c r="Q2360">
        <v>0</v>
      </c>
      <c r="R2360" t="s">
        <v>390</v>
      </c>
      <c r="S2360" s="1">
        <f>electric_vehicles_dataset[[#This Row],[Units_Sold_2024]]*electric_vehicles_dataset[[#This Row],[Price_USD]]</f>
        <v>799025676.29999995</v>
      </c>
      <c r="T2360">
        <v>4</v>
      </c>
      <c r="U2360">
        <v>5910</v>
      </c>
      <c r="V2360">
        <v>3</v>
      </c>
    </row>
    <row r="2361" spans="1:22" x14ac:dyDescent="0.35">
      <c r="A2361">
        <v>2360</v>
      </c>
      <c r="B2361" t="s">
        <v>79</v>
      </c>
      <c r="C2361" t="s">
        <v>376</v>
      </c>
      <c r="D2361">
        <v>2017</v>
      </c>
      <c r="E2361" t="s">
        <v>31</v>
      </c>
      <c r="F2361">
        <v>95.4</v>
      </c>
      <c r="G2361" t="s">
        <v>350</v>
      </c>
      <c r="H2361">
        <f>electric_vehicles_dataset[[#This Row],[Battery_Capacity_kWh]]/electric_vehicles_dataset[[#This Row],[Range_km]]</f>
        <v>0.33356643356643356</v>
      </c>
      <c r="I2361">
        <v>286</v>
      </c>
      <c r="J2361" t="s">
        <v>18</v>
      </c>
      <c r="K2361">
        <v>3</v>
      </c>
      <c r="L2361" s="1">
        <v>141381.68</v>
      </c>
      <c r="M2361" s="1" t="str" cm="1">
        <f t="array" ref="M236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61" t="s">
        <v>100</v>
      </c>
      <c r="O2361" t="s">
        <v>164</v>
      </c>
      <c r="P2361" s="2" t="s">
        <v>394</v>
      </c>
      <c r="Q2361">
        <v>5</v>
      </c>
      <c r="R2361" t="s">
        <v>392</v>
      </c>
      <c r="S2361" s="1">
        <f>electric_vehicles_dataset[[#This Row],[Units_Sold_2024]]*electric_vehicles_dataset[[#This Row],[Price_USD]]</f>
        <v>22479687.119999997</v>
      </c>
      <c r="T2361">
        <v>4</v>
      </c>
      <c r="U2361">
        <v>159</v>
      </c>
      <c r="V2361">
        <v>5</v>
      </c>
    </row>
    <row r="2362" spans="1:22" x14ac:dyDescent="0.35">
      <c r="A2362">
        <v>2361</v>
      </c>
      <c r="B2362" t="s">
        <v>21</v>
      </c>
      <c r="C2362" t="s">
        <v>349</v>
      </c>
      <c r="D2362">
        <v>2016</v>
      </c>
      <c r="E2362" t="s">
        <v>101</v>
      </c>
      <c r="F2362">
        <v>83.1</v>
      </c>
      <c r="G2362" t="s">
        <v>350</v>
      </c>
      <c r="H2362">
        <f>electric_vehicles_dataset[[#This Row],[Battery_Capacity_kWh]]/electric_vehicles_dataset[[#This Row],[Range_km]]</f>
        <v>0.43056994818652849</v>
      </c>
      <c r="I2362">
        <v>193</v>
      </c>
      <c r="J2362" t="s">
        <v>353</v>
      </c>
      <c r="K2362">
        <v>2</v>
      </c>
      <c r="L2362" s="1">
        <v>101376.52</v>
      </c>
      <c r="M2362" s="1" t="str" cm="1">
        <f t="array" ref="M23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62" t="s">
        <v>196</v>
      </c>
      <c r="O2362" t="s">
        <v>226</v>
      </c>
      <c r="P2362" s="2" t="s">
        <v>395</v>
      </c>
      <c r="Q2362">
        <v>0</v>
      </c>
      <c r="R2362" t="s">
        <v>390</v>
      </c>
      <c r="S2362" s="1">
        <f>electric_vehicles_dataset[[#This Row],[Units_Sold_2024]]*electric_vehicles_dataset[[#This Row],[Price_USD]]</f>
        <v>813445196.48000002</v>
      </c>
      <c r="T2362">
        <v>3</v>
      </c>
      <c r="U2362">
        <v>8024</v>
      </c>
      <c r="V2362">
        <v>3</v>
      </c>
    </row>
    <row r="2363" spans="1:22" x14ac:dyDescent="0.35">
      <c r="A2363">
        <v>2362</v>
      </c>
      <c r="B2363" t="s">
        <v>68</v>
      </c>
      <c r="C2363" t="s">
        <v>69</v>
      </c>
      <c r="D2363">
        <v>2022</v>
      </c>
      <c r="E2363" t="s">
        <v>73</v>
      </c>
      <c r="F2363">
        <v>61.6</v>
      </c>
      <c r="G2363" t="s">
        <v>351</v>
      </c>
      <c r="H2363">
        <f>electric_vehicles_dataset[[#This Row],[Battery_Capacity_kWh]]/electric_vehicles_dataset[[#This Row],[Range_km]]</f>
        <v>0.10960854092526691</v>
      </c>
      <c r="I2363">
        <v>562</v>
      </c>
      <c r="J2363" t="s">
        <v>76</v>
      </c>
      <c r="K2363">
        <v>1</v>
      </c>
      <c r="L2363" s="1">
        <v>30684.38</v>
      </c>
      <c r="M2363" s="1" t="str" cm="1">
        <f t="array" ref="M236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63" t="s">
        <v>175</v>
      </c>
      <c r="O2363" t="s">
        <v>167</v>
      </c>
      <c r="P2363" s="2" t="s">
        <v>394</v>
      </c>
      <c r="Q2363">
        <v>5</v>
      </c>
      <c r="R2363" t="s">
        <v>392</v>
      </c>
      <c r="S2363" s="1">
        <f>electric_vehicles_dataset[[#This Row],[Units_Sold_2024]]*electric_vehicles_dataset[[#This Row],[Price_USD]]</f>
        <v>213716706.70000002</v>
      </c>
      <c r="T2363">
        <v>4</v>
      </c>
      <c r="U2363">
        <v>6965</v>
      </c>
      <c r="V2363">
        <v>3</v>
      </c>
    </row>
    <row r="2364" spans="1:22" x14ac:dyDescent="0.35">
      <c r="A2364">
        <v>2363</v>
      </c>
      <c r="B2364" t="s">
        <v>176</v>
      </c>
      <c r="C2364" t="s">
        <v>365</v>
      </c>
      <c r="D2364">
        <v>2023</v>
      </c>
      <c r="E2364" t="s">
        <v>31</v>
      </c>
      <c r="F2364">
        <v>53.4</v>
      </c>
      <c r="G2364" t="s">
        <v>348</v>
      </c>
      <c r="H2364">
        <f>electric_vehicles_dataset[[#This Row],[Battery_Capacity_kWh]]/electric_vehicles_dataset[[#This Row],[Range_km]]</f>
        <v>0.25308056872037915</v>
      </c>
      <c r="I2364">
        <v>211</v>
      </c>
      <c r="J2364" t="s">
        <v>356</v>
      </c>
      <c r="K2364">
        <v>2</v>
      </c>
      <c r="L2364" s="1">
        <v>139577.44</v>
      </c>
      <c r="M2364" s="1" t="str" cm="1">
        <f t="array" ref="M23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64" t="s">
        <v>146</v>
      </c>
      <c r="O2364" t="s">
        <v>265</v>
      </c>
      <c r="P2364" s="2" t="s">
        <v>389</v>
      </c>
      <c r="Q2364">
        <v>2</v>
      </c>
      <c r="R2364" t="s">
        <v>391</v>
      </c>
      <c r="S2364" s="1">
        <f>electric_vehicles_dataset[[#This Row],[Units_Sold_2024]]*electric_vehicles_dataset[[#This Row],[Price_USD]]</f>
        <v>267849107.36000001</v>
      </c>
      <c r="T2364">
        <v>4</v>
      </c>
      <c r="U2364">
        <v>1919</v>
      </c>
      <c r="V2364">
        <v>5</v>
      </c>
    </row>
    <row r="2365" spans="1:22" x14ac:dyDescent="0.35">
      <c r="A2365">
        <v>2364</v>
      </c>
      <c r="B2365" t="s">
        <v>136</v>
      </c>
      <c r="C2365" t="s">
        <v>137</v>
      </c>
      <c r="D2365">
        <v>2015</v>
      </c>
      <c r="E2365" t="s">
        <v>101</v>
      </c>
      <c r="F2365">
        <v>82.7</v>
      </c>
      <c r="G2365" t="s">
        <v>350</v>
      </c>
      <c r="H2365">
        <f>electric_vehicles_dataset[[#This Row],[Battery_Capacity_kWh]]/electric_vehicles_dataset[[#This Row],[Range_km]]</f>
        <v>0.22231182795698926</v>
      </c>
      <c r="I2365">
        <v>372</v>
      </c>
      <c r="J2365" t="s">
        <v>85</v>
      </c>
      <c r="K2365">
        <v>11</v>
      </c>
      <c r="L2365" s="1">
        <v>131251.93</v>
      </c>
      <c r="M2365" s="1" t="str" cm="1">
        <f t="array" ref="M236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65" t="s">
        <v>279</v>
      </c>
      <c r="O2365" t="s">
        <v>95</v>
      </c>
      <c r="P2365" s="2" t="s">
        <v>394</v>
      </c>
      <c r="Q2365">
        <v>5</v>
      </c>
      <c r="R2365" t="s">
        <v>392</v>
      </c>
      <c r="S2365" s="1">
        <f>electric_vehicles_dataset[[#This Row],[Units_Sold_2024]]*electric_vehicles_dataset[[#This Row],[Price_USD]]</f>
        <v>2345209485.2399998</v>
      </c>
      <c r="T2365">
        <v>3</v>
      </c>
      <c r="U2365">
        <v>17868</v>
      </c>
      <c r="V2365">
        <v>5</v>
      </c>
    </row>
    <row r="2366" spans="1:22" x14ac:dyDescent="0.35">
      <c r="A2366">
        <v>2365</v>
      </c>
      <c r="B2366" t="s">
        <v>112</v>
      </c>
      <c r="C2366" t="s">
        <v>113</v>
      </c>
      <c r="D2366">
        <v>2025</v>
      </c>
      <c r="E2366" t="s">
        <v>17</v>
      </c>
      <c r="F2366">
        <v>93.8</v>
      </c>
      <c r="G2366" t="s">
        <v>350</v>
      </c>
      <c r="H2366">
        <f>electric_vehicles_dataset[[#This Row],[Battery_Capacity_kWh]]/electric_vehicles_dataset[[#This Row],[Range_km]]</f>
        <v>0.59367088607594931</v>
      </c>
      <c r="I2366">
        <v>158</v>
      </c>
      <c r="J2366" t="s">
        <v>85</v>
      </c>
      <c r="K2366">
        <v>10</v>
      </c>
      <c r="L2366" s="1">
        <v>50127.75</v>
      </c>
      <c r="M2366" s="1" t="str" cm="1">
        <f t="array" ref="M236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66" t="s">
        <v>28</v>
      </c>
      <c r="O2366" t="s">
        <v>115</v>
      </c>
      <c r="P2366" s="2" t="s">
        <v>396</v>
      </c>
      <c r="Q2366">
        <v>5</v>
      </c>
      <c r="R2366" t="s">
        <v>392</v>
      </c>
      <c r="S2366" s="1">
        <f>electric_vehicles_dataset[[#This Row],[Units_Sold_2024]]*electric_vehicles_dataset[[#This Row],[Price_USD]]</f>
        <v>292294910.25</v>
      </c>
      <c r="T2366">
        <v>3</v>
      </c>
      <c r="U2366">
        <v>5831</v>
      </c>
      <c r="V2366">
        <v>4</v>
      </c>
    </row>
    <row r="2367" spans="1:22" x14ac:dyDescent="0.35">
      <c r="A2367">
        <v>2366</v>
      </c>
      <c r="B2367" t="s">
        <v>136</v>
      </c>
      <c r="C2367" t="s">
        <v>137</v>
      </c>
      <c r="D2367">
        <v>2023</v>
      </c>
      <c r="E2367" t="s">
        <v>31</v>
      </c>
      <c r="F2367">
        <v>38</v>
      </c>
      <c r="G2367" t="s">
        <v>357</v>
      </c>
      <c r="H2367">
        <f>electric_vehicles_dataset[[#This Row],[Battery_Capacity_kWh]]/electric_vehicles_dataset[[#This Row],[Range_km]]</f>
        <v>7.9831932773109238E-2</v>
      </c>
      <c r="I2367">
        <v>476</v>
      </c>
      <c r="J2367" t="s">
        <v>149</v>
      </c>
      <c r="K2367">
        <v>3</v>
      </c>
      <c r="L2367" s="1">
        <v>84104.19</v>
      </c>
      <c r="M2367" s="1" t="str" cm="1">
        <f t="array" ref="M236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67" t="s">
        <v>177</v>
      </c>
      <c r="O2367" t="s">
        <v>33</v>
      </c>
      <c r="P2367" s="2" t="s">
        <v>393</v>
      </c>
      <c r="Q2367">
        <v>5</v>
      </c>
      <c r="R2367" t="s">
        <v>392</v>
      </c>
      <c r="S2367" s="1">
        <f>electric_vehicles_dataset[[#This Row],[Units_Sold_2024]]*electric_vehicles_dataset[[#This Row],[Price_USD]]</f>
        <v>606895835.03999996</v>
      </c>
      <c r="T2367">
        <v>3</v>
      </c>
      <c r="U2367">
        <v>7216</v>
      </c>
      <c r="V2367">
        <v>3</v>
      </c>
    </row>
    <row r="2368" spans="1:22" x14ac:dyDescent="0.35">
      <c r="A2368">
        <v>2367</v>
      </c>
      <c r="B2368" t="s">
        <v>184</v>
      </c>
      <c r="C2368" t="s">
        <v>309</v>
      </c>
      <c r="D2368">
        <v>2022</v>
      </c>
      <c r="E2368" t="s">
        <v>90</v>
      </c>
      <c r="F2368">
        <v>65</v>
      </c>
      <c r="G2368" t="s">
        <v>351</v>
      </c>
      <c r="H2368">
        <f>electric_vehicles_dataset[[#This Row],[Battery_Capacity_kWh]]/electric_vehicles_dataset[[#This Row],[Range_km]]</f>
        <v>0.26209677419354838</v>
      </c>
      <c r="I2368">
        <v>248</v>
      </c>
      <c r="J2368" t="s">
        <v>85</v>
      </c>
      <c r="K2368">
        <v>7</v>
      </c>
      <c r="L2368" s="1">
        <v>138642.79999999999</v>
      </c>
      <c r="M2368" s="1" t="str" cm="1">
        <f t="array" ref="M236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68" t="s">
        <v>205</v>
      </c>
      <c r="O2368" t="s">
        <v>23</v>
      </c>
      <c r="P2368" s="2" t="s">
        <v>389</v>
      </c>
      <c r="Q2368">
        <v>3</v>
      </c>
      <c r="R2368" t="s">
        <v>397</v>
      </c>
      <c r="S2368" s="1">
        <f>electric_vehicles_dataset[[#This Row],[Units_Sold_2024]]*electric_vehicles_dataset[[#This Row],[Price_USD]]</f>
        <v>1821211820.8</v>
      </c>
      <c r="T2368">
        <v>3</v>
      </c>
      <c r="U2368">
        <v>13136</v>
      </c>
      <c r="V2368">
        <v>4</v>
      </c>
    </row>
    <row r="2369" spans="1:22" x14ac:dyDescent="0.35">
      <c r="A2369">
        <v>2368</v>
      </c>
      <c r="B2369" t="s">
        <v>140</v>
      </c>
      <c r="C2369" t="s">
        <v>339</v>
      </c>
      <c r="D2369">
        <v>2016</v>
      </c>
      <c r="E2369" t="s">
        <v>183</v>
      </c>
      <c r="F2369">
        <v>76.3</v>
      </c>
      <c r="G2369" t="s">
        <v>351</v>
      </c>
      <c r="H2369">
        <f>electric_vehicles_dataset[[#This Row],[Battery_Capacity_kWh]]/electric_vehicles_dataset[[#This Row],[Range_km]]</f>
        <v>0.13339160839160838</v>
      </c>
      <c r="I2369">
        <v>572</v>
      </c>
      <c r="J2369" t="s">
        <v>345</v>
      </c>
      <c r="K2369">
        <v>10</v>
      </c>
      <c r="L2369" s="1">
        <v>119036.44</v>
      </c>
      <c r="M2369" s="1" t="str" cm="1">
        <f t="array" ref="M236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69" t="s">
        <v>70</v>
      </c>
      <c r="O2369" t="s">
        <v>150</v>
      </c>
      <c r="P2369" s="2" t="s">
        <v>389</v>
      </c>
      <c r="Q2369">
        <v>0</v>
      </c>
      <c r="R2369" t="s">
        <v>390</v>
      </c>
      <c r="S2369" s="1">
        <f>electric_vehicles_dataset[[#This Row],[Units_Sold_2024]]*electric_vehicles_dataset[[#This Row],[Price_USD]]</f>
        <v>736359417.84000003</v>
      </c>
      <c r="T2369">
        <v>4</v>
      </c>
      <c r="U2369">
        <v>6186</v>
      </c>
      <c r="V2369">
        <v>5</v>
      </c>
    </row>
    <row r="2370" spans="1:22" x14ac:dyDescent="0.35">
      <c r="A2370">
        <v>2369</v>
      </c>
      <c r="B2370" t="s">
        <v>36</v>
      </c>
      <c r="C2370" t="s">
        <v>37</v>
      </c>
      <c r="D2370">
        <v>2017</v>
      </c>
      <c r="E2370" t="s">
        <v>42</v>
      </c>
      <c r="F2370">
        <v>77.5</v>
      </c>
      <c r="G2370" t="s">
        <v>351</v>
      </c>
      <c r="H2370">
        <f>electric_vehicles_dataset[[#This Row],[Battery_Capacity_kWh]]/electric_vehicles_dataset[[#This Row],[Range_km]]</f>
        <v>0.15531062124248496</v>
      </c>
      <c r="I2370">
        <v>499</v>
      </c>
      <c r="J2370" t="s">
        <v>76</v>
      </c>
      <c r="K2370">
        <v>3</v>
      </c>
      <c r="L2370" s="1">
        <v>34895.5</v>
      </c>
      <c r="M2370" s="1" t="str" cm="1">
        <f t="array" ref="M237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70" t="s">
        <v>59</v>
      </c>
      <c r="O2370" t="s">
        <v>111</v>
      </c>
      <c r="P2370" s="2" t="s">
        <v>389</v>
      </c>
      <c r="Q2370">
        <v>0</v>
      </c>
      <c r="R2370" t="s">
        <v>390</v>
      </c>
      <c r="S2370" s="1">
        <f>electric_vehicles_dataset[[#This Row],[Units_Sold_2024]]*electric_vehicles_dataset[[#This Row],[Price_USD]]</f>
        <v>238650324.5</v>
      </c>
      <c r="T2370">
        <v>4</v>
      </c>
      <c r="U2370">
        <v>6839</v>
      </c>
      <c r="V2370">
        <v>5</v>
      </c>
    </row>
    <row r="2371" spans="1:22" x14ac:dyDescent="0.35">
      <c r="A2371">
        <v>2370</v>
      </c>
      <c r="B2371" t="s">
        <v>144</v>
      </c>
      <c r="C2371" t="s">
        <v>145</v>
      </c>
      <c r="D2371">
        <v>2025</v>
      </c>
      <c r="E2371" t="s">
        <v>84</v>
      </c>
      <c r="F2371">
        <v>66.900000000000006</v>
      </c>
      <c r="G2371" t="s">
        <v>351</v>
      </c>
      <c r="H2371">
        <f>electric_vehicles_dataset[[#This Row],[Battery_Capacity_kWh]]/electric_vehicles_dataset[[#This Row],[Range_km]]</f>
        <v>0.33283582089552244</v>
      </c>
      <c r="I2371">
        <v>201</v>
      </c>
      <c r="J2371" t="s">
        <v>364</v>
      </c>
      <c r="K2371">
        <v>8</v>
      </c>
      <c r="L2371" s="1">
        <v>63721.43</v>
      </c>
      <c r="M2371" s="1" t="str" cm="1">
        <f t="array" ref="M237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71" t="s">
        <v>228</v>
      </c>
      <c r="O2371" t="s">
        <v>67</v>
      </c>
      <c r="P2371" s="2" t="s">
        <v>394</v>
      </c>
      <c r="Q2371">
        <v>0</v>
      </c>
      <c r="R2371" t="s">
        <v>390</v>
      </c>
      <c r="S2371" s="1">
        <f>electric_vehicles_dataset[[#This Row],[Units_Sold_2024]]*electric_vehicles_dataset[[#This Row],[Price_USD]]</f>
        <v>1101616081.8399999</v>
      </c>
      <c r="T2371">
        <v>3</v>
      </c>
      <c r="U2371">
        <v>17288</v>
      </c>
      <c r="V2371">
        <v>4</v>
      </c>
    </row>
    <row r="2372" spans="1:22" x14ac:dyDescent="0.35">
      <c r="A2372">
        <v>2371</v>
      </c>
      <c r="B2372" t="s">
        <v>140</v>
      </c>
      <c r="C2372" t="s">
        <v>141</v>
      </c>
      <c r="D2372">
        <v>2017</v>
      </c>
      <c r="E2372" t="s">
        <v>47</v>
      </c>
      <c r="F2372">
        <v>57.9</v>
      </c>
      <c r="G2372" t="s">
        <v>348</v>
      </c>
      <c r="H2372">
        <f>electric_vehicles_dataset[[#This Row],[Battery_Capacity_kWh]]/electric_vehicles_dataset[[#This Row],[Range_km]]</f>
        <v>0.10069565217391305</v>
      </c>
      <c r="I2372">
        <v>575</v>
      </c>
      <c r="J2372" t="s">
        <v>356</v>
      </c>
      <c r="K2372">
        <v>6</v>
      </c>
      <c r="L2372" s="1">
        <v>57922.19</v>
      </c>
      <c r="M2372" s="1" t="str" cm="1">
        <f t="array" ref="M23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72" t="s">
        <v>214</v>
      </c>
      <c r="O2372" t="s">
        <v>206</v>
      </c>
      <c r="P2372" s="2" t="s">
        <v>394</v>
      </c>
      <c r="Q2372">
        <v>3</v>
      </c>
      <c r="R2372" t="s">
        <v>397</v>
      </c>
      <c r="S2372" s="1">
        <f>electric_vehicles_dataset[[#This Row],[Units_Sold_2024]]*electric_vehicles_dataset[[#This Row],[Price_USD]]</f>
        <v>13148337.130000001</v>
      </c>
      <c r="T2372">
        <v>4</v>
      </c>
      <c r="U2372">
        <v>227</v>
      </c>
      <c r="V2372">
        <v>5</v>
      </c>
    </row>
    <row r="2373" spans="1:22" x14ac:dyDescent="0.35">
      <c r="A2373">
        <v>2372</v>
      </c>
      <c r="B2373" t="s">
        <v>224</v>
      </c>
      <c r="C2373" t="s">
        <v>297</v>
      </c>
      <c r="D2373">
        <v>2015</v>
      </c>
      <c r="E2373" t="s">
        <v>73</v>
      </c>
      <c r="F2373">
        <v>78.400000000000006</v>
      </c>
      <c r="G2373" t="s">
        <v>351</v>
      </c>
      <c r="H2373">
        <f>electric_vehicles_dataset[[#This Row],[Battery_Capacity_kWh]]/electric_vehicles_dataset[[#This Row],[Range_km]]</f>
        <v>0.32803347280334733</v>
      </c>
      <c r="I2373">
        <v>239</v>
      </c>
      <c r="J2373" t="s">
        <v>54</v>
      </c>
      <c r="K2373">
        <v>10</v>
      </c>
      <c r="L2373" s="1">
        <v>70769.100000000006</v>
      </c>
      <c r="M2373" s="1" t="str" cm="1">
        <f t="array" ref="M237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73" t="s">
        <v>246</v>
      </c>
      <c r="O2373" t="s">
        <v>159</v>
      </c>
      <c r="P2373" s="2" t="s">
        <v>389</v>
      </c>
      <c r="Q2373">
        <v>5</v>
      </c>
      <c r="R2373" t="s">
        <v>392</v>
      </c>
      <c r="S2373" s="1">
        <f>electric_vehicles_dataset[[#This Row],[Units_Sold_2024]]*electric_vehicles_dataset[[#This Row],[Price_USD]]</f>
        <v>378897761.40000004</v>
      </c>
      <c r="T2373">
        <v>4</v>
      </c>
      <c r="U2373">
        <v>5354</v>
      </c>
      <c r="V2373">
        <v>4</v>
      </c>
    </row>
    <row r="2374" spans="1:22" x14ac:dyDescent="0.35">
      <c r="A2374">
        <v>2373</v>
      </c>
      <c r="B2374" t="s">
        <v>220</v>
      </c>
      <c r="C2374" t="s">
        <v>382</v>
      </c>
      <c r="D2374">
        <v>2025</v>
      </c>
      <c r="E2374" t="s">
        <v>90</v>
      </c>
      <c r="F2374">
        <v>147.6</v>
      </c>
      <c r="G2374" t="s">
        <v>386</v>
      </c>
      <c r="H2374">
        <f>electric_vehicles_dataset[[#This Row],[Battery_Capacity_kWh]]/electric_vehicles_dataset[[#This Row],[Range_km]]</f>
        <v>0.65892857142857142</v>
      </c>
      <c r="I2374">
        <v>224</v>
      </c>
      <c r="J2374" t="s">
        <v>18</v>
      </c>
      <c r="K2374">
        <v>7</v>
      </c>
      <c r="L2374" s="1">
        <v>97764.94</v>
      </c>
      <c r="M2374" s="1" t="str" cm="1">
        <f t="array" ref="M237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74" t="s">
        <v>43</v>
      </c>
      <c r="O2374" t="s">
        <v>354</v>
      </c>
      <c r="P2374" s="2" t="s">
        <v>394</v>
      </c>
      <c r="Q2374">
        <v>1</v>
      </c>
      <c r="R2374" t="s">
        <v>391</v>
      </c>
      <c r="S2374" s="1">
        <f>electric_vehicles_dataset[[#This Row],[Units_Sold_2024]]*electric_vehicles_dataset[[#This Row],[Price_USD]]</f>
        <v>202471190.74000001</v>
      </c>
      <c r="T2374">
        <v>3</v>
      </c>
      <c r="U2374">
        <v>2071</v>
      </c>
      <c r="V2374">
        <v>3</v>
      </c>
    </row>
    <row r="2375" spans="1:22" x14ac:dyDescent="0.35">
      <c r="A2375">
        <v>2374</v>
      </c>
      <c r="B2375" t="s">
        <v>180</v>
      </c>
      <c r="C2375" t="s">
        <v>285</v>
      </c>
      <c r="D2375">
        <v>2021</v>
      </c>
      <c r="E2375" t="s">
        <v>53</v>
      </c>
      <c r="F2375">
        <v>45.4</v>
      </c>
      <c r="G2375" t="s">
        <v>348</v>
      </c>
      <c r="H2375">
        <f>electric_vehicles_dataset[[#This Row],[Battery_Capacity_kWh]]/electric_vehicles_dataset[[#This Row],[Range_km]]</f>
        <v>0.15337837837837837</v>
      </c>
      <c r="I2375">
        <v>296</v>
      </c>
      <c r="J2375" t="s">
        <v>76</v>
      </c>
      <c r="K2375">
        <v>1</v>
      </c>
      <c r="L2375" s="1">
        <v>104154.12</v>
      </c>
      <c r="M2375" s="1" t="str" cm="1">
        <f t="array" ref="M237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75" t="s">
        <v>210</v>
      </c>
      <c r="O2375" t="s">
        <v>33</v>
      </c>
      <c r="P2375" s="2" t="s">
        <v>393</v>
      </c>
      <c r="Q2375">
        <v>1</v>
      </c>
      <c r="R2375" t="s">
        <v>391</v>
      </c>
      <c r="S2375" s="1">
        <f>electric_vehicles_dataset[[#This Row],[Units_Sold_2024]]*electric_vehicles_dataset[[#This Row],[Price_USD]]</f>
        <v>225701978.03999999</v>
      </c>
      <c r="T2375">
        <v>3</v>
      </c>
      <c r="U2375">
        <v>2167</v>
      </c>
      <c r="V2375">
        <v>5</v>
      </c>
    </row>
    <row r="2376" spans="1:22" x14ac:dyDescent="0.35">
      <c r="A2376">
        <v>2375</v>
      </c>
      <c r="B2376" t="s">
        <v>173</v>
      </c>
      <c r="C2376" t="s">
        <v>306</v>
      </c>
      <c r="D2376">
        <v>2019</v>
      </c>
      <c r="E2376" t="s">
        <v>26</v>
      </c>
      <c r="F2376">
        <v>143.6</v>
      </c>
      <c r="G2376" t="s">
        <v>386</v>
      </c>
      <c r="H2376">
        <f>electric_vehicles_dataset[[#This Row],[Battery_Capacity_kWh]]/electric_vehicles_dataset[[#This Row],[Range_km]]</f>
        <v>0.28156862745098038</v>
      </c>
      <c r="I2376">
        <v>510</v>
      </c>
      <c r="J2376" t="s">
        <v>364</v>
      </c>
      <c r="K2376">
        <v>9</v>
      </c>
      <c r="L2376" s="1">
        <v>85306.59</v>
      </c>
      <c r="M2376" s="1" t="str" cm="1">
        <f t="array" ref="M237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76" t="s">
        <v>117</v>
      </c>
      <c r="O2376" t="s">
        <v>164</v>
      </c>
      <c r="P2376" s="2" t="s">
        <v>394</v>
      </c>
      <c r="Q2376">
        <v>2</v>
      </c>
      <c r="R2376" t="s">
        <v>391</v>
      </c>
      <c r="S2376" s="1">
        <f>electric_vehicles_dataset[[#This Row],[Units_Sold_2024]]*electric_vehicles_dataset[[#This Row],[Price_USD]]</f>
        <v>1217666265.6599998</v>
      </c>
      <c r="T2376">
        <v>5</v>
      </c>
      <c r="U2376">
        <v>14274</v>
      </c>
      <c r="V2376">
        <v>5</v>
      </c>
    </row>
    <row r="2377" spans="1:22" x14ac:dyDescent="0.35">
      <c r="A2377">
        <v>2376</v>
      </c>
      <c r="B2377" t="s">
        <v>21</v>
      </c>
      <c r="C2377" t="s">
        <v>363</v>
      </c>
      <c r="D2377">
        <v>2018</v>
      </c>
      <c r="E2377" t="s">
        <v>73</v>
      </c>
      <c r="F2377">
        <v>105.5</v>
      </c>
      <c r="G2377" t="s">
        <v>361</v>
      </c>
      <c r="H2377">
        <f>electric_vehicles_dataset[[#This Row],[Battery_Capacity_kWh]]/electric_vehicles_dataset[[#This Row],[Range_km]]</f>
        <v>0.57650273224043713</v>
      </c>
      <c r="I2377">
        <v>183</v>
      </c>
      <c r="J2377" t="s">
        <v>105</v>
      </c>
      <c r="K2377">
        <v>10</v>
      </c>
      <c r="L2377" s="1">
        <v>83739.72</v>
      </c>
      <c r="M2377" s="1" t="str" cm="1">
        <f t="array" ref="M237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77" t="s">
        <v>117</v>
      </c>
      <c r="O2377" t="s">
        <v>139</v>
      </c>
      <c r="P2377" s="2" t="s">
        <v>389</v>
      </c>
      <c r="Q2377">
        <v>2</v>
      </c>
      <c r="R2377" t="s">
        <v>391</v>
      </c>
      <c r="S2377" s="1">
        <f>electric_vehicles_dataset[[#This Row],[Units_Sold_2024]]*electric_vehicles_dataset[[#This Row],[Price_USD]]</f>
        <v>676198239</v>
      </c>
      <c r="T2377">
        <v>3</v>
      </c>
      <c r="U2377">
        <v>8075</v>
      </c>
      <c r="V2377">
        <v>5</v>
      </c>
    </row>
    <row r="2378" spans="1:22" x14ac:dyDescent="0.35">
      <c r="A2378">
        <v>2377</v>
      </c>
      <c r="B2378" t="s">
        <v>68</v>
      </c>
      <c r="C2378" t="s">
        <v>289</v>
      </c>
      <c r="D2378">
        <v>2016</v>
      </c>
      <c r="E2378" t="s">
        <v>90</v>
      </c>
      <c r="F2378">
        <v>28.1</v>
      </c>
      <c r="G2378" t="s">
        <v>357</v>
      </c>
      <c r="H2378">
        <f>electric_vehicles_dataset[[#This Row],[Battery_Capacity_kWh]]/electric_vehicles_dataset[[#This Row],[Range_km]]</f>
        <v>0.17239263803680982</v>
      </c>
      <c r="I2378">
        <v>163</v>
      </c>
      <c r="J2378" t="s">
        <v>48</v>
      </c>
      <c r="K2378">
        <v>12</v>
      </c>
      <c r="L2378" s="1">
        <v>143859.70000000001</v>
      </c>
      <c r="M2378" s="1" t="str" cm="1">
        <f t="array" ref="M23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78" t="s">
        <v>49</v>
      </c>
      <c r="O2378" t="s">
        <v>50</v>
      </c>
      <c r="P2378" s="2" t="s">
        <v>396</v>
      </c>
      <c r="Q2378">
        <v>3</v>
      </c>
      <c r="R2378" t="s">
        <v>397</v>
      </c>
      <c r="S2378" s="1">
        <f>electric_vehicles_dataset[[#This Row],[Units_Sold_2024]]*electric_vehicles_dataset[[#This Row],[Price_USD]]</f>
        <v>1961383149.8000002</v>
      </c>
      <c r="T2378">
        <v>4</v>
      </c>
      <c r="U2378">
        <v>13634</v>
      </c>
      <c r="V2378">
        <v>3</v>
      </c>
    </row>
    <row r="2379" spans="1:22" x14ac:dyDescent="0.35">
      <c r="A2379">
        <v>2378</v>
      </c>
      <c r="B2379" t="s">
        <v>41</v>
      </c>
      <c r="C2379" t="s">
        <v>148</v>
      </c>
      <c r="D2379">
        <v>2017</v>
      </c>
      <c r="E2379" t="s">
        <v>133</v>
      </c>
      <c r="F2379">
        <v>93.4</v>
      </c>
      <c r="G2379" t="s">
        <v>350</v>
      </c>
      <c r="H2379">
        <f>electric_vehicles_dataset[[#This Row],[Battery_Capacity_kWh]]/electric_vehicles_dataset[[#This Row],[Range_km]]</f>
        <v>0.1958071278825996</v>
      </c>
      <c r="I2379">
        <v>477</v>
      </c>
      <c r="J2379" t="s">
        <v>76</v>
      </c>
      <c r="K2379">
        <v>2</v>
      </c>
      <c r="L2379" s="1">
        <v>34681.26</v>
      </c>
      <c r="M2379" s="1" t="str" cm="1">
        <f t="array" ref="M237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79" t="s">
        <v>240</v>
      </c>
      <c r="O2379" t="s">
        <v>93</v>
      </c>
      <c r="P2379" s="2" t="s">
        <v>389</v>
      </c>
      <c r="Q2379">
        <v>2</v>
      </c>
      <c r="R2379" t="s">
        <v>391</v>
      </c>
      <c r="S2379" s="1">
        <f>electric_vehicles_dataset[[#This Row],[Units_Sold_2024]]*electric_vehicles_dataset[[#This Row],[Price_USD]]</f>
        <v>530345827.92000002</v>
      </c>
      <c r="T2379">
        <v>4</v>
      </c>
      <c r="U2379">
        <v>15292</v>
      </c>
      <c r="V2379">
        <v>3</v>
      </c>
    </row>
    <row r="2380" spans="1:22" x14ac:dyDescent="0.35">
      <c r="A2380">
        <v>2379</v>
      </c>
      <c r="B2380" t="s">
        <v>60</v>
      </c>
      <c r="C2380" t="s">
        <v>342</v>
      </c>
      <c r="D2380">
        <v>2025</v>
      </c>
      <c r="E2380" t="s">
        <v>31</v>
      </c>
      <c r="F2380">
        <v>92.2</v>
      </c>
      <c r="G2380" t="s">
        <v>350</v>
      </c>
      <c r="H2380">
        <f>electric_vehicles_dataset[[#This Row],[Battery_Capacity_kWh]]/electric_vehicles_dataset[[#This Row],[Range_km]]</f>
        <v>0.40438596491228074</v>
      </c>
      <c r="I2380">
        <v>228</v>
      </c>
      <c r="J2380" t="s">
        <v>149</v>
      </c>
      <c r="K2380">
        <v>12</v>
      </c>
      <c r="L2380" s="1">
        <v>66640.039999999994</v>
      </c>
      <c r="M2380" s="1" t="str" cm="1">
        <f t="array" ref="M23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80" t="s">
        <v>246</v>
      </c>
      <c r="O2380" t="s">
        <v>23</v>
      </c>
      <c r="P2380" s="2" t="s">
        <v>389</v>
      </c>
      <c r="Q2380">
        <v>5</v>
      </c>
      <c r="R2380" t="s">
        <v>392</v>
      </c>
      <c r="S2380" s="1">
        <f>electric_vehicles_dataset[[#This Row],[Units_Sold_2024]]*electric_vehicles_dataset[[#This Row],[Price_USD]]</f>
        <v>324803554.95999998</v>
      </c>
      <c r="T2380">
        <v>5</v>
      </c>
      <c r="U2380">
        <v>4874</v>
      </c>
      <c r="V2380">
        <v>3</v>
      </c>
    </row>
    <row r="2381" spans="1:22" x14ac:dyDescent="0.35">
      <c r="A2381">
        <v>2380</v>
      </c>
      <c r="B2381" t="s">
        <v>155</v>
      </c>
      <c r="C2381" t="s">
        <v>190</v>
      </c>
      <c r="D2381">
        <v>2025</v>
      </c>
      <c r="E2381" t="s">
        <v>90</v>
      </c>
      <c r="F2381">
        <v>103.8</v>
      </c>
      <c r="G2381" t="s">
        <v>361</v>
      </c>
      <c r="H2381">
        <f>electric_vehicles_dataset[[#This Row],[Battery_Capacity_kWh]]/electric_vehicles_dataset[[#This Row],[Range_km]]</f>
        <v>0.53782383419689117</v>
      </c>
      <c r="I2381">
        <v>193</v>
      </c>
      <c r="J2381" t="s">
        <v>105</v>
      </c>
      <c r="K2381">
        <v>7</v>
      </c>
      <c r="L2381" s="1">
        <v>96675.45</v>
      </c>
      <c r="M2381" s="1" t="str" cm="1">
        <f t="array" ref="M23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81" t="s">
        <v>81</v>
      </c>
      <c r="O2381" t="s">
        <v>78</v>
      </c>
      <c r="P2381" s="2" t="s">
        <v>389</v>
      </c>
      <c r="Q2381">
        <v>4</v>
      </c>
      <c r="R2381" t="s">
        <v>392</v>
      </c>
      <c r="S2381" s="1">
        <f>electric_vehicles_dataset[[#This Row],[Units_Sold_2024]]*electric_vehicles_dataset[[#This Row],[Price_USD]]</f>
        <v>1925001560.3999999</v>
      </c>
      <c r="T2381">
        <v>3</v>
      </c>
      <c r="U2381">
        <v>19912</v>
      </c>
      <c r="V2381">
        <v>3</v>
      </c>
    </row>
    <row r="2382" spans="1:22" x14ac:dyDescent="0.35">
      <c r="A2382">
        <v>2381</v>
      </c>
      <c r="B2382" t="s">
        <v>192</v>
      </c>
      <c r="C2382" t="s">
        <v>366</v>
      </c>
      <c r="D2382">
        <v>2020</v>
      </c>
      <c r="E2382" t="s">
        <v>17</v>
      </c>
      <c r="F2382">
        <v>81.400000000000006</v>
      </c>
      <c r="G2382" t="s">
        <v>350</v>
      </c>
      <c r="H2382">
        <f>electric_vehicles_dataset[[#This Row],[Battery_Capacity_kWh]]/electric_vehicles_dataset[[#This Row],[Range_km]]</f>
        <v>0.1808888888888889</v>
      </c>
      <c r="I2382">
        <v>450</v>
      </c>
      <c r="J2382" t="s">
        <v>76</v>
      </c>
      <c r="K2382">
        <v>2</v>
      </c>
      <c r="L2382" s="1">
        <v>138136.99</v>
      </c>
      <c r="M2382" s="1" t="str" cm="1">
        <f t="array" ref="M238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82" t="s">
        <v>301</v>
      </c>
      <c r="O2382" t="s">
        <v>118</v>
      </c>
      <c r="P2382" s="2" t="s">
        <v>389</v>
      </c>
      <c r="Q2382">
        <v>4</v>
      </c>
      <c r="R2382" t="s">
        <v>392</v>
      </c>
      <c r="S2382" s="1">
        <f>electric_vehicles_dataset[[#This Row],[Units_Sold_2024]]*electric_vehicles_dataset[[#This Row],[Price_USD]]</f>
        <v>2744920128.29</v>
      </c>
      <c r="T2382">
        <v>5</v>
      </c>
      <c r="U2382">
        <v>19871</v>
      </c>
      <c r="V2382">
        <v>5</v>
      </c>
    </row>
    <row r="2383" spans="1:22" x14ac:dyDescent="0.35">
      <c r="A2383">
        <v>2382</v>
      </c>
      <c r="B2383" t="s">
        <v>234</v>
      </c>
      <c r="C2383" t="s">
        <v>235</v>
      </c>
      <c r="D2383">
        <v>2019</v>
      </c>
      <c r="E2383" t="s">
        <v>47</v>
      </c>
      <c r="F2383">
        <v>57.2</v>
      </c>
      <c r="G2383" t="s">
        <v>348</v>
      </c>
      <c r="H2383">
        <f>electric_vehicles_dataset[[#This Row],[Battery_Capacity_kWh]]/electric_vehicles_dataset[[#This Row],[Range_km]]</f>
        <v>0.33846153846153848</v>
      </c>
      <c r="I2383">
        <v>169</v>
      </c>
      <c r="J2383" t="s">
        <v>345</v>
      </c>
      <c r="K2383">
        <v>3</v>
      </c>
      <c r="L2383" s="1">
        <v>96868.41</v>
      </c>
      <c r="M2383" s="1" t="str" cm="1">
        <f t="array" ref="M238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83" t="s">
        <v>146</v>
      </c>
      <c r="O2383" t="s">
        <v>164</v>
      </c>
      <c r="P2383" s="2" t="s">
        <v>394</v>
      </c>
      <c r="Q2383">
        <v>2</v>
      </c>
      <c r="R2383" t="s">
        <v>391</v>
      </c>
      <c r="S2383" s="1">
        <f>electric_vehicles_dataset[[#This Row],[Units_Sold_2024]]*electric_vehicles_dataset[[#This Row],[Price_USD]]</f>
        <v>1755546194.4300001</v>
      </c>
      <c r="T2383">
        <v>3</v>
      </c>
      <c r="U2383">
        <v>18123</v>
      </c>
      <c r="V2383">
        <v>5</v>
      </c>
    </row>
    <row r="2384" spans="1:22" x14ac:dyDescent="0.35">
      <c r="A2384">
        <v>2383</v>
      </c>
      <c r="B2384" t="s">
        <v>21</v>
      </c>
      <c r="C2384" t="s">
        <v>363</v>
      </c>
      <c r="D2384">
        <v>2025</v>
      </c>
      <c r="E2384" t="s">
        <v>130</v>
      </c>
      <c r="F2384">
        <v>72.7</v>
      </c>
      <c r="G2384" t="s">
        <v>351</v>
      </c>
      <c r="H2384">
        <f>electric_vehicles_dataset[[#This Row],[Battery_Capacity_kWh]]/electric_vehicles_dataset[[#This Row],[Range_km]]</f>
        <v>0.14453280318091452</v>
      </c>
      <c r="I2384">
        <v>503</v>
      </c>
      <c r="J2384" t="s">
        <v>18</v>
      </c>
      <c r="K2384">
        <v>6</v>
      </c>
      <c r="L2384" s="1">
        <v>70018.84</v>
      </c>
      <c r="M2384" s="1" t="str" cm="1">
        <f t="array" ref="M238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84" t="s">
        <v>102</v>
      </c>
      <c r="O2384" t="s">
        <v>78</v>
      </c>
      <c r="P2384" s="2" t="s">
        <v>389</v>
      </c>
      <c r="Q2384">
        <v>0</v>
      </c>
      <c r="R2384" t="s">
        <v>390</v>
      </c>
      <c r="S2384" s="1">
        <f>electric_vehicles_dataset[[#This Row],[Units_Sold_2024]]*electric_vehicles_dataset[[#This Row],[Price_USD]]</f>
        <v>239394413.95999998</v>
      </c>
      <c r="T2384">
        <v>3</v>
      </c>
      <c r="U2384">
        <v>3419</v>
      </c>
      <c r="V2384">
        <v>4</v>
      </c>
    </row>
    <row r="2385" spans="1:22" x14ac:dyDescent="0.35">
      <c r="A2385">
        <v>2384</v>
      </c>
      <c r="B2385" t="s">
        <v>222</v>
      </c>
      <c r="C2385" t="s">
        <v>231</v>
      </c>
      <c r="D2385">
        <v>2018</v>
      </c>
      <c r="E2385" t="s">
        <v>133</v>
      </c>
      <c r="F2385">
        <v>121.3</v>
      </c>
      <c r="G2385" t="s">
        <v>352</v>
      </c>
      <c r="H2385">
        <f>electric_vehicles_dataset[[#This Row],[Battery_Capacity_kWh]]/electric_vehicles_dataset[[#This Row],[Range_km]]</f>
        <v>0.76289308176100623</v>
      </c>
      <c r="I2385">
        <v>159</v>
      </c>
      <c r="J2385" t="s">
        <v>105</v>
      </c>
      <c r="K2385">
        <v>8</v>
      </c>
      <c r="L2385" s="1">
        <v>45983.11</v>
      </c>
      <c r="M2385" s="1" t="str" cm="1">
        <f t="array" ref="M238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85" t="s">
        <v>165</v>
      </c>
      <c r="O2385" t="s">
        <v>164</v>
      </c>
      <c r="P2385" s="2" t="s">
        <v>394</v>
      </c>
      <c r="Q2385">
        <v>2</v>
      </c>
      <c r="R2385" t="s">
        <v>391</v>
      </c>
      <c r="S2385" s="1">
        <f>electric_vehicles_dataset[[#This Row],[Units_Sold_2024]]*electric_vehicles_dataset[[#This Row],[Price_USD]]</f>
        <v>626197991.98000002</v>
      </c>
      <c r="T2385">
        <v>3</v>
      </c>
      <c r="U2385">
        <v>13618</v>
      </c>
      <c r="V2385">
        <v>3</v>
      </c>
    </row>
    <row r="2386" spans="1:22" x14ac:dyDescent="0.35">
      <c r="A2386">
        <v>2385</v>
      </c>
      <c r="B2386" t="s">
        <v>36</v>
      </c>
      <c r="C2386" t="s">
        <v>317</v>
      </c>
      <c r="D2386">
        <v>2023</v>
      </c>
      <c r="E2386" t="s">
        <v>47</v>
      </c>
      <c r="F2386">
        <v>74.5</v>
      </c>
      <c r="G2386" t="s">
        <v>351</v>
      </c>
      <c r="H2386">
        <f>electric_vehicles_dataset[[#This Row],[Battery_Capacity_kWh]]/electric_vehicles_dataset[[#This Row],[Range_km]]</f>
        <v>0.13447653429602888</v>
      </c>
      <c r="I2386">
        <v>554</v>
      </c>
      <c r="J2386" t="s">
        <v>359</v>
      </c>
      <c r="K2386">
        <v>3</v>
      </c>
      <c r="L2386" s="1">
        <v>85124.41</v>
      </c>
      <c r="M2386" s="1" t="str" cm="1">
        <f t="array" ref="M238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86" t="s">
        <v>179</v>
      </c>
      <c r="O2386" t="s">
        <v>134</v>
      </c>
      <c r="P2386" s="2" t="s">
        <v>389</v>
      </c>
      <c r="Q2386">
        <v>2</v>
      </c>
      <c r="R2386" t="s">
        <v>391</v>
      </c>
      <c r="S2386" s="1">
        <f>electric_vehicles_dataset[[#This Row],[Units_Sold_2024]]*electric_vehicles_dataset[[#This Row],[Price_USD]]</f>
        <v>854819325.22000003</v>
      </c>
      <c r="T2386">
        <v>5</v>
      </c>
      <c r="U2386">
        <v>10042</v>
      </c>
      <c r="V2386">
        <v>3</v>
      </c>
    </row>
    <row r="2387" spans="1:22" x14ac:dyDescent="0.35">
      <c r="A2387">
        <v>2386</v>
      </c>
      <c r="B2387" t="s">
        <v>122</v>
      </c>
      <c r="C2387" t="s">
        <v>123</v>
      </c>
      <c r="D2387">
        <v>2017</v>
      </c>
      <c r="E2387" t="s">
        <v>58</v>
      </c>
      <c r="F2387">
        <v>30.1</v>
      </c>
      <c r="G2387" t="s">
        <v>357</v>
      </c>
      <c r="H2387">
        <f>electric_vehicles_dataset[[#This Row],[Battery_Capacity_kWh]]/electric_vehicles_dataset[[#This Row],[Range_km]]</f>
        <v>8.8790560471976407E-2</v>
      </c>
      <c r="I2387">
        <v>339</v>
      </c>
      <c r="J2387" t="s">
        <v>38</v>
      </c>
      <c r="K2387">
        <v>4</v>
      </c>
      <c r="L2387" s="1">
        <v>99103.63</v>
      </c>
      <c r="M2387" s="1" t="str" cm="1">
        <f t="array" ref="M238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87" t="s">
        <v>179</v>
      </c>
      <c r="O2387" t="s">
        <v>182</v>
      </c>
      <c r="P2387" s="2" t="s">
        <v>394</v>
      </c>
      <c r="Q2387">
        <v>5</v>
      </c>
      <c r="R2387" t="s">
        <v>392</v>
      </c>
      <c r="S2387" s="1">
        <f>electric_vehicles_dataset[[#This Row],[Units_Sold_2024]]*electric_vehicles_dataset[[#This Row],[Price_USD]]</f>
        <v>1799721920.8000002</v>
      </c>
      <c r="T2387">
        <v>3</v>
      </c>
      <c r="U2387">
        <v>18160</v>
      </c>
      <c r="V2387">
        <v>5</v>
      </c>
    </row>
    <row r="2388" spans="1:22" x14ac:dyDescent="0.35">
      <c r="A2388">
        <v>2387</v>
      </c>
      <c r="B2388" t="s">
        <v>215</v>
      </c>
      <c r="C2388" t="s">
        <v>377</v>
      </c>
      <c r="D2388">
        <v>2017</v>
      </c>
      <c r="E2388" t="s">
        <v>26</v>
      </c>
      <c r="F2388">
        <v>101.3</v>
      </c>
      <c r="G2388" t="s">
        <v>361</v>
      </c>
      <c r="H2388">
        <f>electric_vehicles_dataset[[#This Row],[Battery_Capacity_kWh]]/electric_vehicles_dataset[[#This Row],[Range_km]]</f>
        <v>0.40039525691699601</v>
      </c>
      <c r="I2388">
        <v>253</v>
      </c>
      <c r="J2388" t="s">
        <v>34</v>
      </c>
      <c r="K2388">
        <v>3</v>
      </c>
      <c r="L2388" s="1">
        <v>43159.28</v>
      </c>
      <c r="M2388" s="1" t="str" cm="1">
        <f t="array" ref="M23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88" t="s">
        <v>165</v>
      </c>
      <c r="O2388" t="s">
        <v>92</v>
      </c>
      <c r="P2388" s="2" t="s">
        <v>394</v>
      </c>
      <c r="Q2388">
        <v>0</v>
      </c>
      <c r="R2388" t="s">
        <v>390</v>
      </c>
      <c r="S2388" s="1">
        <f>electric_vehicles_dataset[[#This Row],[Units_Sold_2024]]*electric_vehicles_dataset[[#This Row],[Price_USD]]</f>
        <v>694519133.75999999</v>
      </c>
      <c r="T2388">
        <v>4</v>
      </c>
      <c r="U2388">
        <v>16092</v>
      </c>
      <c r="V2388">
        <v>5</v>
      </c>
    </row>
    <row r="2389" spans="1:22" x14ac:dyDescent="0.35">
      <c r="A2389">
        <v>2388</v>
      </c>
      <c r="B2389" t="s">
        <v>155</v>
      </c>
      <c r="C2389" t="s">
        <v>156</v>
      </c>
      <c r="D2389">
        <v>2019</v>
      </c>
      <c r="E2389" t="s">
        <v>73</v>
      </c>
      <c r="F2389">
        <v>70.400000000000006</v>
      </c>
      <c r="G2389" t="s">
        <v>351</v>
      </c>
      <c r="H2389">
        <f>electric_vehicles_dataset[[#This Row],[Battery_Capacity_kWh]]/electric_vehicles_dataset[[#This Row],[Range_km]]</f>
        <v>0.36858638743455502</v>
      </c>
      <c r="I2389">
        <v>191</v>
      </c>
      <c r="J2389" t="s">
        <v>345</v>
      </c>
      <c r="K2389">
        <v>3</v>
      </c>
      <c r="L2389" s="1">
        <v>82911.25</v>
      </c>
      <c r="M2389" s="1" t="str" cm="1">
        <f t="array" ref="M23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89" t="s">
        <v>205</v>
      </c>
      <c r="O2389" t="s">
        <v>89</v>
      </c>
      <c r="P2389" s="2" t="s">
        <v>389</v>
      </c>
      <c r="Q2389">
        <v>4</v>
      </c>
      <c r="R2389" t="s">
        <v>392</v>
      </c>
      <c r="S2389" s="1">
        <f>electric_vehicles_dataset[[#This Row],[Units_Sold_2024]]*electric_vehicles_dataset[[#This Row],[Price_USD]]</f>
        <v>1548367593.75</v>
      </c>
      <c r="T2389">
        <v>4</v>
      </c>
      <c r="U2389">
        <v>18675</v>
      </c>
      <c r="V2389">
        <v>3</v>
      </c>
    </row>
    <row r="2390" spans="1:22" x14ac:dyDescent="0.35">
      <c r="A2390">
        <v>2389</v>
      </c>
      <c r="B2390" t="s">
        <v>187</v>
      </c>
      <c r="C2390" t="s">
        <v>302</v>
      </c>
      <c r="D2390">
        <v>2015</v>
      </c>
      <c r="E2390" t="s">
        <v>84</v>
      </c>
      <c r="F2390">
        <v>80.400000000000006</v>
      </c>
      <c r="G2390" t="s">
        <v>350</v>
      </c>
      <c r="H2390">
        <f>electric_vehicles_dataset[[#This Row],[Battery_Capacity_kWh]]/electric_vehicles_dataset[[#This Row],[Range_km]]</f>
        <v>0.15642023346303502</v>
      </c>
      <c r="I2390">
        <v>514</v>
      </c>
      <c r="J2390" t="s">
        <v>48</v>
      </c>
      <c r="K2390">
        <v>4</v>
      </c>
      <c r="L2390" s="1">
        <v>147788.67000000001</v>
      </c>
      <c r="M2390" s="1" t="str" cm="1">
        <f t="array" ref="M239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90" t="s">
        <v>39</v>
      </c>
      <c r="O2390" t="s">
        <v>92</v>
      </c>
      <c r="P2390" s="2" t="s">
        <v>394</v>
      </c>
      <c r="Q2390">
        <v>1</v>
      </c>
      <c r="R2390" t="s">
        <v>391</v>
      </c>
      <c r="S2390" s="1">
        <f>electric_vehicles_dataset[[#This Row],[Units_Sold_2024]]*electric_vehicles_dataset[[#This Row],[Price_USD]]</f>
        <v>859095538.71000004</v>
      </c>
      <c r="T2390">
        <v>5</v>
      </c>
      <c r="U2390">
        <v>5813</v>
      </c>
      <c r="V2390">
        <v>5</v>
      </c>
    </row>
    <row r="2391" spans="1:22" x14ac:dyDescent="0.35">
      <c r="A2391">
        <v>2390</v>
      </c>
      <c r="B2391" t="s">
        <v>87</v>
      </c>
      <c r="C2391" t="s">
        <v>88</v>
      </c>
      <c r="D2391">
        <v>2020</v>
      </c>
      <c r="E2391" t="s">
        <v>130</v>
      </c>
      <c r="F2391">
        <v>125.7</v>
      </c>
      <c r="G2391" t="s">
        <v>352</v>
      </c>
      <c r="H2391">
        <f>electric_vehicles_dataset[[#This Row],[Battery_Capacity_kWh]]/electric_vehicles_dataset[[#This Row],[Range_km]]</f>
        <v>0.3264935064935065</v>
      </c>
      <c r="I2391">
        <v>385</v>
      </c>
      <c r="J2391" t="s">
        <v>85</v>
      </c>
      <c r="K2391">
        <v>4</v>
      </c>
      <c r="L2391" s="1">
        <v>118818.03</v>
      </c>
      <c r="M2391" s="1" t="str" cm="1">
        <f t="array" ref="M239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91" t="s">
        <v>228</v>
      </c>
      <c r="O2391" t="s">
        <v>135</v>
      </c>
      <c r="P2391" s="2" t="s">
        <v>389</v>
      </c>
      <c r="Q2391">
        <v>0</v>
      </c>
      <c r="R2391" t="s">
        <v>390</v>
      </c>
      <c r="S2391" s="1">
        <f>electric_vehicles_dataset[[#This Row],[Units_Sold_2024]]*electric_vehicles_dataset[[#This Row],[Price_USD]]</f>
        <v>928919358.53999996</v>
      </c>
      <c r="T2391">
        <v>4</v>
      </c>
      <c r="U2391">
        <v>7818</v>
      </c>
      <c r="V2391">
        <v>5</v>
      </c>
    </row>
    <row r="2392" spans="1:22" x14ac:dyDescent="0.35">
      <c r="A2392">
        <v>2391</v>
      </c>
      <c r="B2392" t="s">
        <v>173</v>
      </c>
      <c r="C2392" t="s">
        <v>306</v>
      </c>
      <c r="D2392">
        <v>2025</v>
      </c>
      <c r="E2392" t="s">
        <v>73</v>
      </c>
      <c r="F2392">
        <v>127.4</v>
      </c>
      <c r="G2392" t="s">
        <v>352</v>
      </c>
      <c r="H2392">
        <f>electric_vehicles_dataset[[#This Row],[Battery_Capacity_kWh]]/electric_vehicles_dataset[[#This Row],[Range_km]]</f>
        <v>0.43040540540540545</v>
      </c>
      <c r="I2392">
        <v>296</v>
      </c>
      <c r="J2392" t="s">
        <v>85</v>
      </c>
      <c r="K2392">
        <v>4</v>
      </c>
      <c r="L2392" s="1">
        <v>119373.26</v>
      </c>
      <c r="M2392" s="1" t="str" cm="1">
        <f t="array" ref="M23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92" t="s">
        <v>257</v>
      </c>
      <c r="O2392" t="s">
        <v>92</v>
      </c>
      <c r="P2392" s="2" t="s">
        <v>394</v>
      </c>
      <c r="Q2392">
        <v>5</v>
      </c>
      <c r="R2392" t="s">
        <v>392</v>
      </c>
      <c r="S2392" s="1">
        <f>electric_vehicles_dataset[[#This Row],[Units_Sold_2024]]*electric_vehicles_dataset[[#This Row],[Price_USD]]</f>
        <v>2309156341.4400001</v>
      </c>
      <c r="T2392">
        <v>5</v>
      </c>
      <c r="U2392">
        <v>19344</v>
      </c>
      <c r="V2392">
        <v>4</v>
      </c>
    </row>
    <row r="2393" spans="1:22" x14ac:dyDescent="0.35">
      <c r="A2393">
        <v>2392</v>
      </c>
      <c r="B2393" t="s">
        <v>64</v>
      </c>
      <c r="C2393" t="s">
        <v>65</v>
      </c>
      <c r="D2393">
        <v>2021</v>
      </c>
      <c r="E2393" t="s">
        <v>183</v>
      </c>
      <c r="F2393">
        <v>132.4</v>
      </c>
      <c r="G2393" t="s">
        <v>352</v>
      </c>
      <c r="H2393">
        <f>electric_vehicles_dataset[[#This Row],[Battery_Capacity_kWh]]/electric_vehicles_dataset[[#This Row],[Range_km]]</f>
        <v>0.31523809523809526</v>
      </c>
      <c r="I2393">
        <v>420</v>
      </c>
      <c r="J2393" t="s">
        <v>358</v>
      </c>
      <c r="K2393">
        <v>3</v>
      </c>
      <c r="L2393" s="1">
        <v>83504.87</v>
      </c>
      <c r="M2393" s="1" t="str" cm="1">
        <f t="array" ref="M239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93" t="s">
        <v>127</v>
      </c>
      <c r="O2393" t="s">
        <v>139</v>
      </c>
      <c r="P2393" s="2" t="s">
        <v>389</v>
      </c>
      <c r="Q2393">
        <v>5</v>
      </c>
      <c r="R2393" t="s">
        <v>392</v>
      </c>
      <c r="S2393" s="1">
        <f>electric_vehicles_dataset[[#This Row],[Units_Sold_2024]]*electric_vehicles_dataset[[#This Row],[Price_USD]]</f>
        <v>1419749799.74</v>
      </c>
      <c r="T2393">
        <v>3</v>
      </c>
      <c r="U2393">
        <v>17002</v>
      </c>
      <c r="V2393">
        <v>4</v>
      </c>
    </row>
    <row r="2394" spans="1:22" x14ac:dyDescent="0.35">
      <c r="A2394">
        <v>2393</v>
      </c>
      <c r="B2394" t="s">
        <v>157</v>
      </c>
      <c r="C2394" t="s">
        <v>375</v>
      </c>
      <c r="D2394">
        <v>2025</v>
      </c>
      <c r="E2394" t="s">
        <v>84</v>
      </c>
      <c r="F2394">
        <v>70.099999999999994</v>
      </c>
      <c r="G2394" t="s">
        <v>351</v>
      </c>
      <c r="H2394">
        <f>electric_vehicles_dataset[[#This Row],[Battery_Capacity_kWh]]/electric_vehicles_dataset[[#This Row],[Range_km]]</f>
        <v>0.67403846153846148</v>
      </c>
      <c r="I2394">
        <v>104</v>
      </c>
      <c r="J2394" t="s">
        <v>358</v>
      </c>
      <c r="K2394">
        <v>1</v>
      </c>
      <c r="L2394" s="1">
        <v>122729.19</v>
      </c>
      <c r="M2394" s="1" t="str" cm="1">
        <f t="array" ref="M239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94" t="s">
        <v>172</v>
      </c>
      <c r="O2394" t="s">
        <v>20</v>
      </c>
      <c r="P2394" s="2" t="s">
        <v>389</v>
      </c>
      <c r="Q2394">
        <v>0</v>
      </c>
      <c r="R2394" t="s">
        <v>390</v>
      </c>
      <c r="S2394" s="1">
        <f>electric_vehicles_dataset[[#This Row],[Units_Sold_2024]]*electric_vehicles_dataset[[#This Row],[Price_USD]]</f>
        <v>8836501.6799999997</v>
      </c>
      <c r="T2394">
        <v>4</v>
      </c>
      <c r="U2394">
        <v>72</v>
      </c>
      <c r="V2394">
        <v>3</v>
      </c>
    </row>
    <row r="2395" spans="1:22" x14ac:dyDescent="0.35">
      <c r="A2395">
        <v>2394</v>
      </c>
      <c r="B2395" t="s">
        <v>259</v>
      </c>
      <c r="C2395" t="s">
        <v>298</v>
      </c>
      <c r="D2395">
        <v>2016</v>
      </c>
      <c r="E2395" t="s">
        <v>42</v>
      </c>
      <c r="F2395">
        <v>25.7</v>
      </c>
      <c r="G2395" t="s">
        <v>357</v>
      </c>
      <c r="H2395">
        <f>electric_vehicles_dataset[[#This Row],[Battery_Capacity_kWh]]/electric_vehicles_dataset[[#This Row],[Range_km]]</f>
        <v>4.5486725663716816E-2</v>
      </c>
      <c r="I2395">
        <v>565</v>
      </c>
      <c r="J2395" t="s">
        <v>105</v>
      </c>
      <c r="K2395">
        <v>9</v>
      </c>
      <c r="L2395" s="1">
        <v>52469.57</v>
      </c>
      <c r="M2395" s="1" t="str" cm="1">
        <f t="array" ref="M239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395" t="s">
        <v>152</v>
      </c>
      <c r="O2395" t="s">
        <v>23</v>
      </c>
      <c r="P2395" s="2" t="s">
        <v>389</v>
      </c>
      <c r="Q2395">
        <v>4</v>
      </c>
      <c r="R2395" t="s">
        <v>392</v>
      </c>
      <c r="S2395" s="1">
        <f>electric_vehicles_dataset[[#This Row],[Units_Sold_2024]]*electric_vehicles_dataset[[#This Row],[Price_USD]]</f>
        <v>389953844.24000001</v>
      </c>
      <c r="T2395">
        <v>5</v>
      </c>
      <c r="U2395">
        <v>7432</v>
      </c>
      <c r="V2395">
        <v>5</v>
      </c>
    </row>
    <row r="2396" spans="1:22" x14ac:dyDescent="0.35">
      <c r="A2396">
        <v>2395</v>
      </c>
      <c r="B2396" t="s">
        <v>60</v>
      </c>
      <c r="C2396" t="s">
        <v>322</v>
      </c>
      <c r="D2396">
        <v>2017</v>
      </c>
      <c r="E2396" t="s">
        <v>84</v>
      </c>
      <c r="F2396">
        <v>92</v>
      </c>
      <c r="G2396" t="s">
        <v>350</v>
      </c>
      <c r="H2396">
        <f>electric_vehicles_dataset[[#This Row],[Battery_Capacity_kWh]]/electric_vehicles_dataset[[#This Row],[Range_km]]</f>
        <v>0.16606498194945848</v>
      </c>
      <c r="I2396">
        <v>554</v>
      </c>
      <c r="J2396" t="s">
        <v>364</v>
      </c>
      <c r="K2396">
        <v>4</v>
      </c>
      <c r="L2396" s="1">
        <v>114241.95</v>
      </c>
      <c r="M2396" s="1" t="str" cm="1">
        <f t="array" ref="M239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96" t="s">
        <v>114</v>
      </c>
      <c r="O2396" t="s">
        <v>265</v>
      </c>
      <c r="P2396" s="2" t="s">
        <v>389</v>
      </c>
      <c r="Q2396">
        <v>4</v>
      </c>
      <c r="R2396" t="s">
        <v>392</v>
      </c>
      <c r="S2396" s="1">
        <f>electric_vehicles_dataset[[#This Row],[Units_Sold_2024]]*electric_vehicles_dataset[[#This Row],[Price_USD]]</f>
        <v>1425168326.25</v>
      </c>
      <c r="T2396">
        <v>4</v>
      </c>
      <c r="U2396">
        <v>12475</v>
      </c>
      <c r="V2396">
        <v>5</v>
      </c>
    </row>
    <row r="2397" spans="1:22" x14ac:dyDescent="0.35">
      <c r="A2397">
        <v>2396</v>
      </c>
      <c r="B2397" t="s">
        <v>157</v>
      </c>
      <c r="C2397" t="s">
        <v>375</v>
      </c>
      <c r="D2397">
        <v>2022</v>
      </c>
      <c r="E2397" t="s">
        <v>47</v>
      </c>
      <c r="F2397">
        <v>133.80000000000001</v>
      </c>
      <c r="G2397" t="s">
        <v>352</v>
      </c>
      <c r="H2397">
        <f>electric_vehicles_dataset[[#This Row],[Battery_Capacity_kWh]]/electric_vehicles_dataset[[#This Row],[Range_km]]</f>
        <v>0.73114754098360657</v>
      </c>
      <c r="I2397">
        <v>183</v>
      </c>
      <c r="J2397" t="s">
        <v>27</v>
      </c>
      <c r="K2397">
        <v>11</v>
      </c>
      <c r="L2397" s="1">
        <v>107679.76</v>
      </c>
      <c r="M2397" s="1" t="str" cm="1">
        <f t="array" ref="M239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97" t="s">
        <v>179</v>
      </c>
      <c r="O2397" t="s">
        <v>20</v>
      </c>
      <c r="P2397" s="2" t="s">
        <v>389</v>
      </c>
      <c r="Q2397">
        <v>2</v>
      </c>
      <c r="R2397" t="s">
        <v>391</v>
      </c>
      <c r="S2397" s="1">
        <f>electric_vehicles_dataset[[#This Row],[Units_Sold_2024]]*electric_vehicles_dataset[[#This Row],[Price_USD]]</f>
        <v>1678404419.1199999</v>
      </c>
      <c r="T2397">
        <v>5</v>
      </c>
      <c r="U2397">
        <v>15587</v>
      </c>
      <c r="V2397">
        <v>3</v>
      </c>
    </row>
    <row r="2398" spans="1:22" x14ac:dyDescent="0.35">
      <c r="A2398">
        <v>2397</v>
      </c>
      <c r="B2398" t="s">
        <v>262</v>
      </c>
      <c r="C2398" t="s">
        <v>263</v>
      </c>
      <c r="D2398">
        <v>2018</v>
      </c>
      <c r="E2398" t="s">
        <v>17</v>
      </c>
      <c r="F2398">
        <v>129.69999999999999</v>
      </c>
      <c r="G2398" t="s">
        <v>352</v>
      </c>
      <c r="H2398">
        <f>electric_vehicles_dataset[[#This Row],[Battery_Capacity_kWh]]/electric_vehicles_dataset[[#This Row],[Range_km]]</f>
        <v>0.22794376098418276</v>
      </c>
      <c r="I2398">
        <v>569</v>
      </c>
      <c r="J2398" t="s">
        <v>358</v>
      </c>
      <c r="K2398">
        <v>1</v>
      </c>
      <c r="L2398" s="1">
        <v>147570.67000000001</v>
      </c>
      <c r="M2398" s="1" t="str" cm="1">
        <f t="array" ref="M239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398" t="s">
        <v>98</v>
      </c>
      <c r="O2398" t="s">
        <v>33</v>
      </c>
      <c r="P2398" s="2" t="s">
        <v>393</v>
      </c>
      <c r="Q2398">
        <v>5</v>
      </c>
      <c r="R2398" t="s">
        <v>392</v>
      </c>
      <c r="S2398" s="1">
        <f>electric_vehicles_dataset[[#This Row],[Units_Sold_2024]]*electric_vehicles_dataset[[#This Row],[Price_USD]]</f>
        <v>2899468524.1600003</v>
      </c>
      <c r="T2398">
        <v>5</v>
      </c>
      <c r="U2398">
        <v>19648</v>
      </c>
      <c r="V2398">
        <v>4</v>
      </c>
    </row>
    <row r="2399" spans="1:22" x14ac:dyDescent="0.35">
      <c r="A2399">
        <v>2398</v>
      </c>
      <c r="B2399" t="s">
        <v>45</v>
      </c>
      <c r="C2399" t="s">
        <v>283</v>
      </c>
      <c r="D2399">
        <v>2025</v>
      </c>
      <c r="E2399" t="s">
        <v>130</v>
      </c>
      <c r="F2399">
        <v>110.7</v>
      </c>
      <c r="G2399" t="s">
        <v>361</v>
      </c>
      <c r="H2399">
        <f>electric_vehicles_dataset[[#This Row],[Battery_Capacity_kWh]]/electric_vehicles_dataset[[#This Row],[Range_km]]</f>
        <v>0.52966507177033495</v>
      </c>
      <c r="I2399">
        <v>209</v>
      </c>
      <c r="J2399" t="s">
        <v>356</v>
      </c>
      <c r="K2399">
        <v>9</v>
      </c>
      <c r="L2399" s="1">
        <v>103056.52</v>
      </c>
      <c r="M2399" s="1" t="str" cm="1">
        <f t="array" ref="M239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399" t="s">
        <v>177</v>
      </c>
      <c r="O2399" t="s">
        <v>167</v>
      </c>
      <c r="P2399" s="2" t="s">
        <v>394</v>
      </c>
      <c r="Q2399">
        <v>2</v>
      </c>
      <c r="R2399" t="s">
        <v>391</v>
      </c>
      <c r="S2399" s="1">
        <f>electric_vehicles_dataset[[#This Row],[Units_Sold_2024]]*electric_vehicles_dataset[[#This Row],[Price_USD]]</f>
        <v>2028873709.24</v>
      </c>
      <c r="T2399">
        <v>4</v>
      </c>
      <c r="U2399">
        <v>19687</v>
      </c>
      <c r="V2399">
        <v>5</v>
      </c>
    </row>
    <row r="2400" spans="1:22" x14ac:dyDescent="0.35">
      <c r="A2400">
        <v>2399</v>
      </c>
      <c r="B2400" t="s">
        <v>82</v>
      </c>
      <c r="C2400" t="s">
        <v>83</v>
      </c>
      <c r="D2400">
        <v>2021</v>
      </c>
      <c r="E2400" t="s">
        <v>130</v>
      </c>
      <c r="F2400">
        <v>76.5</v>
      </c>
      <c r="G2400" t="s">
        <v>351</v>
      </c>
      <c r="H2400">
        <f>electric_vehicles_dataset[[#This Row],[Battery_Capacity_kWh]]/electric_vehicles_dataset[[#This Row],[Range_km]]</f>
        <v>0.22500000000000001</v>
      </c>
      <c r="I2400">
        <v>340</v>
      </c>
      <c r="J2400" t="s">
        <v>54</v>
      </c>
      <c r="K2400">
        <v>9</v>
      </c>
      <c r="L2400" s="1">
        <v>41964.6</v>
      </c>
      <c r="M2400" s="1" t="str" cm="1">
        <f t="array" ref="M240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00" t="s">
        <v>165</v>
      </c>
      <c r="O2400" t="s">
        <v>167</v>
      </c>
      <c r="P2400" s="2" t="s">
        <v>394</v>
      </c>
      <c r="Q2400">
        <v>2</v>
      </c>
      <c r="R2400" t="s">
        <v>391</v>
      </c>
      <c r="S2400" s="1">
        <f>electric_vehicles_dataset[[#This Row],[Units_Sold_2024]]*electric_vehicles_dataset[[#This Row],[Price_USD]]</f>
        <v>6084867</v>
      </c>
      <c r="T2400">
        <v>4</v>
      </c>
      <c r="U2400">
        <v>145</v>
      </c>
      <c r="V2400">
        <v>4</v>
      </c>
    </row>
    <row r="2401" spans="1:22" x14ac:dyDescent="0.35">
      <c r="A2401">
        <v>2400</v>
      </c>
      <c r="B2401" t="s">
        <v>241</v>
      </c>
      <c r="C2401" t="s">
        <v>286</v>
      </c>
      <c r="D2401">
        <v>2024</v>
      </c>
      <c r="E2401" t="s">
        <v>84</v>
      </c>
      <c r="F2401">
        <v>146.80000000000001</v>
      </c>
      <c r="G2401" t="s">
        <v>386</v>
      </c>
      <c r="H2401">
        <f>electric_vehicles_dataset[[#This Row],[Battery_Capacity_kWh]]/electric_vehicles_dataset[[#This Row],[Range_km]]</f>
        <v>0.53576642335766422</v>
      </c>
      <c r="I2401">
        <v>274</v>
      </c>
      <c r="J2401" t="s">
        <v>358</v>
      </c>
      <c r="K2401">
        <v>9</v>
      </c>
      <c r="L2401" s="1">
        <v>134948.72</v>
      </c>
      <c r="M2401" s="1" t="str" cm="1">
        <f t="array" ref="M24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01" t="s">
        <v>212</v>
      </c>
      <c r="O2401" t="s">
        <v>202</v>
      </c>
      <c r="P2401" s="2" t="s">
        <v>393</v>
      </c>
      <c r="Q2401">
        <v>5</v>
      </c>
      <c r="R2401" t="s">
        <v>392</v>
      </c>
      <c r="S2401" s="1">
        <f>electric_vehicles_dataset[[#This Row],[Units_Sold_2024]]*electric_vehicles_dataset[[#This Row],[Price_USD]]</f>
        <v>1881590002.96</v>
      </c>
      <c r="T2401">
        <v>4</v>
      </c>
      <c r="U2401">
        <v>13943</v>
      </c>
      <c r="V2401">
        <v>5</v>
      </c>
    </row>
    <row r="2402" spans="1:22" x14ac:dyDescent="0.35">
      <c r="A2402">
        <v>2401</v>
      </c>
      <c r="B2402" t="s">
        <v>79</v>
      </c>
      <c r="C2402" t="s">
        <v>151</v>
      </c>
      <c r="D2402">
        <v>2021</v>
      </c>
      <c r="E2402" t="s">
        <v>31</v>
      </c>
      <c r="F2402">
        <v>66.400000000000006</v>
      </c>
      <c r="G2402" t="s">
        <v>351</v>
      </c>
      <c r="H2402">
        <f>electric_vehicles_dataset[[#This Row],[Battery_Capacity_kWh]]/electric_vehicles_dataset[[#This Row],[Range_km]]</f>
        <v>0.14887892376681616</v>
      </c>
      <c r="I2402">
        <v>446</v>
      </c>
      <c r="J2402" t="s">
        <v>345</v>
      </c>
      <c r="K2402">
        <v>11</v>
      </c>
      <c r="L2402" s="1">
        <v>77135.5</v>
      </c>
      <c r="M2402" s="1" t="str" cm="1">
        <f t="array" ref="M24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02" t="s">
        <v>214</v>
      </c>
      <c r="O2402" t="s">
        <v>89</v>
      </c>
      <c r="P2402" s="2" t="s">
        <v>389</v>
      </c>
      <c r="Q2402">
        <v>1</v>
      </c>
      <c r="R2402" t="s">
        <v>391</v>
      </c>
      <c r="S2402" s="1">
        <f>electric_vehicles_dataset[[#This Row],[Units_Sold_2024]]*electric_vehicles_dataset[[#This Row],[Price_USD]]</f>
        <v>735409857</v>
      </c>
      <c r="T2402">
        <v>4</v>
      </c>
      <c r="U2402">
        <v>9534</v>
      </c>
      <c r="V2402">
        <v>3</v>
      </c>
    </row>
    <row r="2403" spans="1:22" x14ac:dyDescent="0.35">
      <c r="A2403">
        <v>2402</v>
      </c>
      <c r="B2403" t="s">
        <v>24</v>
      </c>
      <c r="C2403" t="s">
        <v>328</v>
      </c>
      <c r="D2403">
        <v>2025</v>
      </c>
      <c r="E2403" t="s">
        <v>101</v>
      </c>
      <c r="F2403">
        <v>69.400000000000006</v>
      </c>
      <c r="G2403" t="s">
        <v>351</v>
      </c>
      <c r="H2403">
        <f>electric_vehicles_dataset[[#This Row],[Battery_Capacity_kWh]]/electric_vehicles_dataset[[#This Row],[Range_km]]</f>
        <v>0.13119092627599244</v>
      </c>
      <c r="I2403">
        <v>529</v>
      </c>
      <c r="J2403" t="s">
        <v>54</v>
      </c>
      <c r="K2403">
        <v>11</v>
      </c>
      <c r="L2403" s="1">
        <v>93167.64</v>
      </c>
      <c r="M2403" s="1" t="str" cm="1">
        <f t="array" ref="M240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03" t="s">
        <v>81</v>
      </c>
      <c r="O2403" t="s">
        <v>150</v>
      </c>
      <c r="P2403" s="2" t="s">
        <v>389</v>
      </c>
      <c r="Q2403">
        <v>2</v>
      </c>
      <c r="R2403" t="s">
        <v>391</v>
      </c>
      <c r="S2403" s="1">
        <f>electric_vehicles_dataset[[#This Row],[Units_Sold_2024]]*electric_vehicles_dataset[[#This Row],[Price_USD]]</f>
        <v>1065558298.6799999</v>
      </c>
      <c r="T2403">
        <v>4</v>
      </c>
      <c r="U2403">
        <v>11437</v>
      </c>
      <c r="V2403">
        <v>5</v>
      </c>
    </row>
    <row r="2404" spans="1:22" x14ac:dyDescent="0.35">
      <c r="A2404">
        <v>2403</v>
      </c>
      <c r="B2404" t="s">
        <v>16</v>
      </c>
      <c r="C2404" t="s">
        <v>347</v>
      </c>
      <c r="D2404">
        <v>2020</v>
      </c>
      <c r="E2404" t="s">
        <v>42</v>
      </c>
      <c r="F2404">
        <v>68.599999999999994</v>
      </c>
      <c r="G2404" t="s">
        <v>351</v>
      </c>
      <c r="H2404">
        <f>electric_vehicles_dataset[[#This Row],[Battery_Capacity_kWh]]/electric_vehicles_dataset[[#This Row],[Range_km]]</f>
        <v>0.25220588235294117</v>
      </c>
      <c r="I2404">
        <v>272</v>
      </c>
      <c r="J2404" t="s">
        <v>85</v>
      </c>
      <c r="K2404">
        <v>10</v>
      </c>
      <c r="L2404" s="1">
        <v>106909.17</v>
      </c>
      <c r="M2404" s="1" t="str" cm="1">
        <f t="array" ref="M240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04" t="s">
        <v>152</v>
      </c>
      <c r="O2404" t="s">
        <v>40</v>
      </c>
      <c r="P2404" s="2" t="s">
        <v>395</v>
      </c>
      <c r="Q2404">
        <v>4</v>
      </c>
      <c r="R2404" t="s">
        <v>392</v>
      </c>
      <c r="S2404" s="1">
        <f>electric_vehicles_dataset[[#This Row],[Units_Sold_2024]]*electric_vehicles_dataset[[#This Row],[Price_USD]]</f>
        <v>1461982899.75</v>
      </c>
      <c r="T2404">
        <v>5</v>
      </c>
      <c r="U2404">
        <v>13675</v>
      </c>
      <c r="V2404">
        <v>5</v>
      </c>
    </row>
    <row r="2405" spans="1:22" x14ac:dyDescent="0.35">
      <c r="A2405">
        <v>2404</v>
      </c>
      <c r="B2405" t="s">
        <v>187</v>
      </c>
      <c r="C2405" t="s">
        <v>319</v>
      </c>
      <c r="D2405">
        <v>2022</v>
      </c>
      <c r="E2405" t="s">
        <v>53</v>
      </c>
      <c r="F2405">
        <v>49.1</v>
      </c>
      <c r="G2405" t="s">
        <v>348</v>
      </c>
      <c r="H2405">
        <f>electric_vehicles_dataset[[#This Row],[Battery_Capacity_kWh]]/electric_vehicles_dataset[[#This Row],[Range_km]]</f>
        <v>8.9598540145985409E-2</v>
      </c>
      <c r="I2405">
        <v>548</v>
      </c>
      <c r="J2405" t="s">
        <v>105</v>
      </c>
      <c r="K2405">
        <v>7</v>
      </c>
      <c r="L2405" s="1">
        <v>119938.14</v>
      </c>
      <c r="M2405" s="1" t="str" cm="1">
        <f t="array" ref="M240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05" t="s">
        <v>254</v>
      </c>
      <c r="O2405" t="s">
        <v>202</v>
      </c>
      <c r="P2405" s="2" t="s">
        <v>393</v>
      </c>
      <c r="Q2405">
        <v>5</v>
      </c>
      <c r="R2405" t="s">
        <v>392</v>
      </c>
      <c r="S2405" s="1">
        <f>electric_vehicles_dataset[[#This Row],[Units_Sold_2024]]*electric_vehicles_dataset[[#This Row],[Price_USD]]</f>
        <v>670214326.32000005</v>
      </c>
      <c r="T2405">
        <v>4</v>
      </c>
      <c r="U2405">
        <v>5588</v>
      </c>
      <c r="V2405">
        <v>4</v>
      </c>
    </row>
    <row r="2406" spans="1:22" x14ac:dyDescent="0.35">
      <c r="A2406">
        <v>2405</v>
      </c>
      <c r="B2406" t="s">
        <v>241</v>
      </c>
      <c r="C2406" t="s">
        <v>247</v>
      </c>
      <c r="D2406">
        <v>2023</v>
      </c>
      <c r="E2406" t="s">
        <v>26</v>
      </c>
      <c r="F2406">
        <v>57.8</v>
      </c>
      <c r="G2406" t="s">
        <v>348</v>
      </c>
      <c r="H2406">
        <f>electric_vehicles_dataset[[#This Row],[Battery_Capacity_kWh]]/electric_vehicles_dataset[[#This Row],[Range_km]]</f>
        <v>0.17305389221556886</v>
      </c>
      <c r="I2406">
        <v>334</v>
      </c>
      <c r="J2406" t="s">
        <v>27</v>
      </c>
      <c r="K2406">
        <v>1</v>
      </c>
      <c r="L2406" s="1">
        <v>89012.86</v>
      </c>
      <c r="M2406" s="1" t="str" cm="1">
        <f t="array" ref="M240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06" t="s">
        <v>146</v>
      </c>
      <c r="O2406" t="s">
        <v>23</v>
      </c>
      <c r="P2406" s="2" t="s">
        <v>389</v>
      </c>
      <c r="Q2406">
        <v>3</v>
      </c>
      <c r="R2406" t="s">
        <v>397</v>
      </c>
      <c r="S2406" s="1">
        <f>electric_vehicles_dataset[[#This Row],[Units_Sold_2024]]*electric_vehicles_dataset[[#This Row],[Price_USD]]</f>
        <v>798445354.20000005</v>
      </c>
      <c r="T2406">
        <v>3</v>
      </c>
      <c r="U2406">
        <v>8970</v>
      </c>
      <c r="V2406">
        <v>5</v>
      </c>
    </row>
    <row r="2407" spans="1:22" x14ac:dyDescent="0.35">
      <c r="A2407">
        <v>2406</v>
      </c>
      <c r="B2407" t="s">
        <v>94</v>
      </c>
      <c r="C2407" t="s">
        <v>294</v>
      </c>
      <c r="D2407">
        <v>2020</v>
      </c>
      <c r="E2407" t="s">
        <v>53</v>
      </c>
      <c r="F2407">
        <v>41.1</v>
      </c>
      <c r="G2407" t="s">
        <v>348</v>
      </c>
      <c r="H2407">
        <f>electric_vehicles_dataset[[#This Row],[Battery_Capacity_kWh]]/electric_vehicles_dataset[[#This Row],[Range_km]]</f>
        <v>8.1872509960159365E-2</v>
      </c>
      <c r="I2407">
        <v>502</v>
      </c>
      <c r="J2407" t="s">
        <v>34</v>
      </c>
      <c r="K2407">
        <v>6</v>
      </c>
      <c r="L2407" s="1">
        <v>111437.23</v>
      </c>
      <c r="M2407" s="1" t="str" cm="1">
        <f t="array" ref="M240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07" t="s">
        <v>98</v>
      </c>
      <c r="O2407" t="s">
        <v>182</v>
      </c>
      <c r="P2407" s="2" t="s">
        <v>394</v>
      </c>
      <c r="Q2407">
        <v>1</v>
      </c>
      <c r="R2407" t="s">
        <v>391</v>
      </c>
      <c r="S2407" s="1">
        <f>electric_vehicles_dataset[[#This Row],[Units_Sold_2024]]*electric_vehicles_dataset[[#This Row],[Price_USD]]</f>
        <v>1239404872.0599999</v>
      </c>
      <c r="T2407">
        <v>5</v>
      </c>
      <c r="U2407">
        <v>11122</v>
      </c>
      <c r="V2407">
        <v>4</v>
      </c>
    </row>
    <row r="2408" spans="1:22" x14ac:dyDescent="0.35">
      <c r="A2408">
        <v>2407</v>
      </c>
      <c r="B2408" t="s">
        <v>108</v>
      </c>
      <c r="C2408" t="s">
        <v>325</v>
      </c>
      <c r="D2408">
        <v>2015</v>
      </c>
      <c r="E2408" t="s">
        <v>84</v>
      </c>
      <c r="F2408">
        <v>92.8</v>
      </c>
      <c r="G2408" t="s">
        <v>350</v>
      </c>
      <c r="H2408">
        <f>electric_vehicles_dataset[[#This Row],[Battery_Capacity_kWh]]/electric_vehicles_dataset[[#This Row],[Range_km]]</f>
        <v>0.1901639344262295</v>
      </c>
      <c r="I2408">
        <v>488</v>
      </c>
      <c r="J2408" t="s">
        <v>364</v>
      </c>
      <c r="K2408">
        <v>4</v>
      </c>
      <c r="L2408" s="1">
        <v>115739.84</v>
      </c>
      <c r="M2408" s="1" t="str" cm="1">
        <f t="array" ref="M24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08" t="s">
        <v>131</v>
      </c>
      <c r="O2408" t="s">
        <v>265</v>
      </c>
      <c r="P2408" s="2" t="s">
        <v>389</v>
      </c>
      <c r="Q2408">
        <v>1</v>
      </c>
      <c r="R2408" t="s">
        <v>391</v>
      </c>
      <c r="S2408" s="1">
        <f>electric_vehicles_dataset[[#This Row],[Units_Sold_2024]]*electric_vehicles_dataset[[#This Row],[Price_USD]]</f>
        <v>839576799.36000001</v>
      </c>
      <c r="T2408">
        <v>4</v>
      </c>
      <c r="U2408">
        <v>7254</v>
      </c>
      <c r="V2408">
        <v>5</v>
      </c>
    </row>
    <row r="2409" spans="1:22" x14ac:dyDescent="0.35">
      <c r="A2409">
        <v>2408</v>
      </c>
      <c r="B2409" t="s">
        <v>82</v>
      </c>
      <c r="C2409" t="s">
        <v>281</v>
      </c>
      <c r="D2409">
        <v>2016</v>
      </c>
      <c r="E2409" t="s">
        <v>17</v>
      </c>
      <c r="F2409">
        <v>149.1</v>
      </c>
      <c r="G2409" t="s">
        <v>386</v>
      </c>
      <c r="H2409">
        <f>electric_vehicles_dataset[[#This Row],[Battery_Capacity_kWh]]/electric_vehicles_dataset[[#This Row],[Range_km]]</f>
        <v>0.3350561797752809</v>
      </c>
      <c r="I2409">
        <v>445</v>
      </c>
      <c r="J2409" t="s">
        <v>356</v>
      </c>
      <c r="K2409">
        <v>5</v>
      </c>
      <c r="L2409" s="1">
        <v>59718.93</v>
      </c>
      <c r="M2409" s="1" t="str" cm="1">
        <f t="array" ref="M240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09" t="s">
        <v>177</v>
      </c>
      <c r="O2409" t="s">
        <v>118</v>
      </c>
      <c r="P2409" s="2" t="s">
        <v>389</v>
      </c>
      <c r="Q2409">
        <v>0</v>
      </c>
      <c r="R2409" t="s">
        <v>390</v>
      </c>
      <c r="S2409" s="1">
        <f>electric_vehicles_dataset[[#This Row],[Units_Sold_2024]]*electric_vehicles_dataset[[#This Row],[Price_USD]]</f>
        <v>327916644.63</v>
      </c>
      <c r="T2409">
        <v>5</v>
      </c>
      <c r="U2409">
        <v>5491</v>
      </c>
      <c r="V2409">
        <v>3</v>
      </c>
    </row>
    <row r="2410" spans="1:22" x14ac:dyDescent="0.35">
      <c r="A2410">
        <v>2409</v>
      </c>
      <c r="B2410" t="s">
        <v>122</v>
      </c>
      <c r="C2410" t="s">
        <v>186</v>
      </c>
      <c r="D2410">
        <v>2023</v>
      </c>
      <c r="E2410" t="s">
        <v>104</v>
      </c>
      <c r="F2410">
        <v>38.299999999999997</v>
      </c>
      <c r="G2410" t="s">
        <v>357</v>
      </c>
      <c r="H2410">
        <f>electric_vehicles_dataset[[#This Row],[Battery_Capacity_kWh]]/electric_vehicles_dataset[[#This Row],[Range_km]]</f>
        <v>0.12640264026402639</v>
      </c>
      <c r="I2410">
        <v>303</v>
      </c>
      <c r="J2410" t="s">
        <v>353</v>
      </c>
      <c r="K2410">
        <v>3</v>
      </c>
      <c r="L2410" s="1">
        <v>136217.28</v>
      </c>
      <c r="M2410" s="1" t="str" cm="1">
        <f t="array" ref="M241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10" t="s">
        <v>228</v>
      </c>
      <c r="O2410" t="s">
        <v>92</v>
      </c>
      <c r="P2410" s="2" t="s">
        <v>394</v>
      </c>
      <c r="Q2410">
        <v>3</v>
      </c>
      <c r="R2410" t="s">
        <v>397</v>
      </c>
      <c r="S2410" s="1">
        <f>electric_vehicles_dataset[[#This Row],[Units_Sold_2024]]*electric_vehicles_dataset[[#This Row],[Price_USD]]</f>
        <v>2326727359.6799998</v>
      </c>
      <c r="T2410">
        <v>3</v>
      </c>
      <c r="U2410">
        <v>17081</v>
      </c>
      <c r="V2410">
        <v>3</v>
      </c>
    </row>
    <row r="2411" spans="1:22" x14ac:dyDescent="0.35">
      <c r="A2411">
        <v>2410</v>
      </c>
      <c r="B2411" t="s">
        <v>224</v>
      </c>
      <c r="C2411" t="s">
        <v>303</v>
      </c>
      <c r="D2411">
        <v>2020</v>
      </c>
      <c r="E2411" t="s">
        <v>90</v>
      </c>
      <c r="F2411">
        <v>136.1</v>
      </c>
      <c r="G2411" t="s">
        <v>352</v>
      </c>
      <c r="H2411">
        <f>electric_vehicles_dataset[[#This Row],[Battery_Capacity_kWh]]/electric_vehicles_dataset[[#This Row],[Range_km]]</f>
        <v>0.69438775510204076</v>
      </c>
      <c r="I2411">
        <v>196</v>
      </c>
      <c r="J2411" t="s">
        <v>359</v>
      </c>
      <c r="K2411">
        <v>9</v>
      </c>
      <c r="L2411" s="1">
        <v>34928.019999999997</v>
      </c>
      <c r="M2411" s="1" t="str" cm="1">
        <f t="array" ref="M241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11" t="s">
        <v>175</v>
      </c>
      <c r="O2411" t="s">
        <v>118</v>
      </c>
      <c r="P2411" s="2" t="s">
        <v>389</v>
      </c>
      <c r="Q2411">
        <v>3</v>
      </c>
      <c r="R2411" t="s">
        <v>397</v>
      </c>
      <c r="S2411" s="1">
        <f>electric_vehicles_dataset[[#This Row],[Units_Sold_2024]]*electric_vehicles_dataset[[#This Row],[Price_USD]]</f>
        <v>55221199.619999997</v>
      </c>
      <c r="T2411">
        <v>4</v>
      </c>
      <c r="U2411">
        <v>1581</v>
      </c>
      <c r="V2411">
        <v>3</v>
      </c>
    </row>
    <row r="2412" spans="1:22" x14ac:dyDescent="0.35">
      <c r="A2412">
        <v>2411</v>
      </c>
      <c r="B2412" t="s">
        <v>112</v>
      </c>
      <c r="C2412" t="s">
        <v>237</v>
      </c>
      <c r="D2412">
        <v>2025</v>
      </c>
      <c r="E2412" t="s">
        <v>31</v>
      </c>
      <c r="F2412">
        <v>28</v>
      </c>
      <c r="G2412" t="s">
        <v>357</v>
      </c>
      <c r="H2412">
        <f>electric_vehicles_dataset[[#This Row],[Battery_Capacity_kWh]]/electric_vehicles_dataset[[#This Row],[Range_km]]</f>
        <v>5.4158607350096713E-2</v>
      </c>
      <c r="I2412">
        <v>517</v>
      </c>
      <c r="J2412" t="s">
        <v>149</v>
      </c>
      <c r="K2412">
        <v>4</v>
      </c>
      <c r="L2412" s="1">
        <v>40420.46</v>
      </c>
      <c r="M2412" s="1" t="str" cm="1">
        <f t="array" ref="M241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12" t="s">
        <v>39</v>
      </c>
      <c r="O2412" t="s">
        <v>111</v>
      </c>
      <c r="P2412" s="2" t="s">
        <v>389</v>
      </c>
      <c r="Q2412">
        <v>5</v>
      </c>
      <c r="R2412" t="s">
        <v>392</v>
      </c>
      <c r="S2412" s="1">
        <f>electric_vehicles_dataset[[#This Row],[Units_Sold_2024]]*electric_vehicles_dataset[[#This Row],[Price_USD]]</f>
        <v>239369964.12</v>
      </c>
      <c r="T2412">
        <v>5</v>
      </c>
      <c r="U2412">
        <v>5922</v>
      </c>
      <c r="V2412">
        <v>5</v>
      </c>
    </row>
    <row r="2413" spans="1:22" x14ac:dyDescent="0.35">
      <c r="A2413">
        <v>2412</v>
      </c>
      <c r="B2413" t="s">
        <v>144</v>
      </c>
      <c r="C2413" t="s">
        <v>273</v>
      </c>
      <c r="D2413">
        <v>2016</v>
      </c>
      <c r="E2413" t="s">
        <v>31</v>
      </c>
      <c r="F2413">
        <v>81.3</v>
      </c>
      <c r="G2413" t="s">
        <v>350</v>
      </c>
      <c r="H2413">
        <f>electric_vehicles_dataset[[#This Row],[Battery_Capacity_kWh]]/electric_vehicles_dataset[[#This Row],[Range_km]]</f>
        <v>0.21227154046997387</v>
      </c>
      <c r="I2413">
        <v>383</v>
      </c>
      <c r="J2413" t="s">
        <v>27</v>
      </c>
      <c r="K2413">
        <v>9</v>
      </c>
      <c r="L2413" s="1">
        <v>112098.42</v>
      </c>
      <c r="M2413" s="1" t="str" cm="1">
        <f t="array" ref="M241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13" t="s">
        <v>228</v>
      </c>
      <c r="O2413" t="s">
        <v>95</v>
      </c>
      <c r="P2413" s="2" t="s">
        <v>394</v>
      </c>
      <c r="Q2413">
        <v>3</v>
      </c>
      <c r="R2413" t="s">
        <v>397</v>
      </c>
      <c r="S2413" s="1">
        <f>electric_vehicles_dataset[[#This Row],[Units_Sold_2024]]*electric_vehicles_dataset[[#This Row],[Price_USD]]</f>
        <v>1831688182.8</v>
      </c>
      <c r="T2413">
        <v>4</v>
      </c>
      <c r="U2413">
        <v>16340</v>
      </c>
      <c r="V2413">
        <v>4</v>
      </c>
    </row>
    <row r="2414" spans="1:22" x14ac:dyDescent="0.35">
      <c r="A2414">
        <v>2413</v>
      </c>
      <c r="B2414" t="s">
        <v>170</v>
      </c>
      <c r="C2414" t="s">
        <v>275</v>
      </c>
      <c r="D2414">
        <v>2022</v>
      </c>
      <c r="E2414" t="s">
        <v>31</v>
      </c>
      <c r="F2414">
        <v>130.9</v>
      </c>
      <c r="G2414" t="s">
        <v>352</v>
      </c>
      <c r="H2414">
        <f>electric_vehicles_dataset[[#This Row],[Battery_Capacity_kWh]]/electric_vehicles_dataset[[#This Row],[Range_km]]</f>
        <v>0.47600000000000003</v>
      </c>
      <c r="I2414">
        <v>275</v>
      </c>
      <c r="J2414" t="s">
        <v>345</v>
      </c>
      <c r="K2414">
        <v>5</v>
      </c>
      <c r="L2414" s="1">
        <v>72849.66</v>
      </c>
      <c r="M2414" s="1" t="str" cm="1">
        <f t="array" ref="M241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14" t="s">
        <v>127</v>
      </c>
      <c r="O2414" t="s">
        <v>50</v>
      </c>
      <c r="P2414" s="2" t="s">
        <v>396</v>
      </c>
      <c r="Q2414">
        <v>0</v>
      </c>
      <c r="R2414" t="s">
        <v>390</v>
      </c>
      <c r="S2414" s="1">
        <f>electric_vehicles_dataset[[#This Row],[Units_Sold_2024]]*electric_vehicles_dataset[[#This Row],[Price_USD]]</f>
        <v>264517115.46000001</v>
      </c>
      <c r="T2414">
        <v>5</v>
      </c>
      <c r="U2414">
        <v>3631</v>
      </c>
      <c r="V2414">
        <v>5</v>
      </c>
    </row>
    <row r="2415" spans="1:22" x14ac:dyDescent="0.35">
      <c r="A2415">
        <v>2414</v>
      </c>
      <c r="B2415" t="s">
        <v>313</v>
      </c>
      <c r="C2415" t="s">
        <v>314</v>
      </c>
      <c r="D2415">
        <v>2018</v>
      </c>
      <c r="E2415" t="s">
        <v>104</v>
      </c>
      <c r="F2415">
        <v>120.3</v>
      </c>
      <c r="G2415" t="s">
        <v>352</v>
      </c>
      <c r="H2415">
        <f>electric_vehicles_dataset[[#This Row],[Battery_Capacity_kWh]]/electric_vehicles_dataset[[#This Row],[Range_km]]</f>
        <v>0.25650319829424306</v>
      </c>
      <c r="I2415">
        <v>469</v>
      </c>
      <c r="J2415" t="s">
        <v>48</v>
      </c>
      <c r="K2415">
        <v>2</v>
      </c>
      <c r="L2415" s="1">
        <v>36062.629999999997</v>
      </c>
      <c r="M2415" s="1" t="str" cm="1">
        <f t="array" ref="M241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15" t="s">
        <v>28</v>
      </c>
      <c r="O2415" t="s">
        <v>118</v>
      </c>
      <c r="P2415" s="2" t="s">
        <v>389</v>
      </c>
      <c r="Q2415">
        <v>2</v>
      </c>
      <c r="R2415" t="s">
        <v>391</v>
      </c>
      <c r="S2415" s="1">
        <f>electric_vehicles_dataset[[#This Row],[Units_Sold_2024]]*electric_vehicles_dataset[[#This Row],[Price_USD]]</f>
        <v>634990789.03999996</v>
      </c>
      <c r="T2415">
        <v>3</v>
      </c>
      <c r="U2415">
        <v>17608</v>
      </c>
      <c r="V2415">
        <v>5</v>
      </c>
    </row>
    <row r="2416" spans="1:22" x14ac:dyDescent="0.35">
      <c r="A2416">
        <v>2415</v>
      </c>
      <c r="B2416" t="s">
        <v>259</v>
      </c>
      <c r="C2416" t="s">
        <v>298</v>
      </c>
      <c r="D2416">
        <v>2018</v>
      </c>
      <c r="E2416" t="s">
        <v>17</v>
      </c>
      <c r="F2416">
        <v>52.4</v>
      </c>
      <c r="G2416" t="s">
        <v>348</v>
      </c>
      <c r="H2416">
        <f>electric_vehicles_dataset[[#This Row],[Battery_Capacity_kWh]]/electric_vehicles_dataset[[#This Row],[Range_km]]</f>
        <v>0.12073732718894009</v>
      </c>
      <c r="I2416">
        <v>434</v>
      </c>
      <c r="J2416" t="s">
        <v>364</v>
      </c>
      <c r="K2416">
        <v>3</v>
      </c>
      <c r="L2416" s="1">
        <v>111445.8</v>
      </c>
      <c r="M2416" s="1" t="str" cm="1">
        <f t="array" ref="M241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16" t="s">
        <v>228</v>
      </c>
      <c r="O2416" t="s">
        <v>111</v>
      </c>
      <c r="P2416" s="2" t="s">
        <v>389</v>
      </c>
      <c r="Q2416">
        <v>4</v>
      </c>
      <c r="R2416" t="s">
        <v>392</v>
      </c>
      <c r="S2416" s="1">
        <f>electric_vehicles_dataset[[#This Row],[Units_Sold_2024]]*electric_vehicles_dataset[[#This Row],[Price_USD]]</f>
        <v>1696316521.8</v>
      </c>
      <c r="T2416">
        <v>3</v>
      </c>
      <c r="U2416">
        <v>15221</v>
      </c>
      <c r="V2416">
        <v>3</v>
      </c>
    </row>
    <row r="2417" spans="1:22" x14ac:dyDescent="0.35">
      <c r="A2417">
        <v>2416</v>
      </c>
      <c r="B2417" t="s">
        <v>153</v>
      </c>
      <c r="C2417" t="s">
        <v>310</v>
      </c>
      <c r="D2417">
        <v>2019</v>
      </c>
      <c r="E2417" t="s">
        <v>84</v>
      </c>
      <c r="F2417">
        <v>76.2</v>
      </c>
      <c r="G2417" t="s">
        <v>351</v>
      </c>
      <c r="H2417">
        <f>electric_vehicles_dataset[[#This Row],[Battery_Capacity_kWh]]/electric_vehicles_dataset[[#This Row],[Range_km]]</f>
        <v>0.14970530451866404</v>
      </c>
      <c r="I2417">
        <v>509</v>
      </c>
      <c r="J2417" t="s">
        <v>358</v>
      </c>
      <c r="K2417">
        <v>1</v>
      </c>
      <c r="L2417" s="1">
        <v>82801.97</v>
      </c>
      <c r="M2417" s="1" t="str" cm="1">
        <f t="array" ref="M24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17" t="s">
        <v>66</v>
      </c>
      <c r="O2417" t="s">
        <v>93</v>
      </c>
      <c r="P2417" s="2" t="s">
        <v>389</v>
      </c>
      <c r="Q2417">
        <v>0</v>
      </c>
      <c r="R2417" t="s">
        <v>390</v>
      </c>
      <c r="S2417" s="1">
        <f>electric_vehicles_dataset[[#This Row],[Units_Sold_2024]]*electric_vehicles_dataset[[#This Row],[Price_USD]]</f>
        <v>1295602424.5899999</v>
      </c>
      <c r="T2417">
        <v>5</v>
      </c>
      <c r="U2417">
        <v>15647</v>
      </c>
      <c r="V2417">
        <v>4</v>
      </c>
    </row>
    <row r="2418" spans="1:22" x14ac:dyDescent="0.35">
      <c r="A2418">
        <v>2417</v>
      </c>
      <c r="B2418" t="s">
        <v>220</v>
      </c>
      <c r="C2418" t="s">
        <v>290</v>
      </c>
      <c r="D2418">
        <v>2021</v>
      </c>
      <c r="E2418" t="s">
        <v>133</v>
      </c>
      <c r="F2418">
        <v>93.1</v>
      </c>
      <c r="G2418" t="s">
        <v>350</v>
      </c>
      <c r="H2418">
        <f>electric_vehicles_dataset[[#This Row],[Battery_Capacity_kWh]]/electric_vehicles_dataset[[#This Row],[Range_km]]</f>
        <v>0.41377777777777774</v>
      </c>
      <c r="I2418">
        <v>225</v>
      </c>
      <c r="J2418" t="s">
        <v>105</v>
      </c>
      <c r="K2418">
        <v>8</v>
      </c>
      <c r="L2418" s="1">
        <v>84379.91</v>
      </c>
      <c r="M2418" s="1" t="str" cm="1">
        <f t="array" ref="M241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18" t="s">
        <v>142</v>
      </c>
      <c r="O2418" t="s">
        <v>167</v>
      </c>
      <c r="P2418" s="2" t="s">
        <v>394</v>
      </c>
      <c r="Q2418">
        <v>0</v>
      </c>
      <c r="R2418" t="s">
        <v>390</v>
      </c>
      <c r="S2418" s="1">
        <f>electric_vehicles_dataset[[#This Row],[Units_Sold_2024]]*electric_vehicles_dataset[[#This Row],[Price_USD]]</f>
        <v>1567103688.52</v>
      </c>
      <c r="T2418">
        <v>4</v>
      </c>
      <c r="U2418">
        <v>18572</v>
      </c>
      <c r="V2418">
        <v>4</v>
      </c>
    </row>
    <row r="2419" spans="1:22" x14ac:dyDescent="0.35">
      <c r="A2419">
        <v>2418</v>
      </c>
      <c r="B2419" t="s">
        <v>241</v>
      </c>
      <c r="C2419" t="s">
        <v>242</v>
      </c>
      <c r="D2419">
        <v>2017</v>
      </c>
      <c r="E2419" t="s">
        <v>104</v>
      </c>
      <c r="F2419">
        <v>41.8</v>
      </c>
      <c r="G2419" t="s">
        <v>348</v>
      </c>
      <c r="H2419">
        <f>electric_vehicles_dataset[[#This Row],[Battery_Capacity_kWh]]/electric_vehicles_dataset[[#This Row],[Range_km]]</f>
        <v>0.35726495726495722</v>
      </c>
      <c r="I2419">
        <v>117</v>
      </c>
      <c r="J2419" t="s">
        <v>85</v>
      </c>
      <c r="K2419">
        <v>3</v>
      </c>
      <c r="L2419" s="1">
        <v>125712.83</v>
      </c>
      <c r="M2419" s="1" t="str" cm="1">
        <f t="array" ref="M241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19" t="s">
        <v>165</v>
      </c>
      <c r="O2419" t="s">
        <v>206</v>
      </c>
      <c r="P2419" s="2" t="s">
        <v>394</v>
      </c>
      <c r="Q2419">
        <v>3</v>
      </c>
      <c r="R2419" t="s">
        <v>397</v>
      </c>
      <c r="S2419" s="1">
        <f>electric_vehicles_dataset[[#This Row],[Units_Sold_2024]]*electric_vehicles_dataset[[#This Row],[Price_USD]]</f>
        <v>2249882518.5100002</v>
      </c>
      <c r="T2419">
        <v>4</v>
      </c>
      <c r="U2419">
        <v>17897</v>
      </c>
      <c r="V2419">
        <v>3</v>
      </c>
    </row>
    <row r="2420" spans="1:22" x14ac:dyDescent="0.35">
      <c r="A2420">
        <v>2419</v>
      </c>
      <c r="B2420" t="s">
        <v>82</v>
      </c>
      <c r="C2420" t="s">
        <v>281</v>
      </c>
      <c r="D2420">
        <v>2023</v>
      </c>
      <c r="E2420" t="s">
        <v>183</v>
      </c>
      <c r="F2420">
        <v>92.7</v>
      </c>
      <c r="G2420" t="s">
        <v>350</v>
      </c>
      <c r="H2420">
        <f>electric_vehicles_dataset[[#This Row],[Battery_Capacity_kWh]]/electric_vehicles_dataset[[#This Row],[Range_km]]</f>
        <v>0.16642728904847398</v>
      </c>
      <c r="I2420">
        <v>557</v>
      </c>
      <c r="J2420" t="s">
        <v>364</v>
      </c>
      <c r="K2420">
        <v>7</v>
      </c>
      <c r="L2420" s="1">
        <v>136840.62</v>
      </c>
      <c r="M2420" s="1" t="str" cm="1">
        <f t="array" ref="M242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20" t="s">
        <v>66</v>
      </c>
      <c r="O2420" t="s">
        <v>167</v>
      </c>
      <c r="P2420" s="2" t="s">
        <v>394</v>
      </c>
      <c r="Q2420">
        <v>2</v>
      </c>
      <c r="R2420" t="s">
        <v>391</v>
      </c>
      <c r="S2420" s="1">
        <f>electric_vehicles_dataset[[#This Row],[Units_Sold_2024]]*electric_vehicles_dataset[[#This Row],[Price_USD]]</f>
        <v>1722139202.7</v>
      </c>
      <c r="T2420">
        <v>3</v>
      </c>
      <c r="U2420">
        <v>12585</v>
      </c>
      <c r="V2420">
        <v>5</v>
      </c>
    </row>
    <row r="2421" spans="1:22" x14ac:dyDescent="0.35">
      <c r="A2421">
        <v>2420</v>
      </c>
      <c r="B2421" t="s">
        <v>259</v>
      </c>
      <c r="C2421" t="s">
        <v>266</v>
      </c>
      <c r="D2421">
        <v>2024</v>
      </c>
      <c r="E2421" t="s">
        <v>90</v>
      </c>
      <c r="F2421">
        <v>28.7</v>
      </c>
      <c r="G2421" t="s">
        <v>357</v>
      </c>
      <c r="H2421">
        <f>electric_vehicles_dataset[[#This Row],[Battery_Capacity_kWh]]/electric_vehicles_dataset[[#This Row],[Range_km]]</f>
        <v>6.225596529284165E-2</v>
      </c>
      <c r="I2421">
        <v>461</v>
      </c>
      <c r="J2421" t="s">
        <v>105</v>
      </c>
      <c r="K2421">
        <v>4</v>
      </c>
      <c r="L2421" s="1">
        <v>127979.96</v>
      </c>
      <c r="M2421" s="1" t="str" cm="1">
        <f t="array" ref="M242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21" t="s">
        <v>117</v>
      </c>
      <c r="O2421" t="s">
        <v>265</v>
      </c>
      <c r="P2421" s="2" t="s">
        <v>389</v>
      </c>
      <c r="Q2421">
        <v>3</v>
      </c>
      <c r="R2421" t="s">
        <v>397</v>
      </c>
      <c r="S2421" s="1">
        <f>electric_vehicles_dataset[[#This Row],[Units_Sold_2024]]*electric_vehicles_dataset[[#This Row],[Price_USD]]</f>
        <v>2449792394.3200002</v>
      </c>
      <c r="T2421">
        <v>3</v>
      </c>
      <c r="U2421">
        <v>19142</v>
      </c>
      <c r="V2421">
        <v>3</v>
      </c>
    </row>
    <row r="2422" spans="1:22" x14ac:dyDescent="0.35">
      <c r="A2422">
        <v>2421</v>
      </c>
      <c r="B2422" t="s">
        <v>144</v>
      </c>
      <c r="C2422" t="s">
        <v>145</v>
      </c>
      <c r="D2422">
        <v>2016</v>
      </c>
      <c r="E2422" t="s">
        <v>104</v>
      </c>
      <c r="F2422">
        <v>42.1</v>
      </c>
      <c r="G2422" t="s">
        <v>348</v>
      </c>
      <c r="H2422">
        <f>electric_vehicles_dataset[[#This Row],[Battery_Capacity_kWh]]/electric_vehicles_dataset[[#This Row],[Range_km]]</f>
        <v>7.710622710622711E-2</v>
      </c>
      <c r="I2422">
        <v>546</v>
      </c>
      <c r="J2422" t="s">
        <v>18</v>
      </c>
      <c r="K2422">
        <v>12</v>
      </c>
      <c r="L2422" s="1">
        <v>135462.85999999999</v>
      </c>
      <c r="M2422" s="1" t="str" cm="1">
        <f t="array" ref="M242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22" t="s">
        <v>277</v>
      </c>
      <c r="O2422" t="s">
        <v>121</v>
      </c>
      <c r="P2422" s="2" t="s">
        <v>398</v>
      </c>
      <c r="Q2422">
        <v>4</v>
      </c>
      <c r="R2422" t="s">
        <v>392</v>
      </c>
      <c r="S2422" s="1">
        <f>electric_vehicles_dataset[[#This Row],[Units_Sold_2024]]*electric_vehicles_dataset[[#This Row],[Price_USD]]</f>
        <v>306823377.89999998</v>
      </c>
      <c r="T2422">
        <v>3</v>
      </c>
      <c r="U2422">
        <v>2265</v>
      </c>
      <c r="V2422">
        <v>5</v>
      </c>
    </row>
    <row r="2423" spans="1:22" x14ac:dyDescent="0.35">
      <c r="A2423">
        <v>2422</v>
      </c>
      <c r="B2423" t="s">
        <v>41</v>
      </c>
      <c r="C2423" t="s">
        <v>355</v>
      </c>
      <c r="D2423">
        <v>2022</v>
      </c>
      <c r="E2423" t="s">
        <v>90</v>
      </c>
      <c r="F2423">
        <v>109.4</v>
      </c>
      <c r="G2423" t="s">
        <v>361</v>
      </c>
      <c r="H2423">
        <f>electric_vehicles_dataset[[#This Row],[Battery_Capacity_kWh]]/electric_vehicles_dataset[[#This Row],[Range_km]]</f>
        <v>0.22281059063136457</v>
      </c>
      <c r="I2423">
        <v>491</v>
      </c>
      <c r="J2423" t="s">
        <v>27</v>
      </c>
      <c r="K2423">
        <v>2</v>
      </c>
      <c r="L2423" s="1">
        <v>112182.68</v>
      </c>
      <c r="M2423" s="1" t="str" cm="1">
        <f t="array" ref="M242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23" t="s">
        <v>28</v>
      </c>
      <c r="O2423" t="s">
        <v>236</v>
      </c>
      <c r="P2423" s="2" t="s">
        <v>394</v>
      </c>
      <c r="Q2423">
        <v>5</v>
      </c>
      <c r="R2423" t="s">
        <v>392</v>
      </c>
      <c r="S2423" s="1">
        <f>electric_vehicles_dataset[[#This Row],[Units_Sold_2024]]*electric_vehicles_dataset[[#This Row],[Price_USD]]</f>
        <v>1556759050.3599999</v>
      </c>
      <c r="T2423">
        <v>3</v>
      </c>
      <c r="U2423">
        <v>13877</v>
      </c>
      <c r="V2423">
        <v>4</v>
      </c>
    </row>
    <row r="2424" spans="1:22" x14ac:dyDescent="0.35">
      <c r="A2424">
        <v>2423</v>
      </c>
      <c r="B2424" t="s">
        <v>153</v>
      </c>
      <c r="C2424" t="s">
        <v>154</v>
      </c>
      <c r="D2424">
        <v>2015</v>
      </c>
      <c r="E2424" t="s">
        <v>17</v>
      </c>
      <c r="F2424">
        <v>36.700000000000003</v>
      </c>
      <c r="G2424" t="s">
        <v>357</v>
      </c>
      <c r="H2424">
        <f>electric_vehicles_dataset[[#This Row],[Battery_Capacity_kWh]]/electric_vehicles_dataset[[#This Row],[Range_km]]</f>
        <v>0.10280112044817928</v>
      </c>
      <c r="I2424">
        <v>357</v>
      </c>
      <c r="J2424" t="s">
        <v>76</v>
      </c>
      <c r="K2424">
        <v>1</v>
      </c>
      <c r="L2424" s="1">
        <v>112943.08</v>
      </c>
      <c r="M2424" s="1" t="str" cm="1">
        <f t="array" ref="M242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24" t="s">
        <v>117</v>
      </c>
      <c r="O2424" t="s">
        <v>92</v>
      </c>
      <c r="P2424" s="2" t="s">
        <v>394</v>
      </c>
      <c r="Q2424">
        <v>5</v>
      </c>
      <c r="R2424" t="s">
        <v>392</v>
      </c>
      <c r="S2424" s="1">
        <f>electric_vehicles_dataset[[#This Row],[Units_Sold_2024]]*electric_vehicles_dataset[[#This Row],[Price_USD]]</f>
        <v>998642713.36000001</v>
      </c>
      <c r="T2424">
        <v>3</v>
      </c>
      <c r="U2424">
        <v>8842</v>
      </c>
      <c r="V2424">
        <v>5</v>
      </c>
    </row>
    <row r="2425" spans="1:22" x14ac:dyDescent="0.35">
      <c r="A2425">
        <v>2424</v>
      </c>
      <c r="B2425" t="s">
        <v>222</v>
      </c>
      <c r="C2425" t="s">
        <v>223</v>
      </c>
      <c r="D2425">
        <v>2025</v>
      </c>
      <c r="E2425" t="s">
        <v>31</v>
      </c>
      <c r="F2425">
        <v>33.799999999999997</v>
      </c>
      <c r="G2425" t="s">
        <v>357</v>
      </c>
      <c r="H2425">
        <f>electric_vehicles_dataset[[#This Row],[Battery_Capacity_kWh]]/electric_vehicles_dataset[[#This Row],[Range_km]]</f>
        <v>0.2253333333333333</v>
      </c>
      <c r="I2425">
        <v>150</v>
      </c>
      <c r="J2425" t="s">
        <v>353</v>
      </c>
      <c r="K2425">
        <v>8</v>
      </c>
      <c r="L2425" s="1">
        <v>31509.22</v>
      </c>
      <c r="M2425" s="1" t="str" cm="1">
        <f t="array" ref="M242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25" t="s">
        <v>214</v>
      </c>
      <c r="O2425" t="s">
        <v>167</v>
      </c>
      <c r="P2425" s="2" t="s">
        <v>394</v>
      </c>
      <c r="Q2425">
        <v>5</v>
      </c>
      <c r="R2425" t="s">
        <v>392</v>
      </c>
      <c r="S2425" s="1">
        <f>electric_vehicles_dataset[[#This Row],[Units_Sold_2024]]*electric_vehicles_dataset[[#This Row],[Price_USD]]</f>
        <v>361410753.40000004</v>
      </c>
      <c r="T2425">
        <v>4</v>
      </c>
      <c r="U2425">
        <v>11470</v>
      </c>
      <c r="V2425">
        <v>4</v>
      </c>
    </row>
    <row r="2426" spans="1:22" x14ac:dyDescent="0.35">
      <c r="A2426">
        <v>2425</v>
      </c>
      <c r="B2426" t="s">
        <v>56</v>
      </c>
      <c r="C2426" t="s">
        <v>57</v>
      </c>
      <c r="D2426">
        <v>2022</v>
      </c>
      <c r="E2426" t="s">
        <v>104</v>
      </c>
      <c r="F2426">
        <v>57.5</v>
      </c>
      <c r="G2426" t="s">
        <v>348</v>
      </c>
      <c r="H2426">
        <f>electric_vehicles_dataset[[#This Row],[Battery_Capacity_kWh]]/electric_vehicles_dataset[[#This Row],[Range_km]]</f>
        <v>0.30104712041884818</v>
      </c>
      <c r="I2426">
        <v>191</v>
      </c>
      <c r="J2426" t="s">
        <v>359</v>
      </c>
      <c r="K2426">
        <v>11</v>
      </c>
      <c r="L2426" s="1">
        <v>121233.69</v>
      </c>
      <c r="M2426" s="1" t="str" cm="1">
        <f t="array" ref="M242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26" t="s">
        <v>62</v>
      </c>
      <c r="O2426" t="s">
        <v>164</v>
      </c>
      <c r="P2426" s="2" t="s">
        <v>394</v>
      </c>
      <c r="Q2426">
        <v>4</v>
      </c>
      <c r="R2426" t="s">
        <v>392</v>
      </c>
      <c r="S2426" s="1">
        <f>electric_vehicles_dataset[[#This Row],[Units_Sold_2024]]*electric_vehicles_dataset[[#This Row],[Price_USD]]</f>
        <v>1410432749.46</v>
      </c>
      <c r="T2426">
        <v>4</v>
      </c>
      <c r="U2426">
        <v>11634</v>
      </c>
      <c r="V2426">
        <v>5</v>
      </c>
    </row>
    <row r="2427" spans="1:22" x14ac:dyDescent="0.35">
      <c r="A2427">
        <v>2426</v>
      </c>
      <c r="B2427" t="s">
        <v>71</v>
      </c>
      <c r="C2427" t="s">
        <v>321</v>
      </c>
      <c r="D2427">
        <v>2021</v>
      </c>
      <c r="E2427" t="s">
        <v>47</v>
      </c>
      <c r="F2427">
        <v>141.6</v>
      </c>
      <c r="G2427" t="s">
        <v>386</v>
      </c>
      <c r="H2427">
        <f>electric_vehicles_dataset[[#This Row],[Battery_Capacity_kWh]]/electric_vehicles_dataset[[#This Row],[Range_km]]</f>
        <v>1.0488888888888888</v>
      </c>
      <c r="I2427">
        <v>135</v>
      </c>
      <c r="J2427" t="s">
        <v>149</v>
      </c>
      <c r="K2427">
        <v>5</v>
      </c>
      <c r="L2427" s="1">
        <v>86171.520000000004</v>
      </c>
      <c r="M2427" s="1" t="str" cm="1">
        <f t="array" ref="M242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27" t="s">
        <v>35</v>
      </c>
      <c r="O2427" t="s">
        <v>89</v>
      </c>
      <c r="P2427" s="2" t="s">
        <v>389</v>
      </c>
      <c r="Q2427">
        <v>3</v>
      </c>
      <c r="R2427" t="s">
        <v>397</v>
      </c>
      <c r="S2427" s="1">
        <f>electric_vehicles_dataset[[#This Row],[Units_Sold_2024]]*electric_vehicles_dataset[[#This Row],[Price_USD]]</f>
        <v>1189770176.6400001</v>
      </c>
      <c r="T2427">
        <v>4</v>
      </c>
      <c r="U2427">
        <v>13807</v>
      </c>
      <c r="V2427">
        <v>4</v>
      </c>
    </row>
    <row r="2428" spans="1:22" x14ac:dyDescent="0.35">
      <c r="A2428">
        <v>2427</v>
      </c>
      <c r="B2428" t="s">
        <v>21</v>
      </c>
      <c r="C2428" t="s">
        <v>363</v>
      </c>
      <c r="D2428">
        <v>2015</v>
      </c>
      <c r="E2428" t="s">
        <v>90</v>
      </c>
      <c r="F2428">
        <v>51.1</v>
      </c>
      <c r="G2428" t="s">
        <v>348</v>
      </c>
      <c r="H2428">
        <f>electric_vehicles_dataset[[#This Row],[Battery_Capacity_kWh]]/electric_vehicles_dataset[[#This Row],[Range_km]]</f>
        <v>8.8408304498269905E-2</v>
      </c>
      <c r="I2428">
        <v>578</v>
      </c>
      <c r="J2428" t="s">
        <v>353</v>
      </c>
      <c r="K2428">
        <v>5</v>
      </c>
      <c r="L2428" s="1">
        <v>78879.86</v>
      </c>
      <c r="M2428" s="1" t="str" cm="1">
        <f t="array" ref="M242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28" t="s">
        <v>22</v>
      </c>
      <c r="O2428" t="s">
        <v>50</v>
      </c>
      <c r="P2428" s="2" t="s">
        <v>396</v>
      </c>
      <c r="Q2428">
        <v>2</v>
      </c>
      <c r="R2428" t="s">
        <v>391</v>
      </c>
      <c r="S2428" s="1">
        <f>electric_vehicles_dataset[[#This Row],[Units_Sold_2024]]*electric_vehicles_dataset[[#This Row],[Price_USD]]</f>
        <v>185446550.86000001</v>
      </c>
      <c r="T2428">
        <v>3</v>
      </c>
      <c r="U2428">
        <v>2351</v>
      </c>
      <c r="V2428">
        <v>3</v>
      </c>
    </row>
    <row r="2429" spans="1:22" x14ac:dyDescent="0.35">
      <c r="A2429">
        <v>2428</v>
      </c>
      <c r="B2429" t="s">
        <v>192</v>
      </c>
      <c r="C2429" t="s">
        <v>366</v>
      </c>
      <c r="D2429">
        <v>2020</v>
      </c>
      <c r="E2429" t="s">
        <v>42</v>
      </c>
      <c r="F2429">
        <v>147.9</v>
      </c>
      <c r="G2429" t="s">
        <v>386</v>
      </c>
      <c r="H2429">
        <f>electric_vehicles_dataset[[#This Row],[Battery_Capacity_kWh]]/electric_vehicles_dataset[[#This Row],[Range_km]]</f>
        <v>0.75846153846153852</v>
      </c>
      <c r="I2429">
        <v>195</v>
      </c>
      <c r="J2429" t="s">
        <v>18</v>
      </c>
      <c r="K2429">
        <v>4</v>
      </c>
      <c r="L2429" s="1">
        <v>74574.02</v>
      </c>
      <c r="M2429" s="1" t="str" cm="1">
        <f t="array" ref="M242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29" t="s">
        <v>228</v>
      </c>
      <c r="O2429" t="s">
        <v>206</v>
      </c>
      <c r="P2429" s="2" t="s">
        <v>394</v>
      </c>
      <c r="Q2429">
        <v>2</v>
      </c>
      <c r="R2429" t="s">
        <v>391</v>
      </c>
      <c r="S2429" s="1">
        <f>electric_vehicles_dataset[[#This Row],[Units_Sold_2024]]*electric_vehicles_dataset[[#This Row],[Price_USD]]</f>
        <v>314329494.30000001</v>
      </c>
      <c r="T2429">
        <v>5</v>
      </c>
      <c r="U2429">
        <v>4215</v>
      </c>
      <c r="V2429">
        <v>3</v>
      </c>
    </row>
    <row r="2430" spans="1:22" x14ac:dyDescent="0.35">
      <c r="A2430">
        <v>2429</v>
      </c>
      <c r="B2430" t="s">
        <v>153</v>
      </c>
      <c r="C2430" t="s">
        <v>310</v>
      </c>
      <c r="D2430">
        <v>2024</v>
      </c>
      <c r="E2430" t="s">
        <v>130</v>
      </c>
      <c r="F2430">
        <v>129.9</v>
      </c>
      <c r="G2430" t="s">
        <v>352</v>
      </c>
      <c r="H2430">
        <f>electric_vehicles_dataset[[#This Row],[Battery_Capacity_kWh]]/electric_vehicles_dataset[[#This Row],[Range_km]]</f>
        <v>0.23363309352517986</v>
      </c>
      <c r="I2430">
        <v>556</v>
      </c>
      <c r="J2430" t="s">
        <v>54</v>
      </c>
      <c r="K2430">
        <v>7</v>
      </c>
      <c r="L2430" s="1">
        <v>121177.35</v>
      </c>
      <c r="M2430" s="1" t="str" cm="1">
        <f t="array" ref="M24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30" t="s">
        <v>28</v>
      </c>
      <c r="O2430" t="s">
        <v>167</v>
      </c>
      <c r="P2430" s="2" t="s">
        <v>394</v>
      </c>
      <c r="Q2430">
        <v>2</v>
      </c>
      <c r="R2430" t="s">
        <v>391</v>
      </c>
      <c r="S2430" s="1">
        <f>electric_vehicles_dataset[[#This Row],[Units_Sold_2024]]*electric_vehicles_dataset[[#This Row],[Price_USD]]</f>
        <v>2408278653.9000001</v>
      </c>
      <c r="T2430">
        <v>5</v>
      </c>
      <c r="U2430">
        <v>19874</v>
      </c>
      <c r="V2430">
        <v>4</v>
      </c>
    </row>
    <row r="2431" spans="1:22" x14ac:dyDescent="0.35">
      <c r="A2431">
        <v>2430</v>
      </c>
      <c r="B2431" t="s">
        <v>269</v>
      </c>
      <c r="C2431" t="s">
        <v>329</v>
      </c>
      <c r="D2431">
        <v>2016</v>
      </c>
      <c r="E2431" t="s">
        <v>90</v>
      </c>
      <c r="F2431">
        <v>75.2</v>
      </c>
      <c r="G2431" t="s">
        <v>351</v>
      </c>
      <c r="H2431">
        <f>electric_vehicles_dataset[[#This Row],[Battery_Capacity_kWh]]/electric_vehicles_dataset[[#This Row],[Range_km]]</f>
        <v>0.3514018691588785</v>
      </c>
      <c r="I2431">
        <v>214</v>
      </c>
      <c r="J2431" t="s">
        <v>27</v>
      </c>
      <c r="K2431">
        <v>5</v>
      </c>
      <c r="L2431" s="1">
        <v>89359.27</v>
      </c>
      <c r="M2431" s="1" t="str" cm="1">
        <f t="array" ref="M243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31" t="s">
        <v>279</v>
      </c>
      <c r="O2431" t="s">
        <v>161</v>
      </c>
      <c r="P2431" s="2" t="s">
        <v>389</v>
      </c>
      <c r="Q2431">
        <v>3</v>
      </c>
      <c r="R2431" t="s">
        <v>397</v>
      </c>
      <c r="S2431" s="1">
        <f>electric_vehicles_dataset[[#This Row],[Units_Sold_2024]]*electric_vehicles_dataset[[#This Row],[Price_USD]]</f>
        <v>528292004.24000001</v>
      </c>
      <c r="T2431">
        <v>3</v>
      </c>
      <c r="U2431">
        <v>5912</v>
      </c>
      <c r="V2431">
        <v>4</v>
      </c>
    </row>
    <row r="2432" spans="1:22" x14ac:dyDescent="0.35">
      <c r="A2432">
        <v>2431</v>
      </c>
      <c r="B2432" t="s">
        <v>241</v>
      </c>
      <c r="C2432" t="s">
        <v>247</v>
      </c>
      <c r="D2432">
        <v>2016</v>
      </c>
      <c r="E2432" t="s">
        <v>42</v>
      </c>
      <c r="F2432">
        <v>52.6</v>
      </c>
      <c r="G2432" t="s">
        <v>348</v>
      </c>
      <c r="H2432">
        <f>electric_vehicles_dataset[[#This Row],[Battery_Capacity_kWh]]/electric_vehicles_dataset[[#This Row],[Range_km]]</f>
        <v>0.2390909090909091</v>
      </c>
      <c r="I2432">
        <v>220</v>
      </c>
      <c r="J2432" t="s">
        <v>76</v>
      </c>
      <c r="K2432">
        <v>11</v>
      </c>
      <c r="L2432" s="1">
        <v>46097.17</v>
      </c>
      <c r="M2432" s="1" t="str" cm="1">
        <f t="array" ref="M243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32" t="s">
        <v>179</v>
      </c>
      <c r="O2432" t="s">
        <v>164</v>
      </c>
      <c r="P2432" s="2" t="s">
        <v>394</v>
      </c>
      <c r="Q2432">
        <v>5</v>
      </c>
      <c r="R2432" t="s">
        <v>392</v>
      </c>
      <c r="S2432" s="1">
        <f>electric_vehicles_dataset[[#This Row],[Units_Sold_2024]]*electric_vehicles_dataset[[#This Row],[Price_USD]]</f>
        <v>307836901.25999999</v>
      </c>
      <c r="T2432">
        <v>4</v>
      </c>
      <c r="U2432">
        <v>6678</v>
      </c>
      <c r="V2432">
        <v>3</v>
      </c>
    </row>
    <row r="2433" spans="1:22" x14ac:dyDescent="0.35">
      <c r="A2433">
        <v>2432</v>
      </c>
      <c r="B2433" t="s">
        <v>51</v>
      </c>
      <c r="C2433" t="s">
        <v>162</v>
      </c>
      <c r="D2433">
        <v>2016</v>
      </c>
      <c r="E2433" t="s">
        <v>90</v>
      </c>
      <c r="F2433">
        <v>127.3</v>
      </c>
      <c r="G2433" t="s">
        <v>352</v>
      </c>
      <c r="H2433">
        <f>electric_vehicles_dataset[[#This Row],[Battery_Capacity_kWh]]/electric_vehicles_dataset[[#This Row],[Range_km]]</f>
        <v>0.23530499075785583</v>
      </c>
      <c r="I2433">
        <v>541</v>
      </c>
      <c r="J2433" t="s">
        <v>358</v>
      </c>
      <c r="K2433">
        <v>3</v>
      </c>
      <c r="L2433" s="1">
        <v>149543.43</v>
      </c>
      <c r="M2433" s="1" t="str" cm="1">
        <f t="array" ref="M24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33" t="s">
        <v>39</v>
      </c>
      <c r="O2433" t="s">
        <v>135</v>
      </c>
      <c r="P2433" s="2" t="s">
        <v>389</v>
      </c>
      <c r="Q2433">
        <v>2</v>
      </c>
      <c r="R2433" t="s">
        <v>391</v>
      </c>
      <c r="S2433" s="1">
        <f>electric_vehicles_dataset[[#This Row],[Units_Sold_2024]]*electric_vehicles_dataset[[#This Row],[Price_USD]]</f>
        <v>21683797.349999998</v>
      </c>
      <c r="T2433">
        <v>4</v>
      </c>
      <c r="U2433">
        <v>145</v>
      </c>
      <c r="V2433">
        <v>4</v>
      </c>
    </row>
    <row r="2434" spans="1:22" x14ac:dyDescent="0.35">
      <c r="A2434">
        <v>2433</v>
      </c>
      <c r="B2434" t="s">
        <v>170</v>
      </c>
      <c r="C2434" t="s">
        <v>171</v>
      </c>
      <c r="D2434">
        <v>2017</v>
      </c>
      <c r="E2434" t="s">
        <v>31</v>
      </c>
      <c r="F2434">
        <v>21.6</v>
      </c>
      <c r="G2434" t="s">
        <v>357</v>
      </c>
      <c r="H2434">
        <f>electric_vehicles_dataset[[#This Row],[Battery_Capacity_kWh]]/electric_vehicles_dataset[[#This Row],[Range_km]]</f>
        <v>0.11020408163265306</v>
      </c>
      <c r="I2434">
        <v>196</v>
      </c>
      <c r="J2434" t="s">
        <v>149</v>
      </c>
      <c r="K2434">
        <v>5</v>
      </c>
      <c r="L2434" s="1">
        <v>54730.21</v>
      </c>
      <c r="M2434" s="1" t="str" cm="1">
        <f t="array" ref="M243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34" t="s">
        <v>277</v>
      </c>
      <c r="O2434" t="s">
        <v>202</v>
      </c>
      <c r="P2434" s="2" t="s">
        <v>393</v>
      </c>
      <c r="Q2434">
        <v>2</v>
      </c>
      <c r="R2434" t="s">
        <v>391</v>
      </c>
      <c r="S2434" s="1">
        <f>electric_vehicles_dataset[[#This Row],[Units_Sold_2024]]*electric_vehicles_dataset[[#This Row],[Price_USD]]</f>
        <v>1090335243.6199999</v>
      </c>
      <c r="T2434">
        <v>3</v>
      </c>
      <c r="U2434">
        <v>19922</v>
      </c>
      <c r="V2434">
        <v>5</v>
      </c>
    </row>
    <row r="2435" spans="1:22" x14ac:dyDescent="0.35">
      <c r="A2435">
        <v>2434</v>
      </c>
      <c r="B2435" t="s">
        <v>234</v>
      </c>
      <c r="C2435" t="s">
        <v>235</v>
      </c>
      <c r="D2435">
        <v>2015</v>
      </c>
      <c r="E2435" t="s">
        <v>183</v>
      </c>
      <c r="F2435">
        <v>58.7</v>
      </c>
      <c r="G2435" t="s">
        <v>348</v>
      </c>
      <c r="H2435">
        <f>electric_vehicles_dataset[[#This Row],[Battery_Capacity_kWh]]/electric_vehicles_dataset[[#This Row],[Range_km]]</f>
        <v>0.56442307692307692</v>
      </c>
      <c r="I2435">
        <v>104</v>
      </c>
      <c r="J2435" t="s">
        <v>27</v>
      </c>
      <c r="K2435">
        <v>3</v>
      </c>
      <c r="L2435" s="1">
        <v>119339.11</v>
      </c>
      <c r="M2435" s="1" t="str" cm="1">
        <f t="array" ref="M243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35" t="s">
        <v>152</v>
      </c>
      <c r="O2435" t="s">
        <v>124</v>
      </c>
      <c r="P2435" s="2" t="s">
        <v>389</v>
      </c>
      <c r="Q2435">
        <v>2</v>
      </c>
      <c r="R2435" t="s">
        <v>391</v>
      </c>
      <c r="S2435" s="1">
        <f>electric_vehicles_dataset[[#This Row],[Units_Sold_2024]]*electric_vehicles_dataset[[#This Row],[Price_USD]]</f>
        <v>680829622.54999995</v>
      </c>
      <c r="T2435">
        <v>5</v>
      </c>
      <c r="U2435">
        <v>5705</v>
      </c>
      <c r="V2435">
        <v>5</v>
      </c>
    </row>
    <row r="2436" spans="1:22" x14ac:dyDescent="0.35">
      <c r="A2436">
        <v>2435</v>
      </c>
      <c r="B2436" t="s">
        <v>96</v>
      </c>
      <c r="C2436" t="s">
        <v>116</v>
      </c>
      <c r="D2436">
        <v>2021</v>
      </c>
      <c r="E2436" t="s">
        <v>31</v>
      </c>
      <c r="F2436">
        <v>117.3</v>
      </c>
      <c r="G2436" t="s">
        <v>361</v>
      </c>
      <c r="H2436">
        <f>electric_vehicles_dataset[[#This Row],[Battery_Capacity_kWh]]/electric_vehicles_dataset[[#This Row],[Range_km]]</f>
        <v>0.44097744360902252</v>
      </c>
      <c r="I2436">
        <v>266</v>
      </c>
      <c r="J2436" t="s">
        <v>18</v>
      </c>
      <c r="K2436">
        <v>8</v>
      </c>
      <c r="L2436" s="1">
        <v>57512.19</v>
      </c>
      <c r="M2436" s="1" t="str" cm="1">
        <f t="array" ref="M24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36" t="s">
        <v>219</v>
      </c>
      <c r="O2436" t="s">
        <v>169</v>
      </c>
      <c r="P2436" s="2" t="s">
        <v>394</v>
      </c>
      <c r="Q2436">
        <v>2</v>
      </c>
      <c r="R2436" t="s">
        <v>391</v>
      </c>
      <c r="S2436" s="1">
        <f>electric_vehicles_dataset[[#This Row],[Units_Sold_2024]]*electric_vehicles_dataset[[#This Row],[Price_USD]]</f>
        <v>24212631.990000002</v>
      </c>
      <c r="T2436">
        <v>3</v>
      </c>
      <c r="U2436">
        <v>421</v>
      </c>
      <c r="V2436">
        <v>3</v>
      </c>
    </row>
    <row r="2437" spans="1:22" x14ac:dyDescent="0.35">
      <c r="A2437">
        <v>2436</v>
      </c>
      <c r="B2437" t="s">
        <v>82</v>
      </c>
      <c r="C2437" t="s">
        <v>83</v>
      </c>
      <c r="D2437">
        <v>2025</v>
      </c>
      <c r="E2437" t="s">
        <v>26</v>
      </c>
      <c r="F2437">
        <v>75.8</v>
      </c>
      <c r="G2437" t="s">
        <v>351</v>
      </c>
      <c r="H2437">
        <f>electric_vehicles_dataset[[#This Row],[Battery_Capacity_kWh]]/electric_vehicles_dataset[[#This Row],[Range_km]]</f>
        <v>0.14521072796934864</v>
      </c>
      <c r="I2437">
        <v>522</v>
      </c>
      <c r="J2437" t="s">
        <v>38</v>
      </c>
      <c r="K2437">
        <v>6</v>
      </c>
      <c r="L2437" s="1">
        <v>148196.18</v>
      </c>
      <c r="M2437" s="1" t="str" cm="1">
        <f t="array" ref="M243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37" t="s">
        <v>131</v>
      </c>
      <c r="O2437" t="s">
        <v>92</v>
      </c>
      <c r="P2437" s="2" t="s">
        <v>394</v>
      </c>
      <c r="Q2437">
        <v>1</v>
      </c>
      <c r="R2437" t="s">
        <v>391</v>
      </c>
      <c r="S2437" s="1">
        <f>electric_vehicles_dataset[[#This Row],[Units_Sold_2024]]*electric_vehicles_dataset[[#This Row],[Price_USD]]</f>
        <v>500013911.31999999</v>
      </c>
      <c r="T2437">
        <v>3</v>
      </c>
      <c r="U2437">
        <v>3374</v>
      </c>
      <c r="V2437">
        <v>3</v>
      </c>
    </row>
    <row r="2438" spans="1:22" x14ac:dyDescent="0.35">
      <c r="A2438">
        <v>2437</v>
      </c>
      <c r="B2438" t="s">
        <v>224</v>
      </c>
      <c r="C2438" t="s">
        <v>297</v>
      </c>
      <c r="D2438">
        <v>2023</v>
      </c>
      <c r="E2438" t="s">
        <v>183</v>
      </c>
      <c r="F2438">
        <v>30.2</v>
      </c>
      <c r="G2438" t="s">
        <v>357</v>
      </c>
      <c r="H2438">
        <f>electric_vehicles_dataset[[#This Row],[Battery_Capacity_kWh]]/electric_vehicles_dataset[[#This Row],[Range_km]]</f>
        <v>8.6781609195402301E-2</v>
      </c>
      <c r="I2438">
        <v>348</v>
      </c>
      <c r="J2438" t="s">
        <v>76</v>
      </c>
      <c r="K2438">
        <v>10</v>
      </c>
      <c r="L2438" s="1">
        <v>55091.74</v>
      </c>
      <c r="M2438" s="1" t="str" cm="1">
        <f t="array" ref="M243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38" t="s">
        <v>253</v>
      </c>
      <c r="O2438" t="s">
        <v>199</v>
      </c>
      <c r="P2438" s="2" t="s">
        <v>394</v>
      </c>
      <c r="Q2438">
        <v>1</v>
      </c>
      <c r="R2438" t="s">
        <v>391</v>
      </c>
      <c r="S2438" s="1">
        <f>electric_vehicles_dataset[[#This Row],[Units_Sold_2024]]*electric_vehicles_dataset[[#This Row],[Price_USD]]</f>
        <v>548272996.48000002</v>
      </c>
      <c r="T2438">
        <v>5</v>
      </c>
      <c r="U2438">
        <v>9952</v>
      </c>
      <c r="V2438">
        <v>4</v>
      </c>
    </row>
    <row r="2439" spans="1:22" x14ac:dyDescent="0.35">
      <c r="A2439">
        <v>2438</v>
      </c>
      <c r="B2439" t="s">
        <v>120</v>
      </c>
      <c r="C2439" t="s">
        <v>252</v>
      </c>
      <c r="D2439">
        <v>2025</v>
      </c>
      <c r="E2439" t="s">
        <v>31</v>
      </c>
      <c r="F2439">
        <v>40.6</v>
      </c>
      <c r="G2439" t="s">
        <v>348</v>
      </c>
      <c r="H2439">
        <f>electric_vehicles_dataset[[#This Row],[Battery_Capacity_kWh]]/electric_vehicles_dataset[[#This Row],[Range_km]]</f>
        <v>6.9165247018739356E-2</v>
      </c>
      <c r="I2439">
        <v>587</v>
      </c>
      <c r="J2439" t="s">
        <v>38</v>
      </c>
      <c r="K2439">
        <v>7</v>
      </c>
      <c r="L2439" s="1">
        <v>63585.73</v>
      </c>
      <c r="M2439" s="1" t="str" cm="1">
        <f t="array" ref="M24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39" t="s">
        <v>22</v>
      </c>
      <c r="O2439" t="s">
        <v>63</v>
      </c>
      <c r="P2439" s="2" t="s">
        <v>389</v>
      </c>
      <c r="Q2439">
        <v>5</v>
      </c>
      <c r="R2439" t="s">
        <v>392</v>
      </c>
      <c r="S2439" s="1">
        <f>electric_vehicles_dataset[[#This Row],[Units_Sold_2024]]*electric_vehicles_dataset[[#This Row],[Price_USD]]</f>
        <v>360467503.37</v>
      </c>
      <c r="T2439">
        <v>4</v>
      </c>
      <c r="U2439">
        <v>5669</v>
      </c>
      <c r="V2439">
        <v>5</v>
      </c>
    </row>
    <row r="2440" spans="1:22" x14ac:dyDescent="0.35">
      <c r="A2440">
        <v>2439</v>
      </c>
      <c r="B2440" t="s">
        <v>68</v>
      </c>
      <c r="C2440" t="s">
        <v>289</v>
      </c>
      <c r="D2440">
        <v>2019</v>
      </c>
      <c r="E2440" t="s">
        <v>84</v>
      </c>
      <c r="F2440">
        <v>128.19999999999999</v>
      </c>
      <c r="G2440" t="s">
        <v>352</v>
      </c>
      <c r="H2440">
        <f>electric_vehicles_dataset[[#This Row],[Battery_Capacity_kWh]]/electric_vehicles_dataset[[#This Row],[Range_km]]</f>
        <v>0.36524216524216518</v>
      </c>
      <c r="I2440">
        <v>351</v>
      </c>
      <c r="J2440" t="s">
        <v>149</v>
      </c>
      <c r="K2440">
        <v>3</v>
      </c>
      <c r="L2440" s="1">
        <v>105953.02</v>
      </c>
      <c r="M2440" s="1" t="str" cm="1">
        <f t="array" ref="M244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40" t="s">
        <v>55</v>
      </c>
      <c r="O2440" t="s">
        <v>93</v>
      </c>
      <c r="P2440" s="2" t="s">
        <v>389</v>
      </c>
      <c r="Q2440">
        <v>1</v>
      </c>
      <c r="R2440" t="s">
        <v>391</v>
      </c>
      <c r="S2440" s="1">
        <f>electric_vehicles_dataset[[#This Row],[Units_Sold_2024]]*electric_vehicles_dataset[[#This Row],[Price_USD]]</f>
        <v>1556132004.74</v>
      </c>
      <c r="T2440">
        <v>3</v>
      </c>
      <c r="U2440">
        <v>14687</v>
      </c>
      <c r="V2440">
        <v>5</v>
      </c>
    </row>
    <row r="2441" spans="1:22" x14ac:dyDescent="0.35">
      <c r="A2441">
        <v>2440</v>
      </c>
      <c r="B2441" t="s">
        <v>313</v>
      </c>
      <c r="C2441" t="s">
        <v>314</v>
      </c>
      <c r="D2441">
        <v>2022</v>
      </c>
      <c r="E2441" t="s">
        <v>26</v>
      </c>
      <c r="F2441">
        <v>32.799999999999997</v>
      </c>
      <c r="G2441" t="s">
        <v>357</v>
      </c>
      <c r="H2441">
        <f>electric_vehicles_dataset[[#This Row],[Battery_Capacity_kWh]]/electric_vehicles_dataset[[#This Row],[Range_km]]</f>
        <v>7.7541371158392422E-2</v>
      </c>
      <c r="I2441">
        <v>423</v>
      </c>
      <c r="J2441" t="s">
        <v>38</v>
      </c>
      <c r="K2441">
        <v>1</v>
      </c>
      <c r="L2441" s="1">
        <v>126748.58</v>
      </c>
      <c r="M2441" s="1" t="str" cm="1">
        <f t="array" ref="M244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41" t="s">
        <v>81</v>
      </c>
      <c r="O2441" t="s">
        <v>78</v>
      </c>
      <c r="P2441" s="2" t="s">
        <v>389</v>
      </c>
      <c r="Q2441">
        <v>1</v>
      </c>
      <c r="R2441" t="s">
        <v>391</v>
      </c>
      <c r="S2441" s="1">
        <f>electric_vehicles_dataset[[#This Row],[Units_Sold_2024]]*electric_vehicles_dataset[[#This Row],[Price_USD]]</f>
        <v>1894130779.52</v>
      </c>
      <c r="T2441">
        <v>3</v>
      </c>
      <c r="U2441">
        <v>14944</v>
      </c>
      <c r="V2441">
        <v>3</v>
      </c>
    </row>
    <row r="2442" spans="1:22" x14ac:dyDescent="0.35">
      <c r="A2442">
        <v>2441</v>
      </c>
      <c r="B2442" t="s">
        <v>60</v>
      </c>
      <c r="C2442" t="s">
        <v>61</v>
      </c>
      <c r="D2442">
        <v>2021</v>
      </c>
      <c r="E2442" t="s">
        <v>104</v>
      </c>
      <c r="F2442">
        <v>39.700000000000003</v>
      </c>
      <c r="G2442" t="s">
        <v>357</v>
      </c>
      <c r="H2442">
        <f>electric_vehicles_dataset[[#This Row],[Battery_Capacity_kWh]]/electric_vehicles_dataset[[#This Row],[Range_km]]</f>
        <v>7.434456928838952E-2</v>
      </c>
      <c r="I2442">
        <v>534</v>
      </c>
      <c r="J2442" t="s">
        <v>54</v>
      </c>
      <c r="K2442">
        <v>10</v>
      </c>
      <c r="L2442" s="1">
        <v>102435.89</v>
      </c>
      <c r="M2442" s="1" t="str" cm="1">
        <f t="array" ref="M244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42" t="s">
        <v>246</v>
      </c>
      <c r="O2442" t="s">
        <v>202</v>
      </c>
      <c r="P2442" s="2" t="s">
        <v>393</v>
      </c>
      <c r="Q2442">
        <v>5</v>
      </c>
      <c r="R2442" t="s">
        <v>392</v>
      </c>
      <c r="S2442" s="1">
        <f>electric_vehicles_dataset[[#This Row],[Units_Sold_2024]]*electric_vehicles_dataset[[#This Row],[Price_USD]]</f>
        <v>1687631287.75</v>
      </c>
      <c r="T2442">
        <v>5</v>
      </c>
      <c r="U2442">
        <v>16475</v>
      </c>
      <c r="V2442">
        <v>3</v>
      </c>
    </row>
    <row r="2443" spans="1:22" x14ac:dyDescent="0.35">
      <c r="A2443">
        <v>2442</v>
      </c>
      <c r="B2443" t="s">
        <v>79</v>
      </c>
      <c r="C2443" t="s">
        <v>376</v>
      </c>
      <c r="D2443">
        <v>2016</v>
      </c>
      <c r="E2443" t="s">
        <v>104</v>
      </c>
      <c r="F2443">
        <v>35.700000000000003</v>
      </c>
      <c r="G2443" t="s">
        <v>357</v>
      </c>
      <c r="H2443">
        <f>electric_vehicles_dataset[[#This Row],[Battery_Capacity_kWh]]/electric_vehicles_dataset[[#This Row],[Range_km]]</f>
        <v>8.925000000000001E-2</v>
      </c>
      <c r="I2443">
        <v>400</v>
      </c>
      <c r="J2443" t="s">
        <v>345</v>
      </c>
      <c r="K2443">
        <v>6</v>
      </c>
      <c r="L2443" s="1">
        <v>79638.710000000006</v>
      </c>
      <c r="M2443" s="1" t="str" cm="1">
        <f t="array" ref="M244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43" t="s">
        <v>59</v>
      </c>
      <c r="O2443" t="s">
        <v>20</v>
      </c>
      <c r="P2443" s="2" t="s">
        <v>389</v>
      </c>
      <c r="Q2443">
        <v>5</v>
      </c>
      <c r="R2443" t="s">
        <v>392</v>
      </c>
      <c r="S2443" s="1">
        <f>electric_vehicles_dataset[[#This Row],[Units_Sold_2024]]*electric_vehicles_dataset[[#This Row],[Price_USD]]</f>
        <v>1080139823.73</v>
      </c>
      <c r="T2443">
        <v>4</v>
      </c>
      <c r="U2443">
        <v>13563</v>
      </c>
      <c r="V2443">
        <v>4</v>
      </c>
    </row>
    <row r="2444" spans="1:22" x14ac:dyDescent="0.35">
      <c r="A2444">
        <v>2443</v>
      </c>
      <c r="B2444" t="s">
        <v>60</v>
      </c>
      <c r="C2444" t="s">
        <v>248</v>
      </c>
      <c r="D2444">
        <v>2017</v>
      </c>
      <c r="E2444" t="s">
        <v>101</v>
      </c>
      <c r="F2444">
        <v>111.4</v>
      </c>
      <c r="G2444" t="s">
        <v>361</v>
      </c>
      <c r="H2444">
        <f>electric_vehicles_dataset[[#This Row],[Battery_Capacity_kWh]]/electric_vehicles_dataset[[#This Row],[Range_km]]</f>
        <v>0.21757812500000001</v>
      </c>
      <c r="I2444">
        <v>512</v>
      </c>
      <c r="J2444" t="s">
        <v>34</v>
      </c>
      <c r="K2444">
        <v>2</v>
      </c>
      <c r="L2444" s="1">
        <v>98099.62</v>
      </c>
      <c r="M2444" s="1" t="str" cm="1">
        <f t="array" ref="M244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44" t="s">
        <v>146</v>
      </c>
      <c r="O2444" t="s">
        <v>134</v>
      </c>
      <c r="P2444" s="2" t="s">
        <v>389</v>
      </c>
      <c r="Q2444">
        <v>4</v>
      </c>
      <c r="R2444" t="s">
        <v>392</v>
      </c>
      <c r="S2444" s="1">
        <f>electric_vehicles_dataset[[#This Row],[Units_Sold_2024]]*electric_vehicles_dataset[[#This Row],[Price_USD]]</f>
        <v>421141668.65999997</v>
      </c>
      <c r="T2444">
        <v>4</v>
      </c>
      <c r="U2444">
        <v>4293</v>
      </c>
      <c r="V2444">
        <v>5</v>
      </c>
    </row>
    <row r="2445" spans="1:22" x14ac:dyDescent="0.35">
      <c r="A2445">
        <v>2444</v>
      </c>
      <c r="B2445" t="s">
        <v>234</v>
      </c>
      <c r="C2445" t="s">
        <v>235</v>
      </c>
      <c r="D2445">
        <v>2024</v>
      </c>
      <c r="E2445" t="s">
        <v>183</v>
      </c>
      <c r="F2445">
        <v>58.5</v>
      </c>
      <c r="G2445" t="s">
        <v>348</v>
      </c>
      <c r="H2445">
        <f>electric_vehicles_dataset[[#This Row],[Battery_Capacity_kWh]]/electric_vehicles_dataset[[#This Row],[Range_km]]</f>
        <v>0.13205417607223477</v>
      </c>
      <c r="I2445">
        <v>443</v>
      </c>
      <c r="J2445" t="s">
        <v>105</v>
      </c>
      <c r="K2445">
        <v>9</v>
      </c>
      <c r="L2445" s="1">
        <v>68380.78</v>
      </c>
      <c r="M2445" s="1" t="str" cm="1">
        <f t="array" ref="M244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45" t="s">
        <v>152</v>
      </c>
      <c r="O2445" t="s">
        <v>169</v>
      </c>
      <c r="P2445" s="2" t="s">
        <v>394</v>
      </c>
      <c r="Q2445">
        <v>0</v>
      </c>
      <c r="R2445" t="s">
        <v>390</v>
      </c>
      <c r="S2445" s="1">
        <f>electric_vehicles_dataset[[#This Row],[Units_Sold_2024]]*electric_vehicles_dataset[[#This Row],[Price_USD]]</f>
        <v>1201108400.7</v>
      </c>
      <c r="T2445">
        <v>5</v>
      </c>
      <c r="U2445">
        <v>17565</v>
      </c>
      <c r="V2445">
        <v>4</v>
      </c>
    </row>
    <row r="2446" spans="1:22" x14ac:dyDescent="0.35">
      <c r="A2446">
        <v>2445</v>
      </c>
      <c r="B2446" t="s">
        <v>313</v>
      </c>
      <c r="C2446" t="s">
        <v>314</v>
      </c>
      <c r="D2446">
        <v>2015</v>
      </c>
      <c r="E2446" t="s">
        <v>183</v>
      </c>
      <c r="F2446">
        <v>115.8</v>
      </c>
      <c r="G2446" t="s">
        <v>361</v>
      </c>
      <c r="H2446">
        <f>electric_vehicles_dataset[[#This Row],[Battery_Capacity_kWh]]/electric_vehicles_dataset[[#This Row],[Range_km]]</f>
        <v>0.2101633393829401</v>
      </c>
      <c r="I2446">
        <v>551</v>
      </c>
      <c r="J2446" t="s">
        <v>27</v>
      </c>
      <c r="K2446">
        <v>9</v>
      </c>
      <c r="L2446" s="1">
        <v>99914.47</v>
      </c>
      <c r="M2446" s="1" t="str" cm="1">
        <f t="array" ref="M244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46" t="s">
        <v>143</v>
      </c>
      <c r="O2446" t="s">
        <v>33</v>
      </c>
      <c r="P2446" s="2" t="s">
        <v>393</v>
      </c>
      <c r="Q2446">
        <v>5</v>
      </c>
      <c r="R2446" t="s">
        <v>392</v>
      </c>
      <c r="S2446" s="1">
        <f>electric_vehicles_dataset[[#This Row],[Units_Sold_2024]]*electric_vehicles_dataset[[#This Row],[Price_USD]]</f>
        <v>463703055.26999998</v>
      </c>
      <c r="T2446">
        <v>3</v>
      </c>
      <c r="U2446">
        <v>4641</v>
      </c>
      <c r="V2446">
        <v>3</v>
      </c>
    </row>
    <row r="2447" spans="1:22" x14ac:dyDescent="0.35">
      <c r="A2447">
        <v>2446</v>
      </c>
      <c r="B2447" t="s">
        <v>261</v>
      </c>
      <c r="C2447" t="s">
        <v>370</v>
      </c>
      <c r="D2447">
        <v>2025</v>
      </c>
      <c r="E2447" t="s">
        <v>17</v>
      </c>
      <c r="F2447">
        <v>122</v>
      </c>
      <c r="G2447" t="s">
        <v>352</v>
      </c>
      <c r="H2447">
        <f>electric_vehicles_dataset[[#This Row],[Battery_Capacity_kWh]]/electric_vehicles_dataset[[#This Row],[Range_km]]</f>
        <v>0.42657342657342656</v>
      </c>
      <c r="I2447">
        <v>286</v>
      </c>
      <c r="J2447" t="s">
        <v>359</v>
      </c>
      <c r="K2447">
        <v>5</v>
      </c>
      <c r="L2447" s="1">
        <v>31831.8</v>
      </c>
      <c r="M2447" s="1" t="str" cm="1">
        <f t="array" ref="M244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47" t="s">
        <v>43</v>
      </c>
      <c r="O2447" t="s">
        <v>167</v>
      </c>
      <c r="P2447" s="2" t="s">
        <v>394</v>
      </c>
      <c r="Q2447">
        <v>0</v>
      </c>
      <c r="R2447" t="s">
        <v>390</v>
      </c>
      <c r="S2447" s="1">
        <f>electric_vehicles_dataset[[#This Row],[Units_Sold_2024]]*electric_vehicles_dataset[[#This Row],[Price_USD]]</f>
        <v>399329931</v>
      </c>
      <c r="T2447">
        <v>4</v>
      </c>
      <c r="U2447">
        <v>12545</v>
      </c>
      <c r="V2447">
        <v>3</v>
      </c>
    </row>
    <row r="2448" spans="1:22" x14ac:dyDescent="0.35">
      <c r="A2448">
        <v>2447</v>
      </c>
      <c r="B2448" t="s">
        <v>21</v>
      </c>
      <c r="C2448" t="s">
        <v>363</v>
      </c>
      <c r="D2448">
        <v>2025</v>
      </c>
      <c r="E2448" t="s">
        <v>31</v>
      </c>
      <c r="F2448">
        <v>73.3</v>
      </c>
      <c r="G2448" t="s">
        <v>351</v>
      </c>
      <c r="H2448">
        <f>electric_vehicles_dataset[[#This Row],[Battery_Capacity_kWh]]/electric_vehicles_dataset[[#This Row],[Range_km]]</f>
        <v>0.15900216919739696</v>
      </c>
      <c r="I2448">
        <v>461</v>
      </c>
      <c r="J2448" t="s">
        <v>356</v>
      </c>
      <c r="K2448">
        <v>7</v>
      </c>
      <c r="L2448" s="1">
        <v>149429.51</v>
      </c>
      <c r="M2448" s="1" t="str" cm="1">
        <f t="array" ref="M244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48" t="s">
        <v>172</v>
      </c>
      <c r="O2448" t="s">
        <v>150</v>
      </c>
      <c r="P2448" s="2" t="s">
        <v>389</v>
      </c>
      <c r="Q2448">
        <v>0</v>
      </c>
      <c r="R2448" t="s">
        <v>390</v>
      </c>
      <c r="S2448" s="1">
        <f>electric_vehicles_dataset[[#This Row],[Units_Sold_2024]]*electric_vehicles_dataset[[#This Row],[Price_USD]]</f>
        <v>1051087173.34</v>
      </c>
      <c r="T2448">
        <v>3</v>
      </c>
      <c r="U2448">
        <v>7034</v>
      </c>
      <c r="V2448">
        <v>5</v>
      </c>
    </row>
    <row r="2449" spans="1:22" x14ac:dyDescent="0.35">
      <c r="A2449">
        <v>2448</v>
      </c>
      <c r="B2449" t="s">
        <v>21</v>
      </c>
      <c r="C2449" t="s">
        <v>349</v>
      </c>
      <c r="D2449">
        <v>2016</v>
      </c>
      <c r="E2449" t="s">
        <v>101</v>
      </c>
      <c r="F2449">
        <v>21.5</v>
      </c>
      <c r="G2449" t="s">
        <v>357</v>
      </c>
      <c r="H2449">
        <f>electric_vehicles_dataset[[#This Row],[Battery_Capacity_kWh]]/electric_vehicles_dataset[[#This Row],[Range_km]]</f>
        <v>3.7918871252204583E-2</v>
      </c>
      <c r="I2449">
        <v>567</v>
      </c>
      <c r="J2449" t="s">
        <v>358</v>
      </c>
      <c r="K2449">
        <v>5</v>
      </c>
      <c r="L2449" s="1">
        <v>87208.29</v>
      </c>
      <c r="M2449" s="1" t="str" cm="1">
        <f t="array" ref="M244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49" t="s">
        <v>102</v>
      </c>
      <c r="O2449" t="s">
        <v>236</v>
      </c>
      <c r="P2449" s="2" t="s">
        <v>394</v>
      </c>
      <c r="Q2449">
        <v>0</v>
      </c>
      <c r="R2449" t="s">
        <v>390</v>
      </c>
      <c r="S2449" s="1">
        <f>electric_vehicles_dataset[[#This Row],[Units_Sold_2024]]*electric_vehicles_dataset[[#This Row],[Price_USD]]</f>
        <v>715020769.70999992</v>
      </c>
      <c r="T2449">
        <v>4</v>
      </c>
      <c r="U2449">
        <v>8199</v>
      </c>
      <c r="V2449">
        <v>5</v>
      </c>
    </row>
    <row r="2450" spans="1:22" x14ac:dyDescent="0.35">
      <c r="A2450">
        <v>2449</v>
      </c>
      <c r="B2450" t="s">
        <v>128</v>
      </c>
      <c r="C2450" t="s">
        <v>332</v>
      </c>
      <c r="D2450">
        <v>2020</v>
      </c>
      <c r="E2450" t="s">
        <v>42</v>
      </c>
      <c r="F2450">
        <v>82.8</v>
      </c>
      <c r="G2450" t="s">
        <v>350</v>
      </c>
      <c r="H2450">
        <f>electric_vehicles_dataset[[#This Row],[Battery_Capacity_kWh]]/electric_vehicles_dataset[[#This Row],[Range_km]]</f>
        <v>0.2471641791044776</v>
      </c>
      <c r="I2450">
        <v>335</v>
      </c>
      <c r="J2450" t="s">
        <v>48</v>
      </c>
      <c r="K2450">
        <v>7</v>
      </c>
      <c r="L2450" s="1">
        <v>113582.33</v>
      </c>
      <c r="M2450" s="1" t="str" cm="1">
        <f t="array" ref="M245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50" t="s">
        <v>91</v>
      </c>
      <c r="O2450" t="s">
        <v>164</v>
      </c>
      <c r="P2450" s="2" t="s">
        <v>394</v>
      </c>
      <c r="Q2450">
        <v>2</v>
      </c>
      <c r="R2450" t="s">
        <v>391</v>
      </c>
      <c r="S2450" s="1">
        <f>electric_vehicles_dataset[[#This Row],[Units_Sold_2024]]*electric_vehicles_dataset[[#This Row],[Price_USD]]</f>
        <v>2191911804.3400002</v>
      </c>
      <c r="T2450">
        <v>3</v>
      </c>
      <c r="U2450">
        <v>19298</v>
      </c>
      <c r="V2450">
        <v>4</v>
      </c>
    </row>
    <row r="2451" spans="1:22" x14ac:dyDescent="0.35">
      <c r="A2451">
        <v>2450</v>
      </c>
      <c r="B2451" t="s">
        <v>262</v>
      </c>
      <c r="C2451" t="s">
        <v>373</v>
      </c>
      <c r="D2451">
        <v>2015</v>
      </c>
      <c r="E2451" t="s">
        <v>104</v>
      </c>
      <c r="F2451">
        <v>53.9</v>
      </c>
      <c r="G2451" t="s">
        <v>348</v>
      </c>
      <c r="H2451">
        <f>electric_vehicles_dataset[[#This Row],[Battery_Capacity_kWh]]/electric_vehicles_dataset[[#This Row],[Range_km]]</f>
        <v>0.10385356454720616</v>
      </c>
      <c r="I2451">
        <v>519</v>
      </c>
      <c r="J2451" t="s">
        <v>345</v>
      </c>
      <c r="K2451">
        <v>3</v>
      </c>
      <c r="L2451" s="1">
        <v>59278.65</v>
      </c>
      <c r="M2451" s="1" t="str" cm="1">
        <f t="array" ref="M245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51" t="s">
        <v>253</v>
      </c>
      <c r="O2451" t="s">
        <v>161</v>
      </c>
      <c r="P2451" s="2" t="s">
        <v>389</v>
      </c>
      <c r="Q2451">
        <v>0</v>
      </c>
      <c r="R2451" t="s">
        <v>390</v>
      </c>
      <c r="S2451" s="1">
        <f>electric_vehicles_dataset[[#This Row],[Units_Sold_2024]]*electric_vehicles_dataset[[#This Row],[Price_USD]]</f>
        <v>525505232.25</v>
      </c>
      <c r="T2451">
        <v>4</v>
      </c>
      <c r="U2451">
        <v>8865</v>
      </c>
      <c r="V2451">
        <v>4</v>
      </c>
    </row>
    <row r="2452" spans="1:22" x14ac:dyDescent="0.35">
      <c r="A2452">
        <v>2451</v>
      </c>
      <c r="B2452" t="s">
        <v>21</v>
      </c>
      <c r="C2452" t="s">
        <v>363</v>
      </c>
      <c r="D2452">
        <v>2018</v>
      </c>
      <c r="E2452" t="s">
        <v>17</v>
      </c>
      <c r="F2452">
        <v>105.9</v>
      </c>
      <c r="G2452" t="s">
        <v>361</v>
      </c>
      <c r="H2452">
        <f>electric_vehicles_dataset[[#This Row],[Battery_Capacity_kWh]]/electric_vehicles_dataset[[#This Row],[Range_km]]</f>
        <v>0.21790123456790125</v>
      </c>
      <c r="I2452">
        <v>486</v>
      </c>
      <c r="J2452" t="s">
        <v>149</v>
      </c>
      <c r="K2452">
        <v>7</v>
      </c>
      <c r="L2452" s="1">
        <v>90313.64</v>
      </c>
      <c r="M2452" s="1" t="str" cm="1">
        <f t="array" ref="M245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52" t="s">
        <v>19</v>
      </c>
      <c r="O2452" t="s">
        <v>147</v>
      </c>
      <c r="P2452" s="2" t="s">
        <v>396</v>
      </c>
      <c r="Q2452">
        <v>0</v>
      </c>
      <c r="R2452" t="s">
        <v>390</v>
      </c>
      <c r="S2452" s="1">
        <f>electric_vehicles_dataset[[#This Row],[Units_Sold_2024]]*electric_vehicles_dataset[[#This Row],[Price_USD]]</f>
        <v>404243852.63999999</v>
      </c>
      <c r="T2452">
        <v>3</v>
      </c>
      <c r="U2452">
        <v>4476</v>
      </c>
      <c r="V2452">
        <v>5</v>
      </c>
    </row>
    <row r="2453" spans="1:22" x14ac:dyDescent="0.35">
      <c r="A2453">
        <v>2452</v>
      </c>
      <c r="B2453" t="s">
        <v>74</v>
      </c>
      <c r="C2453" t="s">
        <v>75</v>
      </c>
      <c r="D2453">
        <v>2021</v>
      </c>
      <c r="E2453" t="s">
        <v>26</v>
      </c>
      <c r="F2453">
        <v>134.69999999999999</v>
      </c>
      <c r="G2453" t="s">
        <v>352</v>
      </c>
      <c r="H2453">
        <f>electric_vehicles_dataset[[#This Row],[Battery_Capacity_kWh]]/electric_vehicles_dataset[[#This Row],[Range_km]]</f>
        <v>0.81636363636363629</v>
      </c>
      <c r="I2453">
        <v>165</v>
      </c>
      <c r="J2453" t="s">
        <v>38</v>
      </c>
      <c r="K2453">
        <v>4</v>
      </c>
      <c r="L2453" s="1">
        <v>89440.54</v>
      </c>
      <c r="M2453" s="1" t="str" cm="1">
        <f t="array" ref="M245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53" t="s">
        <v>246</v>
      </c>
      <c r="O2453" t="s">
        <v>67</v>
      </c>
      <c r="P2453" s="2" t="s">
        <v>394</v>
      </c>
      <c r="Q2453">
        <v>4</v>
      </c>
      <c r="R2453" t="s">
        <v>392</v>
      </c>
      <c r="S2453" s="1">
        <f>electric_vehicles_dataset[[#This Row],[Units_Sold_2024]]*electric_vehicles_dataset[[#This Row],[Price_USD]]</f>
        <v>41321529.479999997</v>
      </c>
      <c r="T2453">
        <v>4</v>
      </c>
      <c r="U2453">
        <v>462</v>
      </c>
      <c r="V2453">
        <v>3</v>
      </c>
    </row>
    <row r="2454" spans="1:22" x14ac:dyDescent="0.35">
      <c r="A2454">
        <v>2453</v>
      </c>
      <c r="B2454" t="s">
        <v>193</v>
      </c>
      <c r="C2454" t="s">
        <v>312</v>
      </c>
      <c r="D2454">
        <v>2021</v>
      </c>
      <c r="E2454" t="s">
        <v>58</v>
      </c>
      <c r="F2454">
        <v>128.19999999999999</v>
      </c>
      <c r="G2454" t="s">
        <v>352</v>
      </c>
      <c r="H2454">
        <f>electric_vehicles_dataset[[#This Row],[Battery_Capacity_kWh]]/electric_vehicles_dataset[[#This Row],[Range_km]]</f>
        <v>0.3119221411192214</v>
      </c>
      <c r="I2454">
        <v>411</v>
      </c>
      <c r="J2454" t="s">
        <v>345</v>
      </c>
      <c r="K2454">
        <v>9</v>
      </c>
      <c r="L2454" s="1">
        <v>31559.53</v>
      </c>
      <c r="M2454" s="1" t="str" cm="1">
        <f t="array" ref="M24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54" t="s">
        <v>301</v>
      </c>
      <c r="O2454" t="s">
        <v>92</v>
      </c>
      <c r="P2454" s="2" t="s">
        <v>394</v>
      </c>
      <c r="Q2454">
        <v>5</v>
      </c>
      <c r="R2454" t="s">
        <v>392</v>
      </c>
      <c r="S2454" s="1">
        <f>electric_vehicles_dataset[[#This Row],[Units_Sold_2024]]*electric_vehicles_dataset[[#This Row],[Price_USD]]</f>
        <v>466134258.09999996</v>
      </c>
      <c r="T2454">
        <v>3</v>
      </c>
      <c r="U2454">
        <v>14770</v>
      </c>
      <c r="V2454">
        <v>3</v>
      </c>
    </row>
    <row r="2455" spans="1:22" x14ac:dyDescent="0.35">
      <c r="A2455">
        <v>2454</v>
      </c>
      <c r="B2455" t="s">
        <v>207</v>
      </c>
      <c r="C2455" t="s">
        <v>208</v>
      </c>
      <c r="D2455">
        <v>2020</v>
      </c>
      <c r="E2455" t="s">
        <v>133</v>
      </c>
      <c r="F2455">
        <v>71</v>
      </c>
      <c r="G2455" t="s">
        <v>351</v>
      </c>
      <c r="H2455">
        <f>electric_vehicles_dataset[[#This Row],[Battery_Capacity_kWh]]/electric_vehicles_dataset[[#This Row],[Range_km]]</f>
        <v>0.12478031634446397</v>
      </c>
      <c r="I2455">
        <v>569</v>
      </c>
      <c r="J2455" t="s">
        <v>353</v>
      </c>
      <c r="K2455">
        <v>8</v>
      </c>
      <c r="L2455" s="1">
        <v>117415.69</v>
      </c>
      <c r="M2455" s="1" t="str" cm="1">
        <f t="array" ref="M245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55" t="s">
        <v>179</v>
      </c>
      <c r="O2455" t="s">
        <v>78</v>
      </c>
      <c r="P2455" s="2" t="s">
        <v>389</v>
      </c>
      <c r="Q2455">
        <v>4</v>
      </c>
      <c r="R2455" t="s">
        <v>392</v>
      </c>
      <c r="S2455" s="1">
        <f>electric_vehicles_dataset[[#This Row],[Units_Sold_2024]]*electric_vehicles_dataset[[#This Row],[Price_USD]]</f>
        <v>2133208255.9200001</v>
      </c>
      <c r="T2455">
        <v>3</v>
      </c>
      <c r="U2455">
        <v>18168</v>
      </c>
      <c r="V2455">
        <v>5</v>
      </c>
    </row>
    <row r="2456" spans="1:22" x14ac:dyDescent="0.35">
      <c r="A2456">
        <v>2455</v>
      </c>
      <c r="B2456" t="s">
        <v>122</v>
      </c>
      <c r="C2456" t="s">
        <v>186</v>
      </c>
      <c r="D2456">
        <v>2018</v>
      </c>
      <c r="E2456" t="s">
        <v>58</v>
      </c>
      <c r="F2456">
        <v>94.7</v>
      </c>
      <c r="G2456" t="s">
        <v>350</v>
      </c>
      <c r="H2456">
        <f>electric_vehicles_dataset[[#This Row],[Battery_Capacity_kWh]]/electric_vehicles_dataset[[#This Row],[Range_km]]</f>
        <v>0.36145038167938931</v>
      </c>
      <c r="I2456">
        <v>262</v>
      </c>
      <c r="J2456" t="s">
        <v>34</v>
      </c>
      <c r="K2456">
        <v>6</v>
      </c>
      <c r="L2456" s="1">
        <v>92841.1</v>
      </c>
      <c r="M2456" s="1" t="str" cm="1">
        <f t="array" ref="M24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56" t="s">
        <v>240</v>
      </c>
      <c r="O2456" t="s">
        <v>93</v>
      </c>
      <c r="P2456" s="2" t="s">
        <v>389</v>
      </c>
      <c r="Q2456">
        <v>0</v>
      </c>
      <c r="R2456" t="s">
        <v>390</v>
      </c>
      <c r="S2456" s="1">
        <f>electric_vehicles_dataset[[#This Row],[Units_Sold_2024]]*electric_vehicles_dataset[[#This Row],[Price_USD]]</f>
        <v>1647465319.5</v>
      </c>
      <c r="T2456">
        <v>5</v>
      </c>
      <c r="U2456">
        <v>17745</v>
      </c>
      <c r="V2456">
        <v>5</v>
      </c>
    </row>
    <row r="2457" spans="1:22" x14ac:dyDescent="0.35">
      <c r="A2457">
        <v>2456</v>
      </c>
      <c r="B2457" t="s">
        <v>180</v>
      </c>
      <c r="C2457" t="s">
        <v>379</v>
      </c>
      <c r="D2457">
        <v>2017</v>
      </c>
      <c r="E2457" t="s">
        <v>104</v>
      </c>
      <c r="F2457">
        <v>101.9</v>
      </c>
      <c r="G2457" t="s">
        <v>361</v>
      </c>
      <c r="H2457">
        <f>electric_vehicles_dataset[[#This Row],[Battery_Capacity_kWh]]/electric_vehicles_dataset[[#This Row],[Range_km]]</f>
        <v>0.66601307189542491</v>
      </c>
      <c r="I2457">
        <v>153</v>
      </c>
      <c r="J2457" t="s">
        <v>364</v>
      </c>
      <c r="K2457">
        <v>12</v>
      </c>
      <c r="L2457" s="1">
        <v>99950.95</v>
      </c>
      <c r="M2457" s="1" t="str" cm="1">
        <f t="array" ref="M245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57" t="s">
        <v>210</v>
      </c>
      <c r="O2457" t="s">
        <v>63</v>
      </c>
      <c r="P2457" s="2" t="s">
        <v>389</v>
      </c>
      <c r="Q2457">
        <v>4</v>
      </c>
      <c r="R2457" t="s">
        <v>392</v>
      </c>
      <c r="S2457" s="1">
        <f>electric_vehicles_dataset[[#This Row],[Units_Sold_2024]]*electric_vehicles_dataset[[#This Row],[Price_USD]]</f>
        <v>962227795.64999998</v>
      </c>
      <c r="T2457">
        <v>5</v>
      </c>
      <c r="U2457">
        <v>9627</v>
      </c>
      <c r="V2457">
        <v>3</v>
      </c>
    </row>
    <row r="2458" spans="1:22" x14ac:dyDescent="0.35">
      <c r="A2458">
        <v>2457</v>
      </c>
      <c r="B2458" t="s">
        <v>68</v>
      </c>
      <c r="C2458" t="s">
        <v>289</v>
      </c>
      <c r="D2458">
        <v>2019</v>
      </c>
      <c r="E2458" t="s">
        <v>58</v>
      </c>
      <c r="F2458">
        <v>127.3</v>
      </c>
      <c r="G2458" t="s">
        <v>352</v>
      </c>
      <c r="H2458">
        <f>electric_vehicles_dataset[[#This Row],[Battery_Capacity_kWh]]/electric_vehicles_dataset[[#This Row],[Range_km]]</f>
        <v>0.48961538461538462</v>
      </c>
      <c r="I2458">
        <v>260</v>
      </c>
      <c r="J2458" t="s">
        <v>345</v>
      </c>
      <c r="K2458">
        <v>8</v>
      </c>
      <c r="L2458" s="1">
        <v>118599.67999999999</v>
      </c>
      <c r="M2458" s="1" t="str" cm="1">
        <f t="array" ref="M245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58" t="s">
        <v>98</v>
      </c>
      <c r="O2458" t="s">
        <v>95</v>
      </c>
      <c r="P2458" s="2" t="s">
        <v>394</v>
      </c>
      <c r="Q2458">
        <v>1</v>
      </c>
      <c r="R2458" t="s">
        <v>391</v>
      </c>
      <c r="S2458" s="1">
        <f>electric_vehicles_dataset[[#This Row],[Units_Sold_2024]]*electric_vehicles_dataset[[#This Row],[Price_USD]]</f>
        <v>2107279114.2399998</v>
      </c>
      <c r="T2458">
        <v>5</v>
      </c>
      <c r="U2458">
        <v>17768</v>
      </c>
      <c r="V2458">
        <v>5</v>
      </c>
    </row>
    <row r="2459" spans="1:22" x14ac:dyDescent="0.35">
      <c r="A2459">
        <v>2458</v>
      </c>
      <c r="B2459" t="s">
        <v>96</v>
      </c>
      <c r="C2459" t="s">
        <v>97</v>
      </c>
      <c r="D2459">
        <v>2021</v>
      </c>
      <c r="E2459" t="s">
        <v>130</v>
      </c>
      <c r="F2459">
        <v>70.599999999999994</v>
      </c>
      <c r="G2459" t="s">
        <v>351</v>
      </c>
      <c r="H2459">
        <f>electric_vehicles_dataset[[#This Row],[Battery_Capacity_kWh]]/electric_vehicles_dataset[[#This Row],[Range_km]]</f>
        <v>0.22062499999999999</v>
      </c>
      <c r="I2459">
        <v>320</v>
      </c>
      <c r="J2459" t="s">
        <v>27</v>
      </c>
      <c r="K2459">
        <v>12</v>
      </c>
      <c r="L2459" s="1">
        <v>76469.100000000006</v>
      </c>
      <c r="M2459" s="1" t="str" cm="1">
        <f t="array" ref="M245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59" t="s">
        <v>177</v>
      </c>
      <c r="O2459" t="s">
        <v>121</v>
      </c>
      <c r="P2459" s="2" t="s">
        <v>398</v>
      </c>
      <c r="Q2459">
        <v>2</v>
      </c>
      <c r="R2459" t="s">
        <v>391</v>
      </c>
      <c r="S2459" s="1">
        <f>electric_vehicles_dataset[[#This Row],[Units_Sold_2024]]*electric_vehicles_dataset[[#This Row],[Price_USD]]</f>
        <v>776084895.9000001</v>
      </c>
      <c r="T2459">
        <v>3</v>
      </c>
      <c r="U2459">
        <v>10149</v>
      </c>
      <c r="V2459">
        <v>3</v>
      </c>
    </row>
    <row r="2460" spans="1:22" x14ac:dyDescent="0.35">
      <c r="A2460">
        <v>2459</v>
      </c>
      <c r="B2460" t="s">
        <v>224</v>
      </c>
      <c r="C2460" t="s">
        <v>297</v>
      </c>
      <c r="D2460">
        <v>2024</v>
      </c>
      <c r="E2460" t="s">
        <v>90</v>
      </c>
      <c r="F2460">
        <v>126.4</v>
      </c>
      <c r="G2460" t="s">
        <v>352</v>
      </c>
      <c r="H2460">
        <f>electric_vehicles_dataset[[#This Row],[Battery_Capacity_kWh]]/electric_vehicles_dataset[[#This Row],[Range_km]]</f>
        <v>0.37176470588235294</v>
      </c>
      <c r="I2460">
        <v>340</v>
      </c>
      <c r="J2460" t="s">
        <v>359</v>
      </c>
      <c r="K2460">
        <v>7</v>
      </c>
      <c r="L2460" s="1">
        <v>64412.41</v>
      </c>
      <c r="M2460" s="1" t="str" cm="1">
        <f t="array" ref="M246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60" t="s">
        <v>117</v>
      </c>
      <c r="O2460" t="s">
        <v>63</v>
      </c>
      <c r="P2460" s="2" t="s">
        <v>389</v>
      </c>
      <c r="Q2460">
        <v>2</v>
      </c>
      <c r="R2460" t="s">
        <v>391</v>
      </c>
      <c r="S2460" s="1">
        <f>electric_vehicles_dataset[[#This Row],[Units_Sold_2024]]*electric_vehicles_dataset[[#This Row],[Price_USD]]</f>
        <v>339968699.98000002</v>
      </c>
      <c r="T2460">
        <v>3</v>
      </c>
      <c r="U2460">
        <v>5278</v>
      </c>
      <c r="V2460">
        <v>5</v>
      </c>
    </row>
    <row r="2461" spans="1:22" x14ac:dyDescent="0.35">
      <c r="A2461">
        <v>2460</v>
      </c>
      <c r="B2461" t="s">
        <v>51</v>
      </c>
      <c r="C2461" t="s">
        <v>162</v>
      </c>
      <c r="D2461">
        <v>2025</v>
      </c>
      <c r="E2461" t="s">
        <v>31</v>
      </c>
      <c r="F2461">
        <v>102.4</v>
      </c>
      <c r="G2461" t="s">
        <v>361</v>
      </c>
      <c r="H2461">
        <f>electric_vehicles_dataset[[#This Row],[Battery_Capacity_kWh]]/electric_vehicles_dataset[[#This Row],[Range_km]]</f>
        <v>0.18754578754578755</v>
      </c>
      <c r="I2461">
        <v>546</v>
      </c>
      <c r="J2461" t="s">
        <v>345</v>
      </c>
      <c r="K2461">
        <v>9</v>
      </c>
      <c r="L2461" s="1">
        <v>51643.26</v>
      </c>
      <c r="M2461" s="1" t="str" cm="1">
        <f t="array" ref="M246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61" t="s">
        <v>62</v>
      </c>
      <c r="O2461" t="s">
        <v>110</v>
      </c>
      <c r="P2461" s="2" t="s">
        <v>394</v>
      </c>
      <c r="Q2461">
        <v>1</v>
      </c>
      <c r="R2461" t="s">
        <v>391</v>
      </c>
      <c r="S2461" s="1">
        <f>electric_vehicles_dataset[[#This Row],[Units_Sold_2024]]*electric_vehicles_dataset[[#This Row],[Price_USD]]</f>
        <v>522733077.72000003</v>
      </c>
      <c r="T2461">
        <v>4</v>
      </c>
      <c r="U2461">
        <v>10122</v>
      </c>
      <c r="V2461">
        <v>5</v>
      </c>
    </row>
    <row r="2462" spans="1:22" x14ac:dyDescent="0.35">
      <c r="A2462">
        <v>2461</v>
      </c>
      <c r="B2462" t="s">
        <v>200</v>
      </c>
      <c r="C2462" t="s">
        <v>327</v>
      </c>
      <c r="D2462">
        <v>2016</v>
      </c>
      <c r="E2462" t="s">
        <v>31</v>
      </c>
      <c r="F2462">
        <v>49</v>
      </c>
      <c r="G2462" t="s">
        <v>348</v>
      </c>
      <c r="H2462">
        <f>electric_vehicles_dataset[[#This Row],[Battery_Capacity_kWh]]/electric_vehicles_dataset[[#This Row],[Range_km]]</f>
        <v>9.0239410681399637E-2</v>
      </c>
      <c r="I2462">
        <v>543</v>
      </c>
      <c r="J2462" t="s">
        <v>48</v>
      </c>
      <c r="K2462">
        <v>1</v>
      </c>
      <c r="L2462" s="1">
        <v>86388.479999999996</v>
      </c>
      <c r="M2462" s="1" t="str" cm="1">
        <f t="array" ref="M24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62" t="s">
        <v>70</v>
      </c>
      <c r="O2462" t="s">
        <v>67</v>
      </c>
      <c r="P2462" s="2" t="s">
        <v>394</v>
      </c>
      <c r="Q2462">
        <v>3</v>
      </c>
      <c r="R2462" t="s">
        <v>397</v>
      </c>
      <c r="S2462" s="1">
        <f>electric_vehicles_dataset[[#This Row],[Units_Sold_2024]]*electric_vehicles_dataset[[#This Row],[Price_USD]]</f>
        <v>1678355389.4399998</v>
      </c>
      <c r="T2462">
        <v>3</v>
      </c>
      <c r="U2462">
        <v>19428</v>
      </c>
      <c r="V2462">
        <v>3</v>
      </c>
    </row>
    <row r="2463" spans="1:22" x14ac:dyDescent="0.35">
      <c r="A2463">
        <v>2462</v>
      </c>
      <c r="B2463" t="s">
        <v>215</v>
      </c>
      <c r="C2463" t="s">
        <v>216</v>
      </c>
      <c r="D2463">
        <v>2015</v>
      </c>
      <c r="E2463" t="s">
        <v>26</v>
      </c>
      <c r="F2463">
        <v>49.6</v>
      </c>
      <c r="G2463" t="s">
        <v>348</v>
      </c>
      <c r="H2463">
        <f>electric_vehicles_dataset[[#This Row],[Battery_Capacity_kWh]]/electric_vehicles_dataset[[#This Row],[Range_km]]</f>
        <v>8.6865148861646244E-2</v>
      </c>
      <c r="I2463">
        <v>571</v>
      </c>
      <c r="J2463" t="s">
        <v>18</v>
      </c>
      <c r="K2463">
        <v>7</v>
      </c>
      <c r="L2463" s="1">
        <v>147907.91</v>
      </c>
      <c r="M2463" s="1" t="str" cm="1">
        <f t="array" ref="M24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63" t="s">
        <v>172</v>
      </c>
      <c r="O2463" t="s">
        <v>89</v>
      </c>
      <c r="P2463" s="2" t="s">
        <v>389</v>
      </c>
      <c r="Q2463">
        <v>2</v>
      </c>
      <c r="R2463" t="s">
        <v>391</v>
      </c>
      <c r="S2463" s="1">
        <f>electric_vehicles_dataset[[#This Row],[Units_Sold_2024]]*electric_vehicles_dataset[[#This Row],[Price_USD]]</f>
        <v>1154569145.46</v>
      </c>
      <c r="T2463">
        <v>3</v>
      </c>
      <c r="U2463">
        <v>7806</v>
      </c>
      <c r="V2463">
        <v>5</v>
      </c>
    </row>
    <row r="2464" spans="1:22" x14ac:dyDescent="0.35">
      <c r="A2464">
        <v>2463</v>
      </c>
      <c r="B2464" t="s">
        <v>79</v>
      </c>
      <c r="C2464" t="s">
        <v>333</v>
      </c>
      <c r="D2464">
        <v>2021</v>
      </c>
      <c r="E2464" t="s">
        <v>84</v>
      </c>
      <c r="F2464">
        <v>69.099999999999994</v>
      </c>
      <c r="G2464" t="s">
        <v>351</v>
      </c>
      <c r="H2464">
        <f>electric_vehicles_dataset[[#This Row],[Battery_Capacity_kWh]]/electric_vehicles_dataset[[#This Row],[Range_km]]</f>
        <v>0.19742857142857143</v>
      </c>
      <c r="I2464">
        <v>350</v>
      </c>
      <c r="J2464" t="s">
        <v>356</v>
      </c>
      <c r="K2464">
        <v>2</v>
      </c>
      <c r="L2464" s="1">
        <v>134629.64000000001</v>
      </c>
      <c r="M2464" s="1" t="str" cm="1">
        <f t="array" ref="M24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64" t="s">
        <v>177</v>
      </c>
      <c r="O2464" t="s">
        <v>134</v>
      </c>
      <c r="P2464" s="2" t="s">
        <v>389</v>
      </c>
      <c r="Q2464">
        <v>3</v>
      </c>
      <c r="R2464" t="s">
        <v>397</v>
      </c>
      <c r="S2464" s="1">
        <f>electric_vehicles_dataset[[#This Row],[Units_Sold_2024]]*electric_vehicles_dataset[[#This Row],[Price_USD]]</f>
        <v>1506909560.5200002</v>
      </c>
      <c r="T2464">
        <v>4</v>
      </c>
      <c r="U2464">
        <v>11193</v>
      </c>
      <c r="V2464">
        <v>4</v>
      </c>
    </row>
    <row r="2465" spans="1:22" x14ac:dyDescent="0.35">
      <c r="A2465">
        <v>2464</v>
      </c>
      <c r="B2465" t="s">
        <v>29</v>
      </c>
      <c r="C2465" t="s">
        <v>197</v>
      </c>
      <c r="D2465">
        <v>2021</v>
      </c>
      <c r="E2465" t="s">
        <v>133</v>
      </c>
      <c r="F2465">
        <v>94.9</v>
      </c>
      <c r="G2465" t="s">
        <v>350</v>
      </c>
      <c r="H2465">
        <f>electric_vehicles_dataset[[#This Row],[Battery_Capacity_kWh]]/electric_vehicles_dataset[[#This Row],[Range_km]]</f>
        <v>0.3041666666666667</v>
      </c>
      <c r="I2465">
        <v>312</v>
      </c>
      <c r="J2465" t="s">
        <v>356</v>
      </c>
      <c r="K2465">
        <v>11</v>
      </c>
      <c r="L2465" s="1">
        <v>113761.62</v>
      </c>
      <c r="M2465" s="1" t="str" cm="1">
        <f t="array" ref="M246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65" t="s">
        <v>175</v>
      </c>
      <c r="O2465" t="s">
        <v>111</v>
      </c>
      <c r="P2465" s="2" t="s">
        <v>389</v>
      </c>
      <c r="Q2465">
        <v>3</v>
      </c>
      <c r="R2465" t="s">
        <v>397</v>
      </c>
      <c r="S2465" s="1">
        <f>electric_vehicles_dataset[[#This Row],[Units_Sold_2024]]*electric_vehicles_dataset[[#This Row],[Price_USD]]</f>
        <v>1119983148.8999999</v>
      </c>
      <c r="T2465">
        <v>4</v>
      </c>
      <c r="U2465">
        <v>9845</v>
      </c>
      <c r="V2465">
        <v>4</v>
      </c>
    </row>
    <row r="2466" spans="1:22" x14ac:dyDescent="0.35">
      <c r="A2466">
        <v>2465</v>
      </c>
      <c r="B2466" t="s">
        <v>94</v>
      </c>
      <c r="C2466" t="s">
        <v>360</v>
      </c>
      <c r="D2466">
        <v>2023</v>
      </c>
      <c r="E2466" t="s">
        <v>101</v>
      </c>
      <c r="F2466">
        <v>147.80000000000001</v>
      </c>
      <c r="G2466" t="s">
        <v>386</v>
      </c>
      <c r="H2466">
        <f>electric_vehicles_dataset[[#This Row],[Battery_Capacity_kWh]]/electric_vehicles_dataset[[#This Row],[Range_km]]</f>
        <v>0.55773584905660378</v>
      </c>
      <c r="I2466">
        <v>265</v>
      </c>
      <c r="J2466" t="s">
        <v>18</v>
      </c>
      <c r="K2466">
        <v>9</v>
      </c>
      <c r="L2466" s="1">
        <v>108563.42</v>
      </c>
      <c r="M2466" s="1" t="str" cm="1">
        <f t="array" ref="M246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66" t="s">
        <v>160</v>
      </c>
      <c r="O2466" t="s">
        <v>182</v>
      </c>
      <c r="P2466" s="2" t="s">
        <v>394</v>
      </c>
      <c r="Q2466">
        <v>5</v>
      </c>
      <c r="R2466" t="s">
        <v>392</v>
      </c>
      <c r="S2466" s="1">
        <f>electric_vehicles_dataset[[#This Row],[Units_Sold_2024]]*electric_vehicles_dataset[[#This Row],[Price_USD]]</f>
        <v>366401542.5</v>
      </c>
      <c r="T2466">
        <v>3</v>
      </c>
      <c r="U2466">
        <v>3375</v>
      </c>
      <c r="V2466">
        <v>3</v>
      </c>
    </row>
    <row r="2467" spans="1:22" x14ac:dyDescent="0.35">
      <c r="A2467">
        <v>2466</v>
      </c>
      <c r="B2467" t="s">
        <v>56</v>
      </c>
      <c r="C2467" t="s">
        <v>57</v>
      </c>
      <c r="D2467">
        <v>2022</v>
      </c>
      <c r="E2467" t="s">
        <v>53</v>
      </c>
      <c r="F2467">
        <v>52.5</v>
      </c>
      <c r="G2467" t="s">
        <v>348</v>
      </c>
      <c r="H2467">
        <f>electric_vehicles_dataset[[#This Row],[Battery_Capacity_kWh]]/electric_vehicles_dataset[[#This Row],[Range_km]]</f>
        <v>0.24082568807339449</v>
      </c>
      <c r="I2467">
        <v>218</v>
      </c>
      <c r="J2467" t="s">
        <v>149</v>
      </c>
      <c r="K2467">
        <v>1</v>
      </c>
      <c r="L2467" s="1">
        <v>85193.64</v>
      </c>
      <c r="M2467" s="1" t="str" cm="1">
        <f t="array" ref="M246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67" t="s">
        <v>179</v>
      </c>
      <c r="O2467" t="s">
        <v>169</v>
      </c>
      <c r="P2467" s="2" t="s">
        <v>394</v>
      </c>
      <c r="Q2467">
        <v>0</v>
      </c>
      <c r="R2467" t="s">
        <v>390</v>
      </c>
      <c r="S2467" s="1">
        <f>electric_vehicles_dataset[[#This Row],[Units_Sold_2024]]*electric_vehicles_dataset[[#This Row],[Price_USD]]</f>
        <v>1154884983.8399999</v>
      </c>
      <c r="T2467">
        <v>4</v>
      </c>
      <c r="U2467">
        <v>13556</v>
      </c>
      <c r="V2467">
        <v>5</v>
      </c>
    </row>
    <row r="2468" spans="1:22" x14ac:dyDescent="0.35">
      <c r="A2468">
        <v>2467</v>
      </c>
      <c r="B2468" t="s">
        <v>79</v>
      </c>
      <c r="C2468" t="s">
        <v>151</v>
      </c>
      <c r="D2468">
        <v>2023</v>
      </c>
      <c r="E2468" t="s">
        <v>31</v>
      </c>
      <c r="F2468">
        <v>85.5</v>
      </c>
      <c r="G2468" t="s">
        <v>350</v>
      </c>
      <c r="H2468">
        <f>electric_vehicles_dataset[[#This Row],[Battery_Capacity_kWh]]/electric_vehicles_dataset[[#This Row],[Range_km]]</f>
        <v>0.41304347826086957</v>
      </c>
      <c r="I2468">
        <v>207</v>
      </c>
      <c r="J2468" t="s">
        <v>364</v>
      </c>
      <c r="K2468">
        <v>10</v>
      </c>
      <c r="L2468" s="1">
        <v>56800.73</v>
      </c>
      <c r="M2468" s="1" t="str" cm="1">
        <f t="array" ref="M246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68" t="s">
        <v>196</v>
      </c>
      <c r="O2468" t="s">
        <v>89</v>
      </c>
      <c r="P2468" s="2" t="s">
        <v>389</v>
      </c>
      <c r="Q2468">
        <v>1</v>
      </c>
      <c r="R2468" t="s">
        <v>391</v>
      </c>
      <c r="S2468" s="1">
        <f>electric_vehicles_dataset[[#This Row],[Units_Sold_2024]]*electric_vehicles_dataset[[#This Row],[Price_USD]]</f>
        <v>96050034.430000007</v>
      </c>
      <c r="T2468">
        <v>4</v>
      </c>
      <c r="U2468">
        <v>1691</v>
      </c>
      <c r="V2468">
        <v>3</v>
      </c>
    </row>
    <row r="2469" spans="1:22" x14ac:dyDescent="0.35">
      <c r="A2469">
        <v>2468</v>
      </c>
      <c r="B2469" t="s">
        <v>16</v>
      </c>
      <c r="C2469" t="s">
        <v>347</v>
      </c>
      <c r="D2469">
        <v>2020</v>
      </c>
      <c r="E2469" t="s">
        <v>42</v>
      </c>
      <c r="F2469">
        <v>46.4</v>
      </c>
      <c r="G2469" t="s">
        <v>348</v>
      </c>
      <c r="H2469">
        <f>electric_vehicles_dataset[[#This Row],[Battery_Capacity_kWh]]/electric_vehicles_dataset[[#This Row],[Range_km]]</f>
        <v>0.20807174887892377</v>
      </c>
      <c r="I2469">
        <v>223</v>
      </c>
      <c r="J2469" t="s">
        <v>359</v>
      </c>
      <c r="K2469">
        <v>9</v>
      </c>
      <c r="L2469" s="1">
        <v>99370.06</v>
      </c>
      <c r="M2469" s="1" t="str" cm="1">
        <f t="array" ref="M24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69" t="s">
        <v>100</v>
      </c>
      <c r="O2469" t="s">
        <v>111</v>
      </c>
      <c r="P2469" s="2" t="s">
        <v>389</v>
      </c>
      <c r="Q2469">
        <v>2</v>
      </c>
      <c r="R2469" t="s">
        <v>391</v>
      </c>
      <c r="S2469" s="1">
        <f>electric_vehicles_dataset[[#This Row],[Units_Sold_2024]]*electric_vehicles_dataset[[#This Row],[Price_USD]]</f>
        <v>174493825.35999998</v>
      </c>
      <c r="T2469">
        <v>4</v>
      </c>
      <c r="U2469">
        <v>1756</v>
      </c>
      <c r="V2469">
        <v>4</v>
      </c>
    </row>
    <row r="2470" spans="1:22" x14ac:dyDescent="0.35">
      <c r="A2470">
        <v>2469</v>
      </c>
      <c r="B2470" t="s">
        <v>29</v>
      </c>
      <c r="C2470" t="s">
        <v>331</v>
      </c>
      <c r="D2470">
        <v>2020</v>
      </c>
      <c r="E2470" t="s">
        <v>17</v>
      </c>
      <c r="F2470">
        <v>81.2</v>
      </c>
      <c r="G2470" t="s">
        <v>350</v>
      </c>
      <c r="H2470">
        <f>electric_vehicles_dataset[[#This Row],[Battery_Capacity_kWh]]/electric_vehicles_dataset[[#This Row],[Range_km]]</f>
        <v>0.21886792452830189</v>
      </c>
      <c r="I2470">
        <v>371</v>
      </c>
      <c r="J2470" t="s">
        <v>18</v>
      </c>
      <c r="K2470">
        <v>5</v>
      </c>
      <c r="L2470" s="1">
        <v>94249.74</v>
      </c>
      <c r="M2470" s="1" t="str" cm="1">
        <f t="array" ref="M24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70" t="s">
        <v>22</v>
      </c>
      <c r="O2470" t="s">
        <v>63</v>
      </c>
      <c r="P2470" s="2" t="s">
        <v>389</v>
      </c>
      <c r="Q2470">
        <v>2</v>
      </c>
      <c r="R2470" t="s">
        <v>391</v>
      </c>
      <c r="S2470" s="1">
        <f>electric_vehicles_dataset[[#This Row],[Units_Sold_2024]]*electric_vehicles_dataset[[#This Row],[Price_USD]]</f>
        <v>1432878797.22</v>
      </c>
      <c r="T2470">
        <v>3</v>
      </c>
      <c r="U2470">
        <v>15203</v>
      </c>
      <c r="V2470">
        <v>3</v>
      </c>
    </row>
    <row r="2471" spans="1:22" x14ac:dyDescent="0.35">
      <c r="A2471">
        <v>2470</v>
      </c>
      <c r="B2471" t="s">
        <v>24</v>
      </c>
      <c r="C2471" t="s">
        <v>25</v>
      </c>
      <c r="D2471">
        <v>2025</v>
      </c>
      <c r="E2471" t="s">
        <v>47</v>
      </c>
      <c r="F2471">
        <v>117.2</v>
      </c>
      <c r="G2471" t="s">
        <v>361</v>
      </c>
      <c r="H2471">
        <f>electric_vehicles_dataset[[#This Row],[Battery_Capacity_kWh]]/electric_vehicles_dataset[[#This Row],[Range_km]]</f>
        <v>0.39197324414715717</v>
      </c>
      <c r="I2471">
        <v>299</v>
      </c>
      <c r="J2471" t="s">
        <v>85</v>
      </c>
      <c r="K2471">
        <v>9</v>
      </c>
      <c r="L2471" s="1">
        <v>112562.4</v>
      </c>
      <c r="M2471" s="1" t="str" cm="1">
        <f t="array" ref="M247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71" t="s">
        <v>238</v>
      </c>
      <c r="O2471" t="s">
        <v>110</v>
      </c>
      <c r="P2471" s="2" t="s">
        <v>394</v>
      </c>
      <c r="Q2471">
        <v>3</v>
      </c>
      <c r="R2471" t="s">
        <v>397</v>
      </c>
      <c r="S2471" s="1">
        <f>electric_vehicles_dataset[[#This Row],[Units_Sold_2024]]*electric_vehicles_dataset[[#This Row],[Price_USD]]</f>
        <v>663330223.19999993</v>
      </c>
      <c r="T2471">
        <v>4</v>
      </c>
      <c r="U2471">
        <v>5893</v>
      </c>
      <c r="V2471">
        <v>3</v>
      </c>
    </row>
    <row r="2472" spans="1:22" x14ac:dyDescent="0.35">
      <c r="A2472">
        <v>2471</v>
      </c>
      <c r="B2472" t="s">
        <v>16</v>
      </c>
      <c r="C2472" t="s">
        <v>347</v>
      </c>
      <c r="D2472">
        <v>2015</v>
      </c>
      <c r="E2472" t="s">
        <v>31</v>
      </c>
      <c r="F2472">
        <v>109</v>
      </c>
      <c r="G2472" t="s">
        <v>361</v>
      </c>
      <c r="H2472">
        <f>electric_vehicles_dataset[[#This Row],[Battery_Capacity_kWh]]/electric_vehicles_dataset[[#This Row],[Range_km]]</f>
        <v>0.39492753623188404</v>
      </c>
      <c r="I2472">
        <v>276</v>
      </c>
      <c r="J2472" t="s">
        <v>105</v>
      </c>
      <c r="K2472">
        <v>6</v>
      </c>
      <c r="L2472" s="1">
        <v>120890.93</v>
      </c>
      <c r="M2472" s="1" t="str" cm="1">
        <f t="array" ref="M247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72" t="s">
        <v>62</v>
      </c>
      <c r="O2472" t="s">
        <v>86</v>
      </c>
      <c r="P2472" s="2" t="s">
        <v>389</v>
      </c>
      <c r="Q2472">
        <v>0</v>
      </c>
      <c r="R2472" t="s">
        <v>390</v>
      </c>
      <c r="S2472" s="1">
        <f>electric_vehicles_dataset[[#This Row],[Units_Sold_2024]]*electric_vehicles_dataset[[#This Row],[Price_USD]]</f>
        <v>614005033.46999991</v>
      </c>
      <c r="T2472">
        <v>3</v>
      </c>
      <c r="U2472">
        <v>5079</v>
      </c>
      <c r="V2472">
        <v>3</v>
      </c>
    </row>
    <row r="2473" spans="1:22" x14ac:dyDescent="0.35">
      <c r="A2473">
        <v>2472</v>
      </c>
      <c r="B2473" t="s">
        <v>259</v>
      </c>
      <c r="C2473" t="s">
        <v>266</v>
      </c>
      <c r="D2473">
        <v>2016</v>
      </c>
      <c r="E2473" t="s">
        <v>183</v>
      </c>
      <c r="F2473">
        <v>123.2</v>
      </c>
      <c r="G2473" t="s">
        <v>352</v>
      </c>
      <c r="H2473">
        <f>electric_vehicles_dataset[[#This Row],[Battery_Capacity_kWh]]/electric_vehicles_dataset[[#This Row],[Range_km]]</f>
        <v>0.20775716694772345</v>
      </c>
      <c r="I2473">
        <v>593</v>
      </c>
      <c r="J2473" t="s">
        <v>85</v>
      </c>
      <c r="K2473">
        <v>11</v>
      </c>
      <c r="L2473" s="1">
        <v>114203.73</v>
      </c>
      <c r="M2473" s="1" t="str" cm="1">
        <f t="array" ref="M247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73" t="s">
        <v>131</v>
      </c>
      <c r="O2473" t="s">
        <v>206</v>
      </c>
      <c r="P2473" s="2" t="s">
        <v>394</v>
      </c>
      <c r="Q2473">
        <v>0</v>
      </c>
      <c r="R2473" t="s">
        <v>390</v>
      </c>
      <c r="S2473" s="1">
        <f>electric_vehicles_dataset[[#This Row],[Units_Sold_2024]]*electric_vehicles_dataset[[#This Row],[Price_USD]]</f>
        <v>693901863.48000002</v>
      </c>
      <c r="T2473">
        <v>4</v>
      </c>
      <c r="U2473">
        <v>6076</v>
      </c>
      <c r="V2473">
        <v>4</v>
      </c>
    </row>
    <row r="2474" spans="1:22" x14ac:dyDescent="0.35">
      <c r="A2474">
        <v>2473</v>
      </c>
      <c r="B2474" t="s">
        <v>87</v>
      </c>
      <c r="C2474" t="s">
        <v>305</v>
      </c>
      <c r="D2474">
        <v>2016</v>
      </c>
      <c r="E2474" t="s">
        <v>53</v>
      </c>
      <c r="F2474">
        <v>85.2</v>
      </c>
      <c r="G2474" t="s">
        <v>350</v>
      </c>
      <c r="H2474">
        <f>electric_vehicles_dataset[[#This Row],[Battery_Capacity_kWh]]/electric_vehicles_dataset[[#This Row],[Range_km]]</f>
        <v>0.35500000000000004</v>
      </c>
      <c r="I2474">
        <v>240</v>
      </c>
      <c r="J2474" t="s">
        <v>38</v>
      </c>
      <c r="K2474">
        <v>5</v>
      </c>
      <c r="L2474" s="1">
        <v>37730.9</v>
      </c>
      <c r="M2474" s="1" t="str" cm="1">
        <f t="array" ref="M24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74" t="s">
        <v>19</v>
      </c>
      <c r="O2474" t="s">
        <v>118</v>
      </c>
      <c r="P2474" s="2" t="s">
        <v>389</v>
      </c>
      <c r="Q2474">
        <v>4</v>
      </c>
      <c r="R2474" t="s">
        <v>392</v>
      </c>
      <c r="S2474" s="1">
        <f>electric_vehicles_dataset[[#This Row],[Units_Sold_2024]]*electric_vehicles_dataset[[#This Row],[Price_USD]]</f>
        <v>105721981.8</v>
      </c>
      <c r="T2474">
        <v>3</v>
      </c>
      <c r="U2474">
        <v>2802</v>
      </c>
      <c r="V2474">
        <v>4</v>
      </c>
    </row>
    <row r="2475" spans="1:22" x14ac:dyDescent="0.35">
      <c r="A2475">
        <v>2474</v>
      </c>
      <c r="B2475" t="s">
        <v>193</v>
      </c>
      <c r="C2475" t="s">
        <v>194</v>
      </c>
      <c r="D2475">
        <v>2015</v>
      </c>
      <c r="E2475" t="s">
        <v>53</v>
      </c>
      <c r="F2475">
        <v>50.2</v>
      </c>
      <c r="G2475" t="s">
        <v>348</v>
      </c>
      <c r="H2475">
        <f>electric_vehicles_dataset[[#This Row],[Battery_Capacity_kWh]]/electric_vehicles_dataset[[#This Row],[Range_km]]</f>
        <v>0.16459016393442624</v>
      </c>
      <c r="I2475">
        <v>305</v>
      </c>
      <c r="J2475" t="s">
        <v>353</v>
      </c>
      <c r="K2475">
        <v>1</v>
      </c>
      <c r="L2475" s="1">
        <v>138549.47</v>
      </c>
      <c r="M2475" s="1" t="str" cm="1">
        <f t="array" ref="M24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75" t="s">
        <v>177</v>
      </c>
      <c r="O2475" t="s">
        <v>206</v>
      </c>
      <c r="P2475" s="2" t="s">
        <v>394</v>
      </c>
      <c r="Q2475">
        <v>3</v>
      </c>
      <c r="R2475" t="s">
        <v>397</v>
      </c>
      <c r="S2475" s="1">
        <f>electric_vehicles_dataset[[#This Row],[Units_Sold_2024]]*electric_vehicles_dataset[[#This Row],[Price_USD]]</f>
        <v>41149192.590000004</v>
      </c>
      <c r="T2475">
        <v>5</v>
      </c>
      <c r="U2475">
        <v>297</v>
      </c>
      <c r="V2475">
        <v>4</v>
      </c>
    </row>
    <row r="2476" spans="1:22" x14ac:dyDescent="0.35">
      <c r="A2476">
        <v>2475</v>
      </c>
      <c r="B2476" t="s">
        <v>96</v>
      </c>
      <c r="C2476" t="s">
        <v>97</v>
      </c>
      <c r="D2476">
        <v>2023</v>
      </c>
      <c r="E2476" t="s">
        <v>42</v>
      </c>
      <c r="F2476">
        <v>66.8</v>
      </c>
      <c r="G2476" t="s">
        <v>351</v>
      </c>
      <c r="H2476">
        <f>electric_vehicles_dataset[[#This Row],[Battery_Capacity_kWh]]/electric_vehicles_dataset[[#This Row],[Range_km]]</f>
        <v>0.4423841059602649</v>
      </c>
      <c r="I2476">
        <v>151</v>
      </c>
      <c r="J2476" t="s">
        <v>358</v>
      </c>
      <c r="K2476">
        <v>10</v>
      </c>
      <c r="L2476" s="1">
        <v>90449.46</v>
      </c>
      <c r="M2476" s="1" t="str" cm="1">
        <f t="array" ref="M247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76" t="s">
        <v>66</v>
      </c>
      <c r="O2476" t="s">
        <v>199</v>
      </c>
      <c r="P2476" s="2" t="s">
        <v>394</v>
      </c>
      <c r="Q2476">
        <v>0</v>
      </c>
      <c r="R2476" t="s">
        <v>390</v>
      </c>
      <c r="S2476" s="1">
        <f>electric_vehicles_dataset[[#This Row],[Units_Sold_2024]]*electric_vehicles_dataset[[#This Row],[Price_USD]]</f>
        <v>176828694.30000001</v>
      </c>
      <c r="T2476">
        <v>4</v>
      </c>
      <c r="U2476">
        <v>1955</v>
      </c>
      <c r="V2476">
        <v>5</v>
      </c>
    </row>
    <row r="2477" spans="1:22" x14ac:dyDescent="0.35">
      <c r="A2477">
        <v>2476</v>
      </c>
      <c r="B2477" t="s">
        <v>125</v>
      </c>
      <c r="C2477" t="s">
        <v>291</v>
      </c>
      <c r="D2477">
        <v>2023</v>
      </c>
      <c r="E2477" t="s">
        <v>42</v>
      </c>
      <c r="F2477">
        <v>137.9</v>
      </c>
      <c r="G2477" t="s">
        <v>352</v>
      </c>
      <c r="H2477">
        <f>electric_vehicles_dataset[[#This Row],[Battery_Capacity_kWh]]/electric_vehicles_dataset[[#This Row],[Range_km]]</f>
        <v>0.53038461538461545</v>
      </c>
      <c r="I2477">
        <v>260</v>
      </c>
      <c r="J2477" t="s">
        <v>34</v>
      </c>
      <c r="K2477">
        <v>4</v>
      </c>
      <c r="L2477" s="1">
        <v>105012.82</v>
      </c>
      <c r="M2477" s="1" t="str" cm="1">
        <f t="array" ref="M247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77" t="s">
        <v>127</v>
      </c>
      <c r="O2477" t="s">
        <v>236</v>
      </c>
      <c r="P2477" s="2" t="s">
        <v>394</v>
      </c>
      <c r="Q2477">
        <v>5</v>
      </c>
      <c r="R2477" t="s">
        <v>392</v>
      </c>
      <c r="S2477" s="1">
        <f>electric_vehicles_dataset[[#This Row],[Units_Sold_2024]]*electric_vehicles_dataset[[#This Row],[Price_USD]]</f>
        <v>601618445.78000009</v>
      </c>
      <c r="T2477">
        <v>5</v>
      </c>
      <c r="U2477">
        <v>5729</v>
      </c>
      <c r="V2477">
        <v>3</v>
      </c>
    </row>
    <row r="2478" spans="1:22" x14ac:dyDescent="0.35">
      <c r="A2478">
        <v>2477</v>
      </c>
      <c r="B2478" t="s">
        <v>144</v>
      </c>
      <c r="C2478" t="s">
        <v>273</v>
      </c>
      <c r="D2478">
        <v>2020</v>
      </c>
      <c r="E2478" t="s">
        <v>47</v>
      </c>
      <c r="F2478">
        <v>77.099999999999994</v>
      </c>
      <c r="G2478" t="s">
        <v>351</v>
      </c>
      <c r="H2478">
        <f>electric_vehicles_dataset[[#This Row],[Battery_Capacity_kWh]]/electric_vehicles_dataset[[#This Row],[Range_km]]</f>
        <v>0.21065573770491802</v>
      </c>
      <c r="I2478">
        <v>366</v>
      </c>
      <c r="J2478" t="s">
        <v>54</v>
      </c>
      <c r="K2478">
        <v>5</v>
      </c>
      <c r="L2478" s="1">
        <v>141949.03</v>
      </c>
      <c r="M2478" s="1" t="str" cm="1">
        <f t="array" ref="M24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78" t="s">
        <v>117</v>
      </c>
      <c r="O2478" t="s">
        <v>124</v>
      </c>
      <c r="P2478" s="2" t="s">
        <v>389</v>
      </c>
      <c r="Q2478">
        <v>0</v>
      </c>
      <c r="R2478" t="s">
        <v>390</v>
      </c>
      <c r="S2478" s="1">
        <f>electric_vehicles_dataset[[#This Row],[Units_Sold_2024]]*electric_vehicles_dataset[[#This Row],[Price_USD]]</f>
        <v>1365123821.51</v>
      </c>
      <c r="T2478">
        <v>5</v>
      </c>
      <c r="U2478">
        <v>9617</v>
      </c>
      <c r="V2478">
        <v>4</v>
      </c>
    </row>
    <row r="2479" spans="1:22" x14ac:dyDescent="0.35">
      <c r="A2479">
        <v>2478</v>
      </c>
      <c r="B2479" t="s">
        <v>108</v>
      </c>
      <c r="C2479" t="s">
        <v>109</v>
      </c>
      <c r="D2479">
        <v>2022</v>
      </c>
      <c r="E2479" t="s">
        <v>101</v>
      </c>
      <c r="F2479">
        <v>116.7</v>
      </c>
      <c r="G2479" t="s">
        <v>361</v>
      </c>
      <c r="H2479">
        <f>electric_vehicles_dataset[[#This Row],[Battery_Capacity_kWh]]/electric_vehicles_dataset[[#This Row],[Range_km]]</f>
        <v>0.19613445378151262</v>
      </c>
      <c r="I2479">
        <v>595</v>
      </c>
      <c r="J2479" t="s">
        <v>18</v>
      </c>
      <c r="K2479">
        <v>6</v>
      </c>
      <c r="L2479" s="1">
        <v>31713.78</v>
      </c>
      <c r="M2479" s="1" t="str" cm="1">
        <f t="array" ref="M247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79" t="s">
        <v>205</v>
      </c>
      <c r="O2479" t="s">
        <v>164</v>
      </c>
      <c r="P2479" s="2" t="s">
        <v>394</v>
      </c>
      <c r="Q2479">
        <v>0</v>
      </c>
      <c r="R2479" t="s">
        <v>390</v>
      </c>
      <c r="S2479" s="1">
        <f>electric_vehicles_dataset[[#This Row],[Units_Sold_2024]]*electric_vehicles_dataset[[#This Row],[Price_USD]]</f>
        <v>519186292.38</v>
      </c>
      <c r="T2479">
        <v>5</v>
      </c>
      <c r="U2479">
        <v>16371</v>
      </c>
      <c r="V2479">
        <v>4</v>
      </c>
    </row>
    <row r="2480" spans="1:22" x14ac:dyDescent="0.35">
      <c r="A2480">
        <v>2479</v>
      </c>
      <c r="B2480" t="s">
        <v>261</v>
      </c>
      <c r="C2480" t="s">
        <v>372</v>
      </c>
      <c r="D2480">
        <v>2025</v>
      </c>
      <c r="E2480" t="s">
        <v>58</v>
      </c>
      <c r="F2480">
        <v>76.3</v>
      </c>
      <c r="G2480" t="s">
        <v>351</v>
      </c>
      <c r="H2480">
        <f>electric_vehicles_dataset[[#This Row],[Battery_Capacity_kWh]]/electric_vehicles_dataset[[#This Row],[Range_km]]</f>
        <v>0.34369369369369368</v>
      </c>
      <c r="I2480">
        <v>222</v>
      </c>
      <c r="J2480" t="s">
        <v>105</v>
      </c>
      <c r="K2480">
        <v>10</v>
      </c>
      <c r="L2480" s="1">
        <v>114883.73</v>
      </c>
      <c r="M2480" s="1" t="str" cm="1">
        <f t="array" ref="M248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80" t="s">
        <v>77</v>
      </c>
      <c r="O2480" t="s">
        <v>95</v>
      </c>
      <c r="P2480" s="2" t="s">
        <v>394</v>
      </c>
      <c r="Q2480">
        <v>0</v>
      </c>
      <c r="R2480" t="s">
        <v>390</v>
      </c>
      <c r="S2480" s="1">
        <f>electric_vehicles_dataset[[#This Row],[Units_Sold_2024]]*electric_vehicles_dataset[[#This Row],[Price_USD]]</f>
        <v>1461321045.5999999</v>
      </c>
      <c r="T2480">
        <v>3</v>
      </c>
      <c r="U2480">
        <v>12720</v>
      </c>
      <c r="V2480">
        <v>4</v>
      </c>
    </row>
    <row r="2481" spans="1:22" x14ac:dyDescent="0.35">
      <c r="A2481">
        <v>2480</v>
      </c>
      <c r="B2481" t="s">
        <v>87</v>
      </c>
      <c r="C2481" t="s">
        <v>381</v>
      </c>
      <c r="D2481">
        <v>2021</v>
      </c>
      <c r="E2481" t="s">
        <v>101</v>
      </c>
      <c r="F2481">
        <v>148</v>
      </c>
      <c r="G2481" t="s">
        <v>386</v>
      </c>
      <c r="H2481">
        <f>electric_vehicles_dataset[[#This Row],[Battery_Capacity_kWh]]/electric_vehicles_dataset[[#This Row],[Range_km]]</f>
        <v>0.24790619765494137</v>
      </c>
      <c r="I2481">
        <v>597</v>
      </c>
      <c r="J2481" t="s">
        <v>18</v>
      </c>
      <c r="K2481">
        <v>7</v>
      </c>
      <c r="L2481" s="1">
        <v>73539.98</v>
      </c>
      <c r="M2481" s="1" t="str" cm="1">
        <f t="array" ref="M24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81" t="s">
        <v>146</v>
      </c>
      <c r="O2481" t="s">
        <v>111</v>
      </c>
      <c r="P2481" s="2" t="s">
        <v>389</v>
      </c>
      <c r="Q2481">
        <v>0</v>
      </c>
      <c r="R2481" t="s">
        <v>390</v>
      </c>
      <c r="S2481" s="1">
        <f>electric_vehicles_dataset[[#This Row],[Units_Sold_2024]]*electric_vehicles_dataset[[#This Row],[Price_USD]]</f>
        <v>1093318882.6599998</v>
      </c>
      <c r="T2481">
        <v>4</v>
      </c>
      <c r="U2481">
        <v>14867</v>
      </c>
      <c r="V2481">
        <v>5</v>
      </c>
    </row>
    <row r="2482" spans="1:22" x14ac:dyDescent="0.35">
      <c r="A2482">
        <v>2481</v>
      </c>
      <c r="B2482" t="s">
        <v>24</v>
      </c>
      <c r="C2482" t="s">
        <v>328</v>
      </c>
      <c r="D2482">
        <v>2017</v>
      </c>
      <c r="E2482" t="s">
        <v>53</v>
      </c>
      <c r="F2482">
        <v>94.7</v>
      </c>
      <c r="G2482" t="s">
        <v>350</v>
      </c>
      <c r="H2482">
        <f>electric_vehicles_dataset[[#This Row],[Battery_Capacity_kWh]]/electric_vehicles_dataset[[#This Row],[Range_km]]</f>
        <v>0.68623188405797109</v>
      </c>
      <c r="I2482">
        <v>138</v>
      </c>
      <c r="J2482" t="s">
        <v>48</v>
      </c>
      <c r="K2482">
        <v>8</v>
      </c>
      <c r="L2482" s="1">
        <v>91374.01</v>
      </c>
      <c r="M2482" s="1" t="str" cm="1">
        <f t="array" ref="M248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82" t="s">
        <v>212</v>
      </c>
      <c r="O2482" t="s">
        <v>199</v>
      </c>
      <c r="P2482" s="2" t="s">
        <v>394</v>
      </c>
      <c r="Q2482">
        <v>0</v>
      </c>
      <c r="R2482" t="s">
        <v>390</v>
      </c>
      <c r="S2482" s="1">
        <f>electric_vehicles_dataset[[#This Row],[Units_Sold_2024]]*electric_vehicles_dataset[[#This Row],[Price_USD]]</f>
        <v>130938956.33</v>
      </c>
      <c r="T2482">
        <v>4</v>
      </c>
      <c r="U2482">
        <v>1433</v>
      </c>
      <c r="V2482">
        <v>5</v>
      </c>
    </row>
    <row r="2483" spans="1:22" x14ac:dyDescent="0.35">
      <c r="A2483">
        <v>2482</v>
      </c>
      <c r="B2483" t="s">
        <v>68</v>
      </c>
      <c r="C2483" t="s">
        <v>103</v>
      </c>
      <c r="D2483">
        <v>2017</v>
      </c>
      <c r="E2483" t="s">
        <v>26</v>
      </c>
      <c r="F2483">
        <v>70.599999999999994</v>
      </c>
      <c r="G2483" t="s">
        <v>351</v>
      </c>
      <c r="H2483">
        <f>electric_vehicles_dataset[[#This Row],[Battery_Capacity_kWh]]/electric_vehicles_dataset[[#This Row],[Range_km]]</f>
        <v>0.68543689320388346</v>
      </c>
      <c r="I2483">
        <v>103</v>
      </c>
      <c r="J2483" t="s">
        <v>54</v>
      </c>
      <c r="K2483">
        <v>5</v>
      </c>
      <c r="L2483" s="1">
        <v>32110.5</v>
      </c>
      <c r="M2483" s="1" t="str" cm="1">
        <f t="array" ref="M248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83" t="s">
        <v>175</v>
      </c>
      <c r="O2483" t="s">
        <v>236</v>
      </c>
      <c r="P2483" s="2" t="s">
        <v>394</v>
      </c>
      <c r="Q2483">
        <v>5</v>
      </c>
      <c r="R2483" t="s">
        <v>392</v>
      </c>
      <c r="S2483" s="1">
        <f>electric_vehicles_dataset[[#This Row],[Units_Sold_2024]]*electric_vehicles_dataset[[#This Row],[Price_USD]]</f>
        <v>111455545.5</v>
      </c>
      <c r="T2483">
        <v>5</v>
      </c>
      <c r="U2483">
        <v>3471</v>
      </c>
      <c r="V2483">
        <v>5</v>
      </c>
    </row>
    <row r="2484" spans="1:22" x14ac:dyDescent="0.35">
      <c r="A2484">
        <v>2483</v>
      </c>
      <c r="B2484" t="s">
        <v>24</v>
      </c>
      <c r="C2484" t="s">
        <v>328</v>
      </c>
      <c r="D2484">
        <v>2019</v>
      </c>
      <c r="E2484" t="s">
        <v>133</v>
      </c>
      <c r="F2484">
        <v>29.4</v>
      </c>
      <c r="G2484" t="s">
        <v>357</v>
      </c>
      <c r="H2484">
        <f>electric_vehicles_dataset[[#This Row],[Battery_Capacity_kWh]]/electric_vehicles_dataset[[#This Row],[Range_km]]</f>
        <v>0.26250000000000001</v>
      </c>
      <c r="I2484">
        <v>112</v>
      </c>
      <c r="J2484" t="s">
        <v>358</v>
      </c>
      <c r="K2484">
        <v>5</v>
      </c>
      <c r="L2484" s="1">
        <v>88992.78</v>
      </c>
      <c r="M2484" s="1" t="str" cm="1">
        <f t="array" ref="M248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84" t="s">
        <v>19</v>
      </c>
      <c r="O2484" t="s">
        <v>265</v>
      </c>
      <c r="P2484" s="2" t="s">
        <v>389</v>
      </c>
      <c r="Q2484">
        <v>3</v>
      </c>
      <c r="R2484" t="s">
        <v>397</v>
      </c>
      <c r="S2484" s="1">
        <f>electric_vehicles_dataset[[#This Row],[Units_Sold_2024]]*electric_vehicles_dataset[[#This Row],[Price_USD]]</f>
        <v>222036986.09999999</v>
      </c>
      <c r="T2484">
        <v>3</v>
      </c>
      <c r="U2484">
        <v>2495</v>
      </c>
      <c r="V2484">
        <v>4</v>
      </c>
    </row>
    <row r="2485" spans="1:22" x14ac:dyDescent="0.35">
      <c r="A2485">
        <v>2484</v>
      </c>
      <c r="B2485" t="s">
        <v>243</v>
      </c>
      <c r="C2485" t="s">
        <v>244</v>
      </c>
      <c r="D2485">
        <v>2017</v>
      </c>
      <c r="E2485" t="s">
        <v>53</v>
      </c>
      <c r="F2485">
        <v>108.8</v>
      </c>
      <c r="G2485" t="s">
        <v>361</v>
      </c>
      <c r="H2485">
        <f>electric_vehicles_dataset[[#This Row],[Battery_Capacity_kWh]]/electric_vehicles_dataset[[#This Row],[Range_km]]</f>
        <v>0.61123595505617978</v>
      </c>
      <c r="I2485">
        <v>178</v>
      </c>
      <c r="J2485" t="s">
        <v>359</v>
      </c>
      <c r="K2485">
        <v>9</v>
      </c>
      <c r="L2485" s="1">
        <v>98668.26</v>
      </c>
      <c r="M2485" s="1" t="str" cm="1">
        <f t="array" ref="M248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85" t="s">
        <v>91</v>
      </c>
      <c r="O2485" t="s">
        <v>134</v>
      </c>
      <c r="P2485" s="2" t="s">
        <v>389</v>
      </c>
      <c r="Q2485">
        <v>0</v>
      </c>
      <c r="R2485" t="s">
        <v>390</v>
      </c>
      <c r="S2485" s="1">
        <f>electric_vehicles_dataset[[#This Row],[Units_Sold_2024]]*electric_vehicles_dataset[[#This Row],[Price_USD]]</f>
        <v>49432798.259999998</v>
      </c>
      <c r="T2485">
        <v>5</v>
      </c>
      <c r="U2485">
        <v>501</v>
      </c>
      <c r="V2485">
        <v>5</v>
      </c>
    </row>
    <row r="2486" spans="1:22" x14ac:dyDescent="0.35">
      <c r="A2486">
        <v>2485</v>
      </c>
      <c r="B2486" t="s">
        <v>45</v>
      </c>
      <c r="C2486" t="s">
        <v>132</v>
      </c>
      <c r="D2486">
        <v>2024</v>
      </c>
      <c r="E2486" t="s">
        <v>47</v>
      </c>
      <c r="F2486">
        <v>68.7</v>
      </c>
      <c r="G2486" t="s">
        <v>351</v>
      </c>
      <c r="H2486">
        <f>electric_vehicles_dataset[[#This Row],[Battery_Capacity_kWh]]/electric_vehicles_dataset[[#This Row],[Range_km]]</f>
        <v>0.36935483870967745</v>
      </c>
      <c r="I2486">
        <v>186</v>
      </c>
      <c r="J2486" t="s">
        <v>353</v>
      </c>
      <c r="K2486">
        <v>8</v>
      </c>
      <c r="L2486" s="1">
        <v>33064.129999999997</v>
      </c>
      <c r="M2486" s="1" t="str" cm="1">
        <f t="array" ref="M248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86" t="s">
        <v>91</v>
      </c>
      <c r="O2486" t="s">
        <v>135</v>
      </c>
      <c r="P2486" s="2" t="s">
        <v>389</v>
      </c>
      <c r="Q2486">
        <v>3</v>
      </c>
      <c r="R2486" t="s">
        <v>397</v>
      </c>
      <c r="S2486" s="1">
        <f>electric_vehicles_dataset[[#This Row],[Units_Sold_2024]]*electric_vehicles_dataset[[#This Row],[Price_USD]]</f>
        <v>253502684.70999998</v>
      </c>
      <c r="T2486">
        <v>4</v>
      </c>
      <c r="U2486">
        <v>7667</v>
      </c>
      <c r="V2486">
        <v>3</v>
      </c>
    </row>
    <row r="2487" spans="1:22" x14ac:dyDescent="0.35">
      <c r="A2487">
        <v>2486</v>
      </c>
      <c r="B2487" t="s">
        <v>68</v>
      </c>
      <c r="C2487" t="s">
        <v>103</v>
      </c>
      <c r="D2487">
        <v>2016</v>
      </c>
      <c r="E2487" t="s">
        <v>130</v>
      </c>
      <c r="F2487">
        <v>119.3</v>
      </c>
      <c r="G2487" t="s">
        <v>361</v>
      </c>
      <c r="H2487">
        <f>electric_vehicles_dataset[[#This Row],[Battery_Capacity_kWh]]/electric_vehicles_dataset[[#This Row],[Range_km]]</f>
        <v>0.518695652173913</v>
      </c>
      <c r="I2487">
        <v>230</v>
      </c>
      <c r="J2487" t="s">
        <v>345</v>
      </c>
      <c r="K2487">
        <v>7</v>
      </c>
      <c r="L2487" s="1">
        <v>68014.73</v>
      </c>
      <c r="M2487" s="1" t="str" cm="1">
        <f t="array" ref="M248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87" t="s">
        <v>189</v>
      </c>
      <c r="O2487" t="s">
        <v>92</v>
      </c>
      <c r="P2487" s="2" t="s">
        <v>394</v>
      </c>
      <c r="Q2487">
        <v>4</v>
      </c>
      <c r="R2487" t="s">
        <v>392</v>
      </c>
      <c r="S2487" s="1">
        <f>electric_vehicles_dataset[[#This Row],[Units_Sold_2024]]*electric_vehicles_dataset[[#This Row],[Price_USD]]</f>
        <v>396185802.25</v>
      </c>
      <c r="T2487">
        <v>5</v>
      </c>
      <c r="U2487">
        <v>5825</v>
      </c>
      <c r="V2487">
        <v>3</v>
      </c>
    </row>
    <row r="2488" spans="1:22" x14ac:dyDescent="0.35">
      <c r="A2488">
        <v>2487</v>
      </c>
      <c r="B2488" t="s">
        <v>79</v>
      </c>
      <c r="C2488" t="s">
        <v>333</v>
      </c>
      <c r="D2488">
        <v>2023</v>
      </c>
      <c r="E2488" t="s">
        <v>73</v>
      </c>
      <c r="F2488">
        <v>137.1</v>
      </c>
      <c r="G2488" t="s">
        <v>352</v>
      </c>
      <c r="H2488">
        <f>electric_vehicles_dataset[[#This Row],[Battery_Capacity_kWh]]/electric_vehicles_dataset[[#This Row],[Range_km]]</f>
        <v>1.0080882352941176</v>
      </c>
      <c r="I2488">
        <v>136</v>
      </c>
      <c r="J2488" t="s">
        <v>149</v>
      </c>
      <c r="K2488">
        <v>10</v>
      </c>
      <c r="L2488" s="1">
        <v>51719.71</v>
      </c>
      <c r="M2488" s="1" t="str" cm="1">
        <f t="array" ref="M24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88" t="s">
        <v>246</v>
      </c>
      <c r="O2488" t="s">
        <v>167</v>
      </c>
      <c r="P2488" s="2" t="s">
        <v>394</v>
      </c>
      <c r="Q2488">
        <v>5</v>
      </c>
      <c r="R2488" t="s">
        <v>392</v>
      </c>
      <c r="S2488" s="1">
        <f>electric_vehicles_dataset[[#This Row],[Units_Sold_2024]]*electric_vehicles_dataset[[#This Row],[Price_USD]]</f>
        <v>665115470.60000002</v>
      </c>
      <c r="T2488">
        <v>4</v>
      </c>
      <c r="U2488">
        <v>12860</v>
      </c>
      <c r="V2488">
        <v>5</v>
      </c>
    </row>
    <row r="2489" spans="1:22" x14ac:dyDescent="0.35">
      <c r="A2489">
        <v>2488</v>
      </c>
      <c r="B2489" t="s">
        <v>79</v>
      </c>
      <c r="C2489" t="s">
        <v>267</v>
      </c>
      <c r="D2489">
        <v>2017</v>
      </c>
      <c r="E2489" t="s">
        <v>42</v>
      </c>
      <c r="F2489">
        <v>98.9</v>
      </c>
      <c r="G2489" t="s">
        <v>350</v>
      </c>
      <c r="H2489">
        <f>electric_vehicles_dataset[[#This Row],[Battery_Capacity_kWh]]/electric_vehicles_dataset[[#This Row],[Range_km]]</f>
        <v>0.53459459459459457</v>
      </c>
      <c r="I2489">
        <v>185</v>
      </c>
      <c r="J2489" t="s">
        <v>38</v>
      </c>
      <c r="K2489">
        <v>12</v>
      </c>
      <c r="L2489" s="1">
        <v>132124.5</v>
      </c>
      <c r="M2489" s="1" t="str" cm="1">
        <f t="array" ref="M248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89" t="s">
        <v>62</v>
      </c>
      <c r="O2489" t="s">
        <v>67</v>
      </c>
      <c r="P2489" s="2" t="s">
        <v>394</v>
      </c>
      <c r="Q2489">
        <v>1</v>
      </c>
      <c r="R2489" t="s">
        <v>391</v>
      </c>
      <c r="S2489" s="1">
        <f>electric_vehicles_dataset[[#This Row],[Units_Sold_2024]]*electric_vehicles_dataset[[#This Row],[Price_USD]]</f>
        <v>2598228292.5</v>
      </c>
      <c r="T2489">
        <v>5</v>
      </c>
      <c r="U2489">
        <v>19665</v>
      </c>
      <c r="V2489">
        <v>3</v>
      </c>
    </row>
    <row r="2490" spans="1:22" x14ac:dyDescent="0.35">
      <c r="A2490">
        <v>2489</v>
      </c>
      <c r="B2490" t="s">
        <v>128</v>
      </c>
      <c r="C2490" t="s">
        <v>129</v>
      </c>
      <c r="D2490">
        <v>2018</v>
      </c>
      <c r="E2490" t="s">
        <v>84</v>
      </c>
      <c r="F2490">
        <v>52.1</v>
      </c>
      <c r="G2490" t="s">
        <v>348</v>
      </c>
      <c r="H2490">
        <f>electric_vehicles_dataset[[#This Row],[Battery_Capacity_kWh]]/electric_vehicles_dataset[[#This Row],[Range_km]]</f>
        <v>8.7858347386172014E-2</v>
      </c>
      <c r="I2490">
        <v>593</v>
      </c>
      <c r="J2490" t="s">
        <v>85</v>
      </c>
      <c r="K2490">
        <v>5</v>
      </c>
      <c r="L2490" s="1">
        <v>119024.29</v>
      </c>
      <c r="M2490" s="1" t="str" cm="1">
        <f t="array" ref="M249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90" t="s">
        <v>177</v>
      </c>
      <c r="O2490" t="s">
        <v>230</v>
      </c>
      <c r="P2490" s="2" t="s">
        <v>389</v>
      </c>
      <c r="Q2490">
        <v>3</v>
      </c>
      <c r="R2490" t="s">
        <v>397</v>
      </c>
      <c r="S2490" s="1">
        <f>electric_vehicles_dataset[[#This Row],[Units_Sold_2024]]*electric_vehicles_dataset[[#This Row],[Price_USD]]</f>
        <v>2188499620.23</v>
      </c>
      <c r="T2490">
        <v>3</v>
      </c>
      <c r="U2490">
        <v>18387</v>
      </c>
      <c r="V2490">
        <v>3</v>
      </c>
    </row>
    <row r="2491" spans="1:22" x14ac:dyDescent="0.35">
      <c r="A2491">
        <v>2490</v>
      </c>
      <c r="B2491" t="s">
        <v>140</v>
      </c>
      <c r="C2491" t="s">
        <v>141</v>
      </c>
      <c r="D2491">
        <v>2019</v>
      </c>
      <c r="E2491" t="s">
        <v>84</v>
      </c>
      <c r="F2491">
        <v>118.6</v>
      </c>
      <c r="G2491" t="s">
        <v>361</v>
      </c>
      <c r="H2491">
        <f>electric_vehicles_dataset[[#This Row],[Battery_Capacity_kWh]]/electric_vehicles_dataset[[#This Row],[Range_km]]</f>
        <v>0.20590277777777777</v>
      </c>
      <c r="I2491">
        <v>576</v>
      </c>
      <c r="J2491" t="s">
        <v>353</v>
      </c>
      <c r="K2491">
        <v>6</v>
      </c>
      <c r="L2491" s="1">
        <v>77158.149999999994</v>
      </c>
      <c r="M2491" s="1" t="str" cm="1">
        <f t="array" ref="M249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91" t="s">
        <v>189</v>
      </c>
      <c r="O2491" t="s">
        <v>124</v>
      </c>
      <c r="P2491" s="2" t="s">
        <v>389</v>
      </c>
      <c r="Q2491">
        <v>4</v>
      </c>
      <c r="R2491" t="s">
        <v>392</v>
      </c>
      <c r="S2491" s="1">
        <f>electric_vehicles_dataset[[#This Row],[Units_Sold_2024]]*electric_vehicles_dataset[[#This Row],[Price_USD]]</f>
        <v>900975717.54999995</v>
      </c>
      <c r="T2491">
        <v>5</v>
      </c>
      <c r="U2491">
        <v>11677</v>
      </c>
      <c r="V2491">
        <v>5</v>
      </c>
    </row>
    <row r="2492" spans="1:22" x14ac:dyDescent="0.35">
      <c r="A2492">
        <v>2491</v>
      </c>
      <c r="B2492" t="s">
        <v>207</v>
      </c>
      <c r="C2492" t="s">
        <v>304</v>
      </c>
      <c r="D2492">
        <v>2018</v>
      </c>
      <c r="E2492" t="s">
        <v>31</v>
      </c>
      <c r="F2492">
        <v>148.1</v>
      </c>
      <c r="G2492" t="s">
        <v>386</v>
      </c>
      <c r="H2492">
        <f>electric_vehicles_dataset[[#This Row],[Battery_Capacity_kWh]]/electric_vehicles_dataset[[#This Row],[Range_km]]</f>
        <v>0.40354223433242503</v>
      </c>
      <c r="I2492">
        <v>367</v>
      </c>
      <c r="J2492" t="s">
        <v>358</v>
      </c>
      <c r="K2492">
        <v>8</v>
      </c>
      <c r="L2492" s="1">
        <v>128535.73</v>
      </c>
      <c r="M2492" s="1" t="str" cm="1">
        <f t="array" ref="M24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92" t="s">
        <v>179</v>
      </c>
      <c r="O2492" t="s">
        <v>354</v>
      </c>
      <c r="P2492" s="2" t="s">
        <v>394</v>
      </c>
      <c r="Q2492">
        <v>1</v>
      </c>
      <c r="R2492" t="s">
        <v>391</v>
      </c>
      <c r="S2492" s="1">
        <f>electric_vehicles_dataset[[#This Row],[Units_Sold_2024]]*electric_vehicles_dataset[[#This Row],[Price_USD]]</f>
        <v>2170454336.7799997</v>
      </c>
      <c r="T2492">
        <v>3</v>
      </c>
      <c r="U2492">
        <v>16886</v>
      </c>
      <c r="V2492">
        <v>4</v>
      </c>
    </row>
    <row r="2493" spans="1:22" x14ac:dyDescent="0.35">
      <c r="A2493">
        <v>2492</v>
      </c>
      <c r="B2493" t="s">
        <v>74</v>
      </c>
      <c r="C2493" t="s">
        <v>75</v>
      </c>
      <c r="D2493">
        <v>2020</v>
      </c>
      <c r="E2493" t="s">
        <v>84</v>
      </c>
      <c r="F2493">
        <v>118</v>
      </c>
      <c r="G2493" t="s">
        <v>361</v>
      </c>
      <c r="H2493">
        <f>electric_vehicles_dataset[[#This Row],[Battery_Capacity_kWh]]/electric_vehicles_dataset[[#This Row],[Range_km]]</f>
        <v>0.49372384937238495</v>
      </c>
      <c r="I2493">
        <v>239</v>
      </c>
      <c r="J2493" t="s">
        <v>356</v>
      </c>
      <c r="K2493">
        <v>8</v>
      </c>
      <c r="L2493" s="1">
        <v>70149.59</v>
      </c>
      <c r="M2493" s="1" t="str" cm="1">
        <f t="array" ref="M249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93" t="s">
        <v>301</v>
      </c>
      <c r="O2493" t="s">
        <v>89</v>
      </c>
      <c r="P2493" s="2" t="s">
        <v>389</v>
      </c>
      <c r="Q2493">
        <v>1</v>
      </c>
      <c r="R2493" t="s">
        <v>391</v>
      </c>
      <c r="S2493" s="1">
        <f>electric_vehicles_dataset[[#This Row],[Units_Sold_2024]]*electric_vehicles_dataset[[#This Row],[Price_USD]]</f>
        <v>391645160.96999997</v>
      </c>
      <c r="T2493">
        <v>4</v>
      </c>
      <c r="U2493">
        <v>5583</v>
      </c>
      <c r="V2493">
        <v>3</v>
      </c>
    </row>
    <row r="2494" spans="1:22" x14ac:dyDescent="0.35">
      <c r="A2494">
        <v>2493</v>
      </c>
      <c r="B2494" t="s">
        <v>71</v>
      </c>
      <c r="C2494" t="s">
        <v>255</v>
      </c>
      <c r="D2494">
        <v>2015</v>
      </c>
      <c r="E2494" t="s">
        <v>130</v>
      </c>
      <c r="F2494">
        <v>52.9</v>
      </c>
      <c r="G2494" t="s">
        <v>348</v>
      </c>
      <c r="H2494">
        <f>electric_vehicles_dataset[[#This Row],[Battery_Capacity_kWh]]/electric_vehicles_dataset[[#This Row],[Range_km]]</f>
        <v>0.22900432900432899</v>
      </c>
      <c r="I2494">
        <v>231</v>
      </c>
      <c r="J2494" t="s">
        <v>356</v>
      </c>
      <c r="K2494">
        <v>7</v>
      </c>
      <c r="L2494" s="1">
        <v>57780.54</v>
      </c>
      <c r="M2494" s="1" t="str" cm="1">
        <f t="array" ref="M249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494" t="s">
        <v>175</v>
      </c>
      <c r="O2494" t="s">
        <v>92</v>
      </c>
      <c r="P2494" s="2" t="s">
        <v>394</v>
      </c>
      <c r="Q2494">
        <v>3</v>
      </c>
      <c r="R2494" t="s">
        <v>397</v>
      </c>
      <c r="S2494" s="1">
        <f>electric_vehicles_dataset[[#This Row],[Units_Sold_2024]]*electric_vehicles_dataset[[#This Row],[Price_USD]]</f>
        <v>55931562.719999999</v>
      </c>
      <c r="T2494">
        <v>3</v>
      </c>
      <c r="U2494">
        <v>968</v>
      </c>
      <c r="V2494">
        <v>3</v>
      </c>
    </row>
    <row r="2495" spans="1:22" x14ac:dyDescent="0.35">
      <c r="A2495">
        <v>2494</v>
      </c>
      <c r="B2495" t="s">
        <v>215</v>
      </c>
      <c r="C2495" t="s">
        <v>377</v>
      </c>
      <c r="D2495">
        <v>2020</v>
      </c>
      <c r="E2495" t="s">
        <v>42</v>
      </c>
      <c r="F2495">
        <v>88.6</v>
      </c>
      <c r="G2495" t="s">
        <v>350</v>
      </c>
      <c r="H2495">
        <f>electric_vehicles_dataset[[#This Row],[Battery_Capacity_kWh]]/electric_vehicles_dataset[[#This Row],[Range_km]]</f>
        <v>0.15963963963963962</v>
      </c>
      <c r="I2495">
        <v>555</v>
      </c>
      <c r="J2495" t="s">
        <v>105</v>
      </c>
      <c r="K2495">
        <v>11</v>
      </c>
      <c r="L2495" s="1">
        <v>93594.87</v>
      </c>
      <c r="M2495" s="1" t="str" cm="1">
        <f t="array" ref="M24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95" t="s">
        <v>219</v>
      </c>
      <c r="O2495" t="s">
        <v>230</v>
      </c>
      <c r="P2495" s="2" t="s">
        <v>389</v>
      </c>
      <c r="Q2495">
        <v>3</v>
      </c>
      <c r="R2495" t="s">
        <v>397</v>
      </c>
      <c r="S2495" s="1">
        <f>electric_vehicles_dataset[[#This Row],[Units_Sold_2024]]*electric_vehicles_dataset[[#This Row],[Price_USD]]</f>
        <v>1241629545.4199998</v>
      </c>
      <c r="T2495">
        <v>4</v>
      </c>
      <c r="U2495">
        <v>13266</v>
      </c>
      <c r="V2495">
        <v>4</v>
      </c>
    </row>
    <row r="2496" spans="1:22" x14ac:dyDescent="0.35">
      <c r="A2496">
        <v>2495</v>
      </c>
      <c r="B2496" t="s">
        <v>79</v>
      </c>
      <c r="C2496" t="s">
        <v>80</v>
      </c>
      <c r="D2496">
        <v>2017</v>
      </c>
      <c r="E2496" t="s">
        <v>31</v>
      </c>
      <c r="F2496">
        <v>71.2</v>
      </c>
      <c r="G2496" t="s">
        <v>351</v>
      </c>
      <c r="H2496">
        <f>electric_vehicles_dataset[[#This Row],[Battery_Capacity_kWh]]/electric_vehicles_dataset[[#This Row],[Range_km]]</f>
        <v>0.15052854122621565</v>
      </c>
      <c r="I2496">
        <v>473</v>
      </c>
      <c r="J2496" t="s">
        <v>27</v>
      </c>
      <c r="K2496">
        <v>9</v>
      </c>
      <c r="L2496" s="1">
        <v>132144.16</v>
      </c>
      <c r="M2496" s="1" t="str" cm="1">
        <f t="array" ref="M249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96" t="s">
        <v>81</v>
      </c>
      <c r="O2496" t="s">
        <v>226</v>
      </c>
      <c r="P2496" s="2" t="s">
        <v>395</v>
      </c>
      <c r="Q2496">
        <v>1</v>
      </c>
      <c r="R2496" t="s">
        <v>391</v>
      </c>
      <c r="S2496" s="1">
        <f>electric_vehicles_dataset[[#This Row],[Units_Sold_2024]]*electric_vehicles_dataset[[#This Row],[Price_USD]]</f>
        <v>835415379.51999998</v>
      </c>
      <c r="T2496">
        <v>3</v>
      </c>
      <c r="U2496">
        <v>6322</v>
      </c>
      <c r="V2496">
        <v>4</v>
      </c>
    </row>
    <row r="2497" spans="1:22" x14ac:dyDescent="0.35">
      <c r="A2497">
        <v>2496</v>
      </c>
      <c r="B2497" t="s">
        <v>207</v>
      </c>
      <c r="C2497" t="s">
        <v>208</v>
      </c>
      <c r="D2497">
        <v>2018</v>
      </c>
      <c r="E2497" t="s">
        <v>47</v>
      </c>
      <c r="F2497">
        <v>103.1</v>
      </c>
      <c r="G2497" t="s">
        <v>361</v>
      </c>
      <c r="H2497">
        <f>electric_vehicles_dataset[[#This Row],[Battery_Capacity_kWh]]/electric_vehicles_dataset[[#This Row],[Range_km]]</f>
        <v>0.36560283687943262</v>
      </c>
      <c r="I2497">
        <v>282</v>
      </c>
      <c r="J2497" t="s">
        <v>18</v>
      </c>
      <c r="K2497">
        <v>10</v>
      </c>
      <c r="L2497" s="1">
        <v>111405.69</v>
      </c>
      <c r="M2497" s="1" t="str" cm="1">
        <f t="array" ref="M249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497" t="s">
        <v>98</v>
      </c>
      <c r="O2497" t="s">
        <v>265</v>
      </c>
      <c r="P2497" s="2" t="s">
        <v>389</v>
      </c>
      <c r="Q2497">
        <v>1</v>
      </c>
      <c r="R2497" t="s">
        <v>391</v>
      </c>
      <c r="S2497" s="1">
        <f>electric_vehicles_dataset[[#This Row],[Units_Sold_2024]]*electric_vehicles_dataset[[#This Row],[Price_USD]]</f>
        <v>426906604.07999998</v>
      </c>
      <c r="T2497">
        <v>4</v>
      </c>
      <c r="U2497">
        <v>3832</v>
      </c>
      <c r="V2497">
        <v>4</v>
      </c>
    </row>
    <row r="2498" spans="1:22" x14ac:dyDescent="0.35">
      <c r="A2498">
        <v>2497</v>
      </c>
      <c r="B2498" t="s">
        <v>144</v>
      </c>
      <c r="C2498" t="s">
        <v>273</v>
      </c>
      <c r="D2498">
        <v>2021</v>
      </c>
      <c r="E2498" t="s">
        <v>90</v>
      </c>
      <c r="F2498">
        <v>120.6</v>
      </c>
      <c r="G2498" t="s">
        <v>352</v>
      </c>
      <c r="H2498">
        <f>electric_vehicles_dataset[[#This Row],[Battery_Capacity_kWh]]/electric_vehicles_dataset[[#This Row],[Range_km]]</f>
        <v>0.44999999999999996</v>
      </c>
      <c r="I2498">
        <v>268</v>
      </c>
      <c r="J2498" t="s">
        <v>356</v>
      </c>
      <c r="K2498">
        <v>12</v>
      </c>
      <c r="L2498" s="1">
        <v>74816.100000000006</v>
      </c>
      <c r="M2498" s="1" t="str" cm="1">
        <f t="array" ref="M249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98" t="s">
        <v>35</v>
      </c>
      <c r="O2498" t="s">
        <v>199</v>
      </c>
      <c r="P2498" s="2" t="s">
        <v>394</v>
      </c>
      <c r="Q2498">
        <v>2</v>
      </c>
      <c r="R2498" t="s">
        <v>391</v>
      </c>
      <c r="S2498" s="1">
        <f>electric_vehicles_dataset[[#This Row],[Units_Sold_2024]]*electric_vehicles_dataset[[#This Row],[Price_USD]]</f>
        <v>241805635.20000002</v>
      </c>
      <c r="T2498">
        <v>3</v>
      </c>
      <c r="U2498">
        <v>3232</v>
      </c>
      <c r="V2498">
        <v>4</v>
      </c>
    </row>
    <row r="2499" spans="1:22" x14ac:dyDescent="0.35">
      <c r="A2499">
        <v>2498</v>
      </c>
      <c r="B2499" t="s">
        <v>112</v>
      </c>
      <c r="C2499" t="s">
        <v>113</v>
      </c>
      <c r="D2499">
        <v>2022</v>
      </c>
      <c r="E2499" t="s">
        <v>47</v>
      </c>
      <c r="F2499">
        <v>29</v>
      </c>
      <c r="G2499" t="s">
        <v>357</v>
      </c>
      <c r="H2499">
        <f>electric_vehicles_dataset[[#This Row],[Battery_Capacity_kWh]]/electric_vehicles_dataset[[#This Row],[Range_km]]</f>
        <v>0.1111111111111111</v>
      </c>
      <c r="I2499">
        <v>261</v>
      </c>
      <c r="J2499" t="s">
        <v>18</v>
      </c>
      <c r="K2499">
        <v>4</v>
      </c>
      <c r="L2499" s="1">
        <v>107703.03999999999</v>
      </c>
      <c r="M2499" s="1" t="str" cm="1">
        <f t="array" ref="M249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499" t="s">
        <v>228</v>
      </c>
      <c r="O2499" t="s">
        <v>78</v>
      </c>
      <c r="P2499" s="2" t="s">
        <v>389</v>
      </c>
      <c r="Q2499">
        <v>3</v>
      </c>
      <c r="R2499" t="s">
        <v>397</v>
      </c>
      <c r="S2499" s="1">
        <f>electric_vehicles_dataset[[#This Row],[Units_Sold_2024]]*electric_vehicles_dataset[[#This Row],[Price_USD]]</f>
        <v>1818027315.1999998</v>
      </c>
      <c r="T2499">
        <v>5</v>
      </c>
      <c r="U2499">
        <v>16880</v>
      </c>
      <c r="V2499">
        <v>3</v>
      </c>
    </row>
    <row r="2500" spans="1:22" x14ac:dyDescent="0.35">
      <c r="A2500">
        <v>2499</v>
      </c>
      <c r="B2500" t="s">
        <v>51</v>
      </c>
      <c r="C2500" t="s">
        <v>162</v>
      </c>
      <c r="D2500">
        <v>2018</v>
      </c>
      <c r="E2500" t="s">
        <v>84</v>
      </c>
      <c r="F2500">
        <v>47.2</v>
      </c>
      <c r="G2500" t="s">
        <v>348</v>
      </c>
      <c r="H2500">
        <f>electric_vehicles_dataset[[#This Row],[Battery_Capacity_kWh]]/electric_vehicles_dataset[[#This Row],[Range_km]]</f>
        <v>0.11264916467780431</v>
      </c>
      <c r="I2500">
        <v>419</v>
      </c>
      <c r="J2500" t="s">
        <v>149</v>
      </c>
      <c r="K2500">
        <v>3</v>
      </c>
      <c r="L2500" s="1">
        <v>74003.39</v>
      </c>
      <c r="M2500" s="1" t="str" cm="1">
        <f t="array" ref="M250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00" t="s">
        <v>277</v>
      </c>
      <c r="O2500" t="s">
        <v>164</v>
      </c>
      <c r="P2500" s="2" t="s">
        <v>394</v>
      </c>
      <c r="Q2500">
        <v>3</v>
      </c>
      <c r="R2500" t="s">
        <v>397</v>
      </c>
      <c r="S2500" s="1">
        <f>electric_vehicles_dataset[[#This Row],[Units_Sold_2024]]*electric_vehicles_dataset[[#This Row],[Price_USD]]</f>
        <v>438470085.75</v>
      </c>
      <c r="T2500">
        <v>3</v>
      </c>
      <c r="U2500">
        <v>5925</v>
      </c>
      <c r="V2500">
        <v>5</v>
      </c>
    </row>
    <row r="2501" spans="1:22" x14ac:dyDescent="0.35">
      <c r="A2501">
        <v>2500</v>
      </c>
      <c r="B2501" t="s">
        <v>74</v>
      </c>
      <c r="C2501" t="s">
        <v>75</v>
      </c>
      <c r="D2501">
        <v>2018</v>
      </c>
      <c r="E2501" t="s">
        <v>133</v>
      </c>
      <c r="F2501">
        <v>111.6</v>
      </c>
      <c r="G2501" t="s">
        <v>361</v>
      </c>
      <c r="H2501">
        <f>electric_vehicles_dataset[[#This Row],[Battery_Capacity_kWh]]/electric_vehicles_dataset[[#This Row],[Range_km]]</f>
        <v>0.97043478260869565</v>
      </c>
      <c r="I2501">
        <v>115</v>
      </c>
      <c r="J2501" t="s">
        <v>364</v>
      </c>
      <c r="K2501">
        <v>2</v>
      </c>
      <c r="L2501" s="1">
        <v>104328.15</v>
      </c>
      <c r="M2501" s="1" t="str" cm="1">
        <f t="array" ref="M250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01" t="s">
        <v>160</v>
      </c>
      <c r="O2501" t="s">
        <v>230</v>
      </c>
      <c r="P2501" s="2" t="s">
        <v>389</v>
      </c>
      <c r="Q2501">
        <v>2</v>
      </c>
      <c r="R2501" t="s">
        <v>391</v>
      </c>
      <c r="S2501" s="1">
        <f>electric_vehicles_dataset[[#This Row],[Units_Sold_2024]]*electric_vehicles_dataset[[#This Row],[Price_USD]]</f>
        <v>1673214869.6999998</v>
      </c>
      <c r="T2501">
        <v>5</v>
      </c>
      <c r="U2501">
        <v>16038</v>
      </c>
      <c r="V2501">
        <v>3</v>
      </c>
    </row>
    <row r="2502" spans="1:22" x14ac:dyDescent="0.35">
      <c r="A2502">
        <v>2501</v>
      </c>
      <c r="B2502" t="s">
        <v>94</v>
      </c>
      <c r="C2502" t="s">
        <v>360</v>
      </c>
      <c r="D2502">
        <v>2022</v>
      </c>
      <c r="E2502" t="s">
        <v>26</v>
      </c>
      <c r="F2502">
        <v>80.2</v>
      </c>
      <c r="G2502" t="s">
        <v>350</v>
      </c>
      <c r="H2502">
        <f>electric_vehicles_dataset[[#This Row],[Battery_Capacity_kWh]]/electric_vehicles_dataset[[#This Row],[Range_km]]</f>
        <v>0.33278008298755191</v>
      </c>
      <c r="I2502">
        <v>241</v>
      </c>
      <c r="J2502" t="s">
        <v>27</v>
      </c>
      <c r="K2502">
        <v>7</v>
      </c>
      <c r="L2502" s="1">
        <v>80041.320000000007</v>
      </c>
      <c r="M2502" s="1" t="str" cm="1">
        <f t="array" ref="M25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02" t="s">
        <v>19</v>
      </c>
      <c r="O2502" t="s">
        <v>92</v>
      </c>
      <c r="P2502" s="2" t="s">
        <v>394</v>
      </c>
      <c r="Q2502">
        <v>2</v>
      </c>
      <c r="R2502" t="s">
        <v>391</v>
      </c>
      <c r="S2502" s="1">
        <f>electric_vehicles_dataset[[#This Row],[Units_Sold_2024]]*electric_vehicles_dataset[[#This Row],[Price_USD]]</f>
        <v>1507978468.8000002</v>
      </c>
      <c r="T2502">
        <v>4</v>
      </c>
      <c r="U2502">
        <v>18840</v>
      </c>
      <c r="V2502">
        <v>4</v>
      </c>
    </row>
    <row r="2503" spans="1:22" x14ac:dyDescent="0.35">
      <c r="A2503">
        <v>2502</v>
      </c>
      <c r="B2503" t="s">
        <v>96</v>
      </c>
      <c r="C2503" t="s">
        <v>292</v>
      </c>
      <c r="D2503">
        <v>2024</v>
      </c>
      <c r="E2503" t="s">
        <v>42</v>
      </c>
      <c r="F2503">
        <v>32.200000000000003</v>
      </c>
      <c r="G2503" t="s">
        <v>357</v>
      </c>
      <c r="H2503">
        <f>electric_vehicles_dataset[[#This Row],[Battery_Capacity_kWh]]/electric_vehicles_dataset[[#This Row],[Range_km]]</f>
        <v>5.6000000000000008E-2</v>
      </c>
      <c r="I2503">
        <v>575</v>
      </c>
      <c r="J2503" t="s">
        <v>27</v>
      </c>
      <c r="K2503">
        <v>8</v>
      </c>
      <c r="L2503" s="1">
        <v>122797.8</v>
      </c>
      <c r="M2503" s="1" t="str" cm="1">
        <f t="array" ref="M250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03" t="s">
        <v>189</v>
      </c>
      <c r="O2503" t="s">
        <v>135</v>
      </c>
      <c r="P2503" s="2" t="s">
        <v>389</v>
      </c>
      <c r="Q2503">
        <v>1</v>
      </c>
      <c r="R2503" t="s">
        <v>391</v>
      </c>
      <c r="S2503" s="1">
        <f>electric_vehicles_dataset[[#This Row],[Units_Sold_2024]]*electric_vehicles_dataset[[#This Row],[Price_USD]]</f>
        <v>2335982549.4000001</v>
      </c>
      <c r="T2503">
        <v>5</v>
      </c>
      <c r="U2503">
        <v>19023</v>
      </c>
      <c r="V2503">
        <v>3</v>
      </c>
    </row>
    <row r="2504" spans="1:22" x14ac:dyDescent="0.35">
      <c r="A2504">
        <v>2503</v>
      </c>
      <c r="B2504" t="s">
        <v>71</v>
      </c>
      <c r="C2504" t="s">
        <v>255</v>
      </c>
      <c r="D2504">
        <v>2015</v>
      </c>
      <c r="E2504" t="s">
        <v>133</v>
      </c>
      <c r="F2504">
        <v>125.3</v>
      </c>
      <c r="G2504" t="s">
        <v>352</v>
      </c>
      <c r="H2504">
        <f>electric_vehicles_dataset[[#This Row],[Battery_Capacity_kWh]]/electric_vehicles_dataset[[#This Row],[Range_km]]</f>
        <v>0.27180043383947938</v>
      </c>
      <c r="I2504">
        <v>461</v>
      </c>
      <c r="J2504" t="s">
        <v>356</v>
      </c>
      <c r="K2504">
        <v>12</v>
      </c>
      <c r="L2504" s="1">
        <v>67652.570000000007</v>
      </c>
      <c r="M2504" s="1" t="str" cm="1">
        <f t="array" ref="M250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04" t="s">
        <v>217</v>
      </c>
      <c r="O2504" t="s">
        <v>134</v>
      </c>
      <c r="P2504" s="2" t="s">
        <v>389</v>
      </c>
      <c r="Q2504">
        <v>0</v>
      </c>
      <c r="R2504" t="s">
        <v>390</v>
      </c>
      <c r="S2504" s="1">
        <f>electric_vehicles_dataset[[#This Row],[Units_Sold_2024]]*electric_vehicles_dataset[[#This Row],[Price_USD]]</f>
        <v>230695263.70000002</v>
      </c>
      <c r="T2504">
        <v>3</v>
      </c>
      <c r="U2504">
        <v>3410</v>
      </c>
      <c r="V2504">
        <v>5</v>
      </c>
    </row>
    <row r="2505" spans="1:22" x14ac:dyDescent="0.35">
      <c r="A2505">
        <v>2504</v>
      </c>
      <c r="B2505" t="s">
        <v>140</v>
      </c>
      <c r="C2505" t="s">
        <v>256</v>
      </c>
      <c r="D2505">
        <v>2025</v>
      </c>
      <c r="E2505" t="s">
        <v>130</v>
      </c>
      <c r="F2505">
        <v>124.2</v>
      </c>
      <c r="G2505" t="s">
        <v>352</v>
      </c>
      <c r="H2505">
        <f>electric_vehicles_dataset[[#This Row],[Battery_Capacity_kWh]]/electric_vehicles_dataset[[#This Row],[Range_km]]</f>
        <v>0.27847533632286997</v>
      </c>
      <c r="I2505">
        <v>446</v>
      </c>
      <c r="J2505" t="s">
        <v>358</v>
      </c>
      <c r="K2505">
        <v>12</v>
      </c>
      <c r="L2505" s="1">
        <v>99140.81</v>
      </c>
      <c r="M2505" s="1" t="str" cm="1">
        <f t="array" ref="M250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05" t="s">
        <v>175</v>
      </c>
      <c r="O2505" t="s">
        <v>110</v>
      </c>
      <c r="P2505" s="2" t="s">
        <v>394</v>
      </c>
      <c r="Q2505">
        <v>3</v>
      </c>
      <c r="R2505" t="s">
        <v>397</v>
      </c>
      <c r="S2505" s="1">
        <f>electric_vehicles_dataset[[#This Row],[Units_Sold_2024]]*electric_vehicles_dataset[[#This Row],[Price_USD]]</f>
        <v>227825581.38</v>
      </c>
      <c r="T2505">
        <v>4</v>
      </c>
      <c r="U2505">
        <v>2298</v>
      </c>
      <c r="V2505">
        <v>3</v>
      </c>
    </row>
    <row r="2506" spans="1:22" x14ac:dyDescent="0.35">
      <c r="A2506">
        <v>2505</v>
      </c>
      <c r="B2506" t="s">
        <v>108</v>
      </c>
      <c r="C2506" t="s">
        <v>369</v>
      </c>
      <c r="D2506">
        <v>2023</v>
      </c>
      <c r="E2506" t="s">
        <v>26</v>
      </c>
      <c r="F2506">
        <v>63.1</v>
      </c>
      <c r="G2506" t="s">
        <v>351</v>
      </c>
      <c r="H2506">
        <f>electric_vehicles_dataset[[#This Row],[Battery_Capacity_kWh]]/electric_vehicles_dataset[[#This Row],[Range_km]]</f>
        <v>0.16432291666666668</v>
      </c>
      <c r="I2506">
        <v>384</v>
      </c>
      <c r="J2506" t="s">
        <v>358</v>
      </c>
      <c r="K2506">
        <v>6</v>
      </c>
      <c r="L2506" s="1">
        <v>139549.21</v>
      </c>
      <c r="M2506" s="1" t="str" cm="1">
        <f t="array" ref="M250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06" t="s">
        <v>240</v>
      </c>
      <c r="O2506" t="s">
        <v>110</v>
      </c>
      <c r="P2506" s="2" t="s">
        <v>394</v>
      </c>
      <c r="Q2506">
        <v>3</v>
      </c>
      <c r="R2506" t="s">
        <v>397</v>
      </c>
      <c r="S2506" s="1">
        <f>electric_vehicles_dataset[[#This Row],[Units_Sold_2024]]*electric_vehicles_dataset[[#This Row],[Price_USD]]</f>
        <v>2529748078.8799996</v>
      </c>
      <c r="T2506">
        <v>3</v>
      </c>
      <c r="U2506">
        <v>18128</v>
      </c>
      <c r="V2506">
        <v>3</v>
      </c>
    </row>
    <row r="2507" spans="1:22" x14ac:dyDescent="0.35">
      <c r="A2507">
        <v>2506</v>
      </c>
      <c r="B2507" t="s">
        <v>193</v>
      </c>
      <c r="C2507" t="s">
        <v>203</v>
      </c>
      <c r="D2507">
        <v>2016</v>
      </c>
      <c r="E2507" t="s">
        <v>101</v>
      </c>
      <c r="F2507">
        <v>130.4</v>
      </c>
      <c r="G2507" t="s">
        <v>352</v>
      </c>
      <c r="H2507">
        <f>electric_vehicles_dataset[[#This Row],[Battery_Capacity_kWh]]/electric_vehicles_dataset[[#This Row],[Range_km]]</f>
        <v>0.26721311475409837</v>
      </c>
      <c r="I2507">
        <v>488</v>
      </c>
      <c r="J2507" t="s">
        <v>149</v>
      </c>
      <c r="K2507">
        <v>11</v>
      </c>
      <c r="L2507" s="1">
        <v>49752.59</v>
      </c>
      <c r="M2507" s="1" t="str" cm="1">
        <f t="array" ref="M250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07" t="s">
        <v>59</v>
      </c>
      <c r="O2507" t="s">
        <v>167</v>
      </c>
      <c r="P2507" s="2" t="s">
        <v>394</v>
      </c>
      <c r="Q2507">
        <v>3</v>
      </c>
      <c r="R2507" t="s">
        <v>397</v>
      </c>
      <c r="S2507" s="1">
        <f>electric_vehicles_dataset[[#This Row],[Units_Sold_2024]]*electric_vehicles_dataset[[#This Row],[Price_USD]]</f>
        <v>863754714.98999989</v>
      </c>
      <c r="T2507">
        <v>4</v>
      </c>
      <c r="U2507">
        <v>17361</v>
      </c>
      <c r="V2507">
        <v>4</v>
      </c>
    </row>
    <row r="2508" spans="1:22" x14ac:dyDescent="0.35">
      <c r="A2508">
        <v>2507</v>
      </c>
      <c r="B2508" t="s">
        <v>184</v>
      </c>
      <c r="C2508" t="s">
        <v>251</v>
      </c>
      <c r="D2508">
        <v>2025</v>
      </c>
      <c r="E2508" t="s">
        <v>47</v>
      </c>
      <c r="F2508">
        <v>121.2</v>
      </c>
      <c r="G2508" t="s">
        <v>352</v>
      </c>
      <c r="H2508">
        <f>electric_vehicles_dataset[[#This Row],[Battery_Capacity_kWh]]/electric_vehicles_dataset[[#This Row],[Range_km]]</f>
        <v>0.22116788321167885</v>
      </c>
      <c r="I2508">
        <v>548</v>
      </c>
      <c r="J2508" t="s">
        <v>149</v>
      </c>
      <c r="K2508">
        <v>3</v>
      </c>
      <c r="L2508" s="1">
        <v>115591.46</v>
      </c>
      <c r="M2508" s="1" t="str" cm="1">
        <f t="array" ref="M25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08" t="s">
        <v>279</v>
      </c>
      <c r="O2508" t="s">
        <v>134</v>
      </c>
      <c r="P2508" s="2" t="s">
        <v>389</v>
      </c>
      <c r="Q2508">
        <v>3</v>
      </c>
      <c r="R2508" t="s">
        <v>397</v>
      </c>
      <c r="S2508" s="1">
        <f>electric_vehicles_dataset[[#This Row],[Units_Sold_2024]]*electric_vehicles_dataset[[#This Row],[Price_USD]]</f>
        <v>2141794162.3400002</v>
      </c>
      <c r="T2508">
        <v>4</v>
      </c>
      <c r="U2508">
        <v>18529</v>
      </c>
      <c r="V2508">
        <v>4</v>
      </c>
    </row>
    <row r="2509" spans="1:22" x14ac:dyDescent="0.35">
      <c r="A2509">
        <v>2508</v>
      </c>
      <c r="B2509" t="s">
        <v>262</v>
      </c>
      <c r="C2509" t="s">
        <v>263</v>
      </c>
      <c r="D2509">
        <v>2022</v>
      </c>
      <c r="E2509" t="s">
        <v>26</v>
      </c>
      <c r="F2509">
        <v>36</v>
      </c>
      <c r="G2509" t="s">
        <v>357</v>
      </c>
      <c r="H2509">
        <f>electric_vehicles_dataset[[#This Row],[Battery_Capacity_kWh]]/electric_vehicles_dataset[[#This Row],[Range_km]]</f>
        <v>7.43801652892562E-2</v>
      </c>
      <c r="I2509">
        <v>484</v>
      </c>
      <c r="J2509" t="s">
        <v>105</v>
      </c>
      <c r="K2509">
        <v>3</v>
      </c>
      <c r="L2509" s="1">
        <v>115198.36</v>
      </c>
      <c r="M2509" s="1" t="str" cm="1">
        <f t="array" ref="M250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09" t="s">
        <v>77</v>
      </c>
      <c r="O2509" t="s">
        <v>93</v>
      </c>
      <c r="P2509" s="2" t="s">
        <v>389</v>
      </c>
      <c r="Q2509">
        <v>2</v>
      </c>
      <c r="R2509" t="s">
        <v>391</v>
      </c>
      <c r="S2509" s="1">
        <f>electric_vehicles_dataset[[#This Row],[Units_Sold_2024]]*electric_vehicles_dataset[[#This Row],[Price_USD]]</f>
        <v>1025726197.4400001</v>
      </c>
      <c r="T2509">
        <v>4</v>
      </c>
      <c r="U2509">
        <v>8904</v>
      </c>
      <c r="V2509">
        <v>3</v>
      </c>
    </row>
    <row r="2510" spans="1:22" x14ac:dyDescent="0.35">
      <c r="A2510">
        <v>2509</v>
      </c>
      <c r="B2510" t="s">
        <v>170</v>
      </c>
      <c r="C2510" t="s">
        <v>275</v>
      </c>
      <c r="D2510">
        <v>2020</v>
      </c>
      <c r="E2510" t="s">
        <v>42</v>
      </c>
      <c r="F2510">
        <v>25.9</v>
      </c>
      <c r="G2510" t="s">
        <v>357</v>
      </c>
      <c r="H2510">
        <f>electric_vehicles_dataset[[#This Row],[Battery_Capacity_kWh]]/electric_vehicles_dataset[[#This Row],[Range_km]]</f>
        <v>0.11666666666666665</v>
      </c>
      <c r="I2510">
        <v>222</v>
      </c>
      <c r="J2510" t="s">
        <v>48</v>
      </c>
      <c r="K2510">
        <v>1</v>
      </c>
      <c r="L2510" s="1">
        <v>80737.05</v>
      </c>
      <c r="M2510" s="1" t="str" cm="1">
        <f t="array" ref="M251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10" t="s">
        <v>168</v>
      </c>
      <c r="O2510" t="s">
        <v>95</v>
      </c>
      <c r="P2510" s="2" t="s">
        <v>394</v>
      </c>
      <c r="Q2510">
        <v>4</v>
      </c>
      <c r="R2510" t="s">
        <v>392</v>
      </c>
      <c r="S2510" s="1">
        <f>electric_vehicles_dataset[[#This Row],[Units_Sold_2024]]*electric_vehicles_dataset[[#This Row],[Price_USD]]</f>
        <v>426776046.30000001</v>
      </c>
      <c r="T2510">
        <v>5</v>
      </c>
      <c r="U2510">
        <v>5286</v>
      </c>
      <c r="V2510">
        <v>3</v>
      </c>
    </row>
    <row r="2511" spans="1:22" x14ac:dyDescent="0.35">
      <c r="A2511">
        <v>2510</v>
      </c>
      <c r="B2511" t="s">
        <v>259</v>
      </c>
      <c r="C2511" t="s">
        <v>266</v>
      </c>
      <c r="D2511">
        <v>2019</v>
      </c>
      <c r="E2511" t="s">
        <v>101</v>
      </c>
      <c r="F2511">
        <v>78.900000000000006</v>
      </c>
      <c r="G2511" t="s">
        <v>351</v>
      </c>
      <c r="H2511">
        <f>electric_vehicles_dataset[[#This Row],[Battery_Capacity_kWh]]/electric_vehicles_dataset[[#This Row],[Range_km]]</f>
        <v>0.38487804878048781</v>
      </c>
      <c r="I2511">
        <v>205</v>
      </c>
      <c r="J2511" t="s">
        <v>105</v>
      </c>
      <c r="K2511">
        <v>4</v>
      </c>
      <c r="L2511" s="1">
        <v>100642.84</v>
      </c>
      <c r="M2511" s="1" t="str" cm="1">
        <f t="array" ref="M25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11" t="s">
        <v>214</v>
      </c>
      <c r="O2511" t="s">
        <v>182</v>
      </c>
      <c r="P2511" s="2" t="s">
        <v>394</v>
      </c>
      <c r="Q2511">
        <v>4</v>
      </c>
      <c r="R2511" t="s">
        <v>392</v>
      </c>
      <c r="S2511" s="1">
        <f>electric_vehicles_dataset[[#This Row],[Units_Sold_2024]]*electric_vehicles_dataset[[#This Row],[Price_USD]]</f>
        <v>1967366236.3199999</v>
      </c>
      <c r="T2511">
        <v>3</v>
      </c>
      <c r="U2511">
        <v>19548</v>
      </c>
      <c r="V2511">
        <v>4</v>
      </c>
    </row>
    <row r="2512" spans="1:22" x14ac:dyDescent="0.35">
      <c r="A2512">
        <v>2511</v>
      </c>
      <c r="B2512" t="s">
        <v>136</v>
      </c>
      <c r="C2512" t="s">
        <v>137</v>
      </c>
      <c r="D2512">
        <v>2021</v>
      </c>
      <c r="E2512" t="s">
        <v>42</v>
      </c>
      <c r="F2512">
        <v>102</v>
      </c>
      <c r="G2512" t="s">
        <v>361</v>
      </c>
      <c r="H2512">
        <f>electric_vehicles_dataset[[#This Row],[Battery_Capacity_kWh]]/electric_vehicles_dataset[[#This Row],[Range_km]]</f>
        <v>0.18579234972677597</v>
      </c>
      <c r="I2512">
        <v>549</v>
      </c>
      <c r="J2512" t="s">
        <v>38</v>
      </c>
      <c r="K2512">
        <v>12</v>
      </c>
      <c r="L2512" s="1">
        <v>83442.649999999994</v>
      </c>
      <c r="M2512" s="1" t="str" cm="1">
        <f t="array" ref="M251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12" t="s">
        <v>165</v>
      </c>
      <c r="O2512" t="s">
        <v>206</v>
      </c>
      <c r="P2512" s="2" t="s">
        <v>394</v>
      </c>
      <c r="Q2512">
        <v>3</v>
      </c>
      <c r="R2512" t="s">
        <v>397</v>
      </c>
      <c r="S2512" s="1">
        <f>electric_vehicles_dataset[[#This Row],[Units_Sold_2024]]*electric_vehicles_dataset[[#This Row],[Price_USD]]</f>
        <v>665455133.75</v>
      </c>
      <c r="T2512">
        <v>5</v>
      </c>
      <c r="U2512">
        <v>7975</v>
      </c>
      <c r="V2512">
        <v>5</v>
      </c>
    </row>
    <row r="2513" spans="1:22" x14ac:dyDescent="0.35">
      <c r="A2513">
        <v>2512</v>
      </c>
      <c r="B2513" t="s">
        <v>173</v>
      </c>
      <c r="C2513" t="s">
        <v>249</v>
      </c>
      <c r="D2513">
        <v>2015</v>
      </c>
      <c r="E2513" t="s">
        <v>26</v>
      </c>
      <c r="F2513">
        <v>111.1</v>
      </c>
      <c r="G2513" t="s">
        <v>361</v>
      </c>
      <c r="H2513">
        <f>electric_vehicles_dataset[[#This Row],[Battery_Capacity_kWh]]/electric_vehicles_dataset[[#This Row],[Range_km]]</f>
        <v>0.56683673469387752</v>
      </c>
      <c r="I2513">
        <v>196</v>
      </c>
      <c r="J2513" t="s">
        <v>18</v>
      </c>
      <c r="K2513">
        <v>5</v>
      </c>
      <c r="L2513" s="1">
        <v>115673.64</v>
      </c>
      <c r="M2513" s="1" t="str" cm="1">
        <f t="array" ref="M251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13" t="s">
        <v>279</v>
      </c>
      <c r="O2513" t="s">
        <v>199</v>
      </c>
      <c r="P2513" s="2" t="s">
        <v>394</v>
      </c>
      <c r="Q2513">
        <v>3</v>
      </c>
      <c r="R2513" t="s">
        <v>397</v>
      </c>
      <c r="S2513" s="1">
        <f>electric_vehicles_dataset[[#This Row],[Units_Sold_2024]]*electric_vehicles_dataset[[#This Row],[Price_USD]]</f>
        <v>1520992692.3599999</v>
      </c>
      <c r="T2513">
        <v>3</v>
      </c>
      <c r="U2513">
        <v>13149</v>
      </c>
      <c r="V2513">
        <v>3</v>
      </c>
    </row>
    <row r="2514" spans="1:22" x14ac:dyDescent="0.35">
      <c r="A2514">
        <v>2513</v>
      </c>
      <c r="B2514" t="s">
        <v>193</v>
      </c>
      <c r="C2514" t="s">
        <v>203</v>
      </c>
      <c r="D2514">
        <v>2016</v>
      </c>
      <c r="E2514" t="s">
        <v>130</v>
      </c>
      <c r="F2514">
        <v>57.6</v>
      </c>
      <c r="G2514" t="s">
        <v>348</v>
      </c>
      <c r="H2514">
        <f>electric_vehicles_dataset[[#This Row],[Battery_Capacity_kWh]]/electric_vehicles_dataset[[#This Row],[Range_km]]</f>
        <v>0.2691588785046729</v>
      </c>
      <c r="I2514">
        <v>214</v>
      </c>
      <c r="J2514" t="s">
        <v>76</v>
      </c>
      <c r="K2514">
        <v>4</v>
      </c>
      <c r="L2514" s="1">
        <v>145561.53</v>
      </c>
      <c r="M2514" s="1" t="str" cm="1">
        <f t="array" ref="M251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14" t="s">
        <v>177</v>
      </c>
      <c r="O2514" t="s">
        <v>202</v>
      </c>
      <c r="P2514" s="2" t="s">
        <v>393</v>
      </c>
      <c r="Q2514">
        <v>0</v>
      </c>
      <c r="R2514" t="s">
        <v>390</v>
      </c>
      <c r="S2514" s="1">
        <f>electric_vehicles_dataset[[#This Row],[Units_Sold_2024]]*electric_vehicles_dataset[[#This Row],[Price_USD]]</f>
        <v>1950815625.0599999</v>
      </c>
      <c r="T2514">
        <v>3</v>
      </c>
      <c r="U2514">
        <v>13402</v>
      </c>
      <c r="V2514">
        <v>5</v>
      </c>
    </row>
    <row r="2515" spans="1:22" x14ac:dyDescent="0.35">
      <c r="A2515">
        <v>2514</v>
      </c>
      <c r="B2515" t="s">
        <v>36</v>
      </c>
      <c r="C2515" t="s">
        <v>211</v>
      </c>
      <c r="D2515">
        <v>2022</v>
      </c>
      <c r="E2515" t="s">
        <v>104</v>
      </c>
      <c r="F2515">
        <v>39.200000000000003</v>
      </c>
      <c r="G2515" t="s">
        <v>357</v>
      </c>
      <c r="H2515">
        <f>electric_vehicles_dataset[[#This Row],[Battery_Capacity_kWh]]/electric_vehicles_dataset[[#This Row],[Range_km]]</f>
        <v>7.8873239436619724E-2</v>
      </c>
      <c r="I2515">
        <v>497</v>
      </c>
      <c r="J2515" t="s">
        <v>76</v>
      </c>
      <c r="K2515">
        <v>6</v>
      </c>
      <c r="L2515" s="1">
        <v>148873.51999999999</v>
      </c>
      <c r="M2515" s="1" t="str" cm="1">
        <f t="array" ref="M251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15" t="s">
        <v>172</v>
      </c>
      <c r="O2515" t="s">
        <v>182</v>
      </c>
      <c r="P2515" s="2" t="s">
        <v>394</v>
      </c>
      <c r="Q2515">
        <v>5</v>
      </c>
      <c r="R2515" t="s">
        <v>392</v>
      </c>
      <c r="S2515" s="1">
        <f>electric_vehicles_dataset[[#This Row],[Units_Sold_2024]]*electric_vehicles_dataset[[#This Row],[Price_USD]]</f>
        <v>1038988296.0799999</v>
      </c>
      <c r="T2515">
        <v>4</v>
      </c>
      <c r="U2515">
        <v>6979</v>
      </c>
      <c r="V2515">
        <v>5</v>
      </c>
    </row>
    <row r="2516" spans="1:22" x14ac:dyDescent="0.35">
      <c r="A2516">
        <v>2515</v>
      </c>
      <c r="B2516" t="s">
        <v>56</v>
      </c>
      <c r="C2516" t="s">
        <v>57</v>
      </c>
      <c r="D2516">
        <v>2021</v>
      </c>
      <c r="E2516" t="s">
        <v>26</v>
      </c>
      <c r="F2516">
        <v>123.6</v>
      </c>
      <c r="G2516" t="s">
        <v>352</v>
      </c>
      <c r="H2516">
        <f>electric_vehicles_dataset[[#This Row],[Battery_Capacity_kWh]]/electric_vehicles_dataset[[#This Row],[Range_km]]</f>
        <v>0.49243027888446211</v>
      </c>
      <c r="I2516">
        <v>251</v>
      </c>
      <c r="J2516" t="s">
        <v>85</v>
      </c>
      <c r="K2516">
        <v>12</v>
      </c>
      <c r="L2516" s="1">
        <v>85022.3</v>
      </c>
      <c r="M2516" s="1" t="str" cm="1">
        <f t="array" ref="M251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16" t="s">
        <v>59</v>
      </c>
      <c r="O2516" t="s">
        <v>139</v>
      </c>
      <c r="P2516" s="2" t="s">
        <v>389</v>
      </c>
      <c r="Q2516">
        <v>5</v>
      </c>
      <c r="R2516" t="s">
        <v>392</v>
      </c>
      <c r="S2516" s="1">
        <f>electric_vehicles_dataset[[#This Row],[Units_Sold_2024]]*electric_vehicles_dataset[[#This Row],[Price_USD]]</f>
        <v>280488567.69999999</v>
      </c>
      <c r="T2516">
        <v>5</v>
      </c>
      <c r="U2516">
        <v>3299</v>
      </c>
      <c r="V2516">
        <v>4</v>
      </c>
    </row>
    <row r="2517" spans="1:22" x14ac:dyDescent="0.35">
      <c r="A2517">
        <v>2516</v>
      </c>
      <c r="B2517" t="s">
        <v>259</v>
      </c>
      <c r="C2517" t="s">
        <v>260</v>
      </c>
      <c r="D2517">
        <v>2022</v>
      </c>
      <c r="E2517" t="s">
        <v>42</v>
      </c>
      <c r="F2517">
        <v>37.6</v>
      </c>
      <c r="G2517" t="s">
        <v>357</v>
      </c>
      <c r="H2517">
        <f>electric_vehicles_dataset[[#This Row],[Battery_Capacity_kWh]]/electric_vehicles_dataset[[#This Row],[Range_km]]</f>
        <v>6.9372693726937273E-2</v>
      </c>
      <c r="I2517">
        <v>542</v>
      </c>
      <c r="J2517" t="s">
        <v>85</v>
      </c>
      <c r="K2517">
        <v>10</v>
      </c>
      <c r="L2517" s="1">
        <v>82608.38</v>
      </c>
      <c r="M2517" s="1" t="str" cm="1">
        <f t="array" ref="M25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17" t="s">
        <v>240</v>
      </c>
      <c r="O2517" t="s">
        <v>202</v>
      </c>
      <c r="P2517" s="2" t="s">
        <v>393</v>
      </c>
      <c r="Q2517">
        <v>0</v>
      </c>
      <c r="R2517" t="s">
        <v>390</v>
      </c>
      <c r="S2517" s="1">
        <f>electric_vehicles_dataset[[#This Row],[Units_Sold_2024]]*electric_vehicles_dataset[[#This Row],[Price_USD]]</f>
        <v>1555185361.8800001</v>
      </c>
      <c r="T2517">
        <v>3</v>
      </c>
      <c r="U2517">
        <v>18826</v>
      </c>
      <c r="V2517">
        <v>3</v>
      </c>
    </row>
    <row r="2518" spans="1:22" x14ac:dyDescent="0.35">
      <c r="A2518">
        <v>2517</v>
      </c>
      <c r="B2518" t="s">
        <v>56</v>
      </c>
      <c r="C2518" t="s">
        <v>57</v>
      </c>
      <c r="D2518">
        <v>2021</v>
      </c>
      <c r="E2518" t="s">
        <v>133</v>
      </c>
      <c r="F2518">
        <v>135.19999999999999</v>
      </c>
      <c r="G2518" t="s">
        <v>352</v>
      </c>
      <c r="H2518">
        <f>electric_vehicles_dataset[[#This Row],[Battery_Capacity_kWh]]/electric_vehicles_dataset[[#This Row],[Range_km]]</f>
        <v>0.82439024390243898</v>
      </c>
      <c r="I2518">
        <v>164</v>
      </c>
      <c r="J2518" t="s">
        <v>38</v>
      </c>
      <c r="K2518">
        <v>5</v>
      </c>
      <c r="L2518" s="1">
        <v>129139.34</v>
      </c>
      <c r="M2518" s="1" t="str" cm="1">
        <f t="array" ref="M25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18" t="s">
        <v>28</v>
      </c>
      <c r="O2518" t="s">
        <v>40</v>
      </c>
      <c r="P2518" s="2" t="s">
        <v>395</v>
      </c>
      <c r="Q2518">
        <v>4</v>
      </c>
      <c r="R2518" t="s">
        <v>392</v>
      </c>
      <c r="S2518" s="1">
        <f>electric_vehicles_dataset[[#This Row],[Units_Sold_2024]]*electric_vehicles_dataset[[#This Row],[Price_USD]]</f>
        <v>863942184.60000002</v>
      </c>
      <c r="T2518">
        <v>5</v>
      </c>
      <c r="U2518">
        <v>6690</v>
      </c>
      <c r="V2518">
        <v>4</v>
      </c>
    </row>
    <row r="2519" spans="1:22" x14ac:dyDescent="0.35">
      <c r="A2519">
        <v>2518</v>
      </c>
      <c r="B2519" t="s">
        <v>155</v>
      </c>
      <c r="C2519" t="s">
        <v>156</v>
      </c>
      <c r="D2519">
        <v>2021</v>
      </c>
      <c r="E2519" t="s">
        <v>17</v>
      </c>
      <c r="F2519">
        <v>138</v>
      </c>
      <c r="G2519" t="s">
        <v>352</v>
      </c>
      <c r="H2519">
        <f>electric_vehicles_dataset[[#This Row],[Battery_Capacity_kWh]]/electric_vehicles_dataset[[#This Row],[Range_km]]</f>
        <v>0.52471482889733845</v>
      </c>
      <c r="I2519">
        <v>263</v>
      </c>
      <c r="J2519" t="s">
        <v>149</v>
      </c>
      <c r="K2519">
        <v>1</v>
      </c>
      <c r="L2519" s="1">
        <v>127576.95</v>
      </c>
      <c r="M2519" s="1" t="str" cm="1">
        <f t="array" ref="M251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19" t="s">
        <v>253</v>
      </c>
      <c r="O2519" t="s">
        <v>92</v>
      </c>
      <c r="P2519" s="2" t="s">
        <v>394</v>
      </c>
      <c r="Q2519">
        <v>0</v>
      </c>
      <c r="R2519" t="s">
        <v>390</v>
      </c>
      <c r="S2519" s="1">
        <f>electric_vehicles_dataset[[#This Row],[Units_Sold_2024]]*electric_vehicles_dataset[[#This Row],[Price_USD]]</f>
        <v>946493392.04999995</v>
      </c>
      <c r="T2519">
        <v>4</v>
      </c>
      <c r="U2519">
        <v>7419</v>
      </c>
      <c r="V2519">
        <v>3</v>
      </c>
    </row>
    <row r="2520" spans="1:22" x14ac:dyDescent="0.35">
      <c r="A2520">
        <v>2519</v>
      </c>
      <c r="B2520" t="s">
        <v>60</v>
      </c>
      <c r="C2520" t="s">
        <v>342</v>
      </c>
      <c r="D2520">
        <v>2025</v>
      </c>
      <c r="E2520" t="s">
        <v>84</v>
      </c>
      <c r="F2520">
        <v>126</v>
      </c>
      <c r="G2520" t="s">
        <v>352</v>
      </c>
      <c r="H2520">
        <f>electric_vehicles_dataset[[#This Row],[Battery_Capacity_kWh]]/electric_vehicles_dataset[[#This Row],[Range_km]]</f>
        <v>0.27155172413793105</v>
      </c>
      <c r="I2520">
        <v>464</v>
      </c>
      <c r="J2520" t="s">
        <v>358</v>
      </c>
      <c r="K2520">
        <v>5</v>
      </c>
      <c r="L2520" s="1">
        <v>82251.22</v>
      </c>
      <c r="M2520" s="1" t="str" cm="1">
        <f t="array" ref="M252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20" t="s">
        <v>146</v>
      </c>
      <c r="O2520" t="s">
        <v>265</v>
      </c>
      <c r="P2520" s="2" t="s">
        <v>389</v>
      </c>
      <c r="Q2520">
        <v>2</v>
      </c>
      <c r="R2520" t="s">
        <v>391</v>
      </c>
      <c r="S2520" s="1">
        <f>electric_vehicles_dataset[[#This Row],[Units_Sold_2024]]*electric_vehicles_dataset[[#This Row],[Price_USD]]</f>
        <v>422524517.13999999</v>
      </c>
      <c r="T2520">
        <v>4</v>
      </c>
      <c r="U2520">
        <v>5137</v>
      </c>
      <c r="V2520">
        <v>5</v>
      </c>
    </row>
    <row r="2521" spans="1:22" x14ac:dyDescent="0.35">
      <c r="A2521">
        <v>2520</v>
      </c>
      <c r="B2521" t="s">
        <v>224</v>
      </c>
      <c r="C2521" t="s">
        <v>280</v>
      </c>
      <c r="D2521">
        <v>2021</v>
      </c>
      <c r="E2521" t="s">
        <v>90</v>
      </c>
      <c r="F2521">
        <v>56.1</v>
      </c>
      <c r="G2521" t="s">
        <v>348</v>
      </c>
      <c r="H2521">
        <f>electric_vehicles_dataset[[#This Row],[Battery_Capacity_kWh]]/electric_vehicles_dataset[[#This Row],[Range_km]]</f>
        <v>0.20701107011070111</v>
      </c>
      <c r="I2521">
        <v>271</v>
      </c>
      <c r="J2521" t="s">
        <v>353</v>
      </c>
      <c r="K2521">
        <v>9</v>
      </c>
      <c r="L2521" s="1">
        <v>143405.71</v>
      </c>
      <c r="M2521" s="1" t="str" cm="1">
        <f t="array" ref="M252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21" t="s">
        <v>246</v>
      </c>
      <c r="O2521" t="s">
        <v>199</v>
      </c>
      <c r="P2521" s="2" t="s">
        <v>394</v>
      </c>
      <c r="Q2521">
        <v>3</v>
      </c>
      <c r="R2521" t="s">
        <v>397</v>
      </c>
      <c r="S2521" s="1">
        <f>electric_vehicles_dataset[[#This Row],[Units_Sold_2024]]*electric_vehicles_dataset[[#This Row],[Price_USD]]</f>
        <v>2603387259.3399997</v>
      </c>
      <c r="T2521">
        <v>4</v>
      </c>
      <c r="U2521">
        <v>18154</v>
      </c>
      <c r="V2521">
        <v>3</v>
      </c>
    </row>
    <row r="2522" spans="1:22" x14ac:dyDescent="0.35">
      <c r="A2522">
        <v>2521</v>
      </c>
      <c r="B2522" t="s">
        <v>87</v>
      </c>
      <c r="C2522" t="s">
        <v>88</v>
      </c>
      <c r="D2522">
        <v>2020</v>
      </c>
      <c r="E2522" t="s">
        <v>130</v>
      </c>
      <c r="F2522">
        <v>49.2</v>
      </c>
      <c r="G2522" t="s">
        <v>348</v>
      </c>
      <c r="H2522">
        <f>electric_vehicles_dataset[[#This Row],[Battery_Capacity_kWh]]/electric_vehicles_dataset[[#This Row],[Range_km]]</f>
        <v>0.30943396226415099</v>
      </c>
      <c r="I2522">
        <v>159</v>
      </c>
      <c r="J2522" t="s">
        <v>353</v>
      </c>
      <c r="K2522">
        <v>5</v>
      </c>
      <c r="L2522" s="1">
        <v>126774.65</v>
      </c>
      <c r="M2522" s="1" t="str" cm="1">
        <f t="array" ref="M252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22" t="s">
        <v>77</v>
      </c>
      <c r="O2522" t="s">
        <v>354</v>
      </c>
      <c r="P2522" s="2" t="s">
        <v>394</v>
      </c>
      <c r="Q2522">
        <v>5</v>
      </c>
      <c r="R2522" t="s">
        <v>392</v>
      </c>
      <c r="S2522" s="1">
        <f>electric_vehicles_dataset[[#This Row],[Units_Sold_2024]]*electric_vehicles_dataset[[#This Row],[Price_USD]]</f>
        <v>1546523955.3499999</v>
      </c>
      <c r="T2522">
        <v>4</v>
      </c>
      <c r="U2522">
        <v>12199</v>
      </c>
      <c r="V2522">
        <v>3</v>
      </c>
    </row>
    <row r="2523" spans="1:22" x14ac:dyDescent="0.35">
      <c r="A2523">
        <v>2522</v>
      </c>
      <c r="B2523" t="s">
        <v>125</v>
      </c>
      <c r="C2523" t="s">
        <v>276</v>
      </c>
      <c r="D2523">
        <v>2020</v>
      </c>
      <c r="E2523" t="s">
        <v>58</v>
      </c>
      <c r="F2523">
        <v>23.9</v>
      </c>
      <c r="G2523" t="s">
        <v>357</v>
      </c>
      <c r="H2523">
        <f>electric_vehicles_dataset[[#This Row],[Battery_Capacity_kWh]]/electric_vehicles_dataset[[#This Row],[Range_km]]</f>
        <v>0.22761904761904761</v>
      </c>
      <c r="I2523">
        <v>105</v>
      </c>
      <c r="J2523" t="s">
        <v>149</v>
      </c>
      <c r="K2523">
        <v>8</v>
      </c>
      <c r="L2523" s="1">
        <v>147813.28</v>
      </c>
      <c r="M2523" s="1" t="str" cm="1">
        <f t="array" ref="M252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23" t="s">
        <v>22</v>
      </c>
      <c r="O2523" t="s">
        <v>33</v>
      </c>
      <c r="P2523" s="2" t="s">
        <v>393</v>
      </c>
      <c r="Q2523">
        <v>1</v>
      </c>
      <c r="R2523" t="s">
        <v>391</v>
      </c>
      <c r="S2523" s="1">
        <f>electric_vehicles_dataset[[#This Row],[Units_Sold_2024]]*electric_vehicles_dataset[[#This Row],[Price_USD]]</f>
        <v>1929997996.96</v>
      </c>
      <c r="T2523">
        <v>5</v>
      </c>
      <c r="U2523">
        <v>13057</v>
      </c>
      <c r="V2523">
        <v>5</v>
      </c>
    </row>
    <row r="2524" spans="1:22" x14ac:dyDescent="0.35">
      <c r="A2524">
        <v>2523</v>
      </c>
      <c r="B2524" t="s">
        <v>262</v>
      </c>
      <c r="C2524" t="s">
        <v>373</v>
      </c>
      <c r="D2524">
        <v>2019</v>
      </c>
      <c r="E2524" t="s">
        <v>58</v>
      </c>
      <c r="F2524">
        <v>36.5</v>
      </c>
      <c r="G2524" t="s">
        <v>357</v>
      </c>
      <c r="H2524">
        <f>electric_vehicles_dataset[[#This Row],[Battery_Capacity_kWh]]/electric_vehicles_dataset[[#This Row],[Range_km]]</f>
        <v>0.18527918781725888</v>
      </c>
      <c r="I2524">
        <v>197</v>
      </c>
      <c r="J2524" t="s">
        <v>38</v>
      </c>
      <c r="K2524">
        <v>11</v>
      </c>
      <c r="L2524" s="1">
        <v>100401.48</v>
      </c>
      <c r="M2524" s="1" t="str" cm="1">
        <f t="array" ref="M252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24" t="s">
        <v>142</v>
      </c>
      <c r="O2524" t="s">
        <v>107</v>
      </c>
      <c r="P2524" s="2" t="s">
        <v>394</v>
      </c>
      <c r="Q2524">
        <v>5</v>
      </c>
      <c r="R2524" t="s">
        <v>392</v>
      </c>
      <c r="S2524" s="1">
        <f>electric_vehicles_dataset[[#This Row],[Units_Sold_2024]]*electric_vehicles_dataset[[#This Row],[Price_USD]]</f>
        <v>1306524459.24</v>
      </c>
      <c r="T2524">
        <v>5</v>
      </c>
      <c r="U2524">
        <v>13013</v>
      </c>
      <c r="V2524">
        <v>5</v>
      </c>
    </row>
    <row r="2525" spans="1:22" x14ac:dyDescent="0.35">
      <c r="A2525">
        <v>2524</v>
      </c>
      <c r="B2525" t="s">
        <v>153</v>
      </c>
      <c r="C2525" t="s">
        <v>310</v>
      </c>
      <c r="D2525">
        <v>2018</v>
      </c>
      <c r="E2525" t="s">
        <v>104</v>
      </c>
      <c r="F2525">
        <v>76</v>
      </c>
      <c r="G2525" t="s">
        <v>351</v>
      </c>
      <c r="H2525">
        <f>electric_vehicles_dataset[[#This Row],[Battery_Capacity_kWh]]/electric_vehicles_dataset[[#This Row],[Range_km]]</f>
        <v>0.6495726495726496</v>
      </c>
      <c r="I2525">
        <v>117</v>
      </c>
      <c r="J2525" t="s">
        <v>34</v>
      </c>
      <c r="K2525">
        <v>8</v>
      </c>
      <c r="L2525" s="1">
        <v>70167.14</v>
      </c>
      <c r="M2525" s="1" t="str" cm="1">
        <f t="array" ref="M252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25" t="s">
        <v>91</v>
      </c>
      <c r="O2525" t="s">
        <v>92</v>
      </c>
      <c r="P2525" s="2" t="s">
        <v>394</v>
      </c>
      <c r="Q2525">
        <v>3</v>
      </c>
      <c r="R2525" t="s">
        <v>397</v>
      </c>
      <c r="S2525" s="1">
        <f>electric_vehicles_dataset[[#This Row],[Units_Sold_2024]]*electric_vehicles_dataset[[#This Row],[Price_USD]]</f>
        <v>835129300.27999997</v>
      </c>
      <c r="T2525">
        <v>4</v>
      </c>
      <c r="U2525">
        <v>11902</v>
      </c>
      <c r="V2525">
        <v>3</v>
      </c>
    </row>
    <row r="2526" spans="1:22" x14ac:dyDescent="0.35">
      <c r="A2526">
        <v>2525</v>
      </c>
      <c r="B2526" t="s">
        <v>41</v>
      </c>
      <c r="C2526" t="s">
        <v>374</v>
      </c>
      <c r="D2526">
        <v>2022</v>
      </c>
      <c r="E2526" t="s">
        <v>53</v>
      </c>
      <c r="F2526">
        <v>87.7</v>
      </c>
      <c r="G2526" t="s">
        <v>350</v>
      </c>
      <c r="H2526">
        <f>electric_vehicles_dataset[[#This Row],[Battery_Capacity_kWh]]/electric_vehicles_dataset[[#This Row],[Range_km]]</f>
        <v>0.21870324189526186</v>
      </c>
      <c r="I2526">
        <v>401</v>
      </c>
      <c r="J2526" t="s">
        <v>38</v>
      </c>
      <c r="K2526">
        <v>3</v>
      </c>
      <c r="L2526" s="1">
        <v>130213.31</v>
      </c>
      <c r="M2526" s="1" t="str" cm="1">
        <f t="array" ref="M252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26" t="s">
        <v>229</v>
      </c>
      <c r="O2526" t="s">
        <v>40</v>
      </c>
      <c r="P2526" s="2" t="s">
        <v>395</v>
      </c>
      <c r="Q2526">
        <v>2</v>
      </c>
      <c r="R2526" t="s">
        <v>391</v>
      </c>
      <c r="S2526" s="1">
        <f>electric_vehicles_dataset[[#This Row],[Units_Sold_2024]]*electric_vehicles_dataset[[#This Row],[Price_USD]]</f>
        <v>2261154128.1500001</v>
      </c>
      <c r="T2526">
        <v>4</v>
      </c>
      <c r="U2526">
        <v>17365</v>
      </c>
      <c r="V2526">
        <v>5</v>
      </c>
    </row>
    <row r="2527" spans="1:22" x14ac:dyDescent="0.35">
      <c r="A2527">
        <v>2526</v>
      </c>
      <c r="B2527" t="s">
        <v>144</v>
      </c>
      <c r="C2527" t="s">
        <v>273</v>
      </c>
      <c r="D2527">
        <v>2024</v>
      </c>
      <c r="E2527" t="s">
        <v>130</v>
      </c>
      <c r="F2527">
        <v>75</v>
      </c>
      <c r="G2527" t="s">
        <v>351</v>
      </c>
      <c r="H2527">
        <f>electric_vehicles_dataset[[#This Row],[Battery_Capacity_kWh]]/electric_vehicles_dataset[[#This Row],[Range_km]]</f>
        <v>0.4143646408839779</v>
      </c>
      <c r="I2527">
        <v>181</v>
      </c>
      <c r="J2527" t="s">
        <v>48</v>
      </c>
      <c r="K2527">
        <v>3</v>
      </c>
      <c r="L2527" s="1">
        <v>62261.33</v>
      </c>
      <c r="M2527" s="1" t="str" cm="1">
        <f t="array" ref="M252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27" t="s">
        <v>62</v>
      </c>
      <c r="O2527" t="s">
        <v>20</v>
      </c>
      <c r="P2527" s="2" t="s">
        <v>389</v>
      </c>
      <c r="Q2527">
        <v>5</v>
      </c>
      <c r="R2527" t="s">
        <v>392</v>
      </c>
      <c r="S2527" s="1">
        <f>electric_vehicles_dataset[[#This Row],[Units_Sold_2024]]*electric_vehicles_dataset[[#This Row],[Price_USD]]</f>
        <v>880375206.20000005</v>
      </c>
      <c r="T2527">
        <v>5</v>
      </c>
      <c r="U2527">
        <v>14140</v>
      </c>
      <c r="V2527">
        <v>4</v>
      </c>
    </row>
    <row r="2528" spans="1:22" x14ac:dyDescent="0.35">
      <c r="A2528">
        <v>2527</v>
      </c>
      <c r="B2528" t="s">
        <v>87</v>
      </c>
      <c r="C2528" t="s">
        <v>191</v>
      </c>
      <c r="D2528">
        <v>2017</v>
      </c>
      <c r="E2528" t="s">
        <v>101</v>
      </c>
      <c r="F2528">
        <v>130.1</v>
      </c>
      <c r="G2528" t="s">
        <v>352</v>
      </c>
      <c r="H2528">
        <f>electric_vehicles_dataset[[#This Row],[Battery_Capacity_kWh]]/electric_vehicles_dataset[[#This Row],[Range_km]]</f>
        <v>0.25813492063492061</v>
      </c>
      <c r="I2528">
        <v>504</v>
      </c>
      <c r="J2528" t="s">
        <v>105</v>
      </c>
      <c r="K2528">
        <v>11</v>
      </c>
      <c r="L2528" s="1">
        <v>122853.66</v>
      </c>
      <c r="M2528" s="1" t="str" cm="1">
        <f t="array" ref="M25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28" t="s">
        <v>210</v>
      </c>
      <c r="O2528" t="s">
        <v>206</v>
      </c>
      <c r="P2528" s="2" t="s">
        <v>394</v>
      </c>
      <c r="Q2528">
        <v>5</v>
      </c>
      <c r="R2528" t="s">
        <v>392</v>
      </c>
      <c r="S2528" s="1">
        <f>electric_vehicles_dataset[[#This Row],[Units_Sold_2024]]*electric_vehicles_dataset[[#This Row],[Price_USD]]</f>
        <v>435270517.38</v>
      </c>
      <c r="T2528">
        <v>5</v>
      </c>
      <c r="U2528">
        <v>3543</v>
      </c>
      <c r="V2528">
        <v>3</v>
      </c>
    </row>
    <row r="2529" spans="1:22" x14ac:dyDescent="0.35">
      <c r="A2529">
        <v>2528</v>
      </c>
      <c r="B2529" t="s">
        <v>41</v>
      </c>
      <c r="C2529" t="s">
        <v>355</v>
      </c>
      <c r="D2529">
        <v>2016</v>
      </c>
      <c r="E2529" t="s">
        <v>90</v>
      </c>
      <c r="F2529">
        <v>92.6</v>
      </c>
      <c r="G2529" t="s">
        <v>350</v>
      </c>
      <c r="H2529">
        <f>electric_vehicles_dataset[[#This Row],[Battery_Capacity_kWh]]/electric_vehicles_dataset[[#This Row],[Range_km]]</f>
        <v>0.38744769874476986</v>
      </c>
      <c r="I2529">
        <v>239</v>
      </c>
      <c r="J2529" t="s">
        <v>27</v>
      </c>
      <c r="K2529">
        <v>9</v>
      </c>
      <c r="L2529" s="1">
        <v>96666.78</v>
      </c>
      <c r="M2529" s="1" t="str" cm="1">
        <f t="array" ref="M252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29" t="s">
        <v>117</v>
      </c>
      <c r="O2529" t="s">
        <v>161</v>
      </c>
      <c r="P2529" s="2" t="s">
        <v>389</v>
      </c>
      <c r="Q2529">
        <v>2</v>
      </c>
      <c r="R2529" t="s">
        <v>391</v>
      </c>
      <c r="S2529" s="1">
        <f>electric_vehicles_dataset[[#This Row],[Units_Sold_2024]]*electric_vehicles_dataset[[#This Row],[Price_USD]]</f>
        <v>378160443.36000001</v>
      </c>
      <c r="T2529">
        <v>5</v>
      </c>
      <c r="U2529">
        <v>3912</v>
      </c>
      <c r="V2529">
        <v>3</v>
      </c>
    </row>
    <row r="2530" spans="1:22" x14ac:dyDescent="0.35">
      <c r="A2530">
        <v>2529</v>
      </c>
      <c r="B2530" t="s">
        <v>36</v>
      </c>
      <c r="C2530" t="s">
        <v>324</v>
      </c>
      <c r="D2530">
        <v>2016</v>
      </c>
      <c r="E2530" t="s">
        <v>130</v>
      </c>
      <c r="F2530">
        <v>118</v>
      </c>
      <c r="G2530" t="s">
        <v>361</v>
      </c>
      <c r="H2530">
        <f>electric_vehicles_dataset[[#This Row],[Battery_Capacity_kWh]]/electric_vehicles_dataset[[#This Row],[Range_km]]</f>
        <v>0.28992628992628994</v>
      </c>
      <c r="I2530">
        <v>407</v>
      </c>
      <c r="J2530" t="s">
        <v>353</v>
      </c>
      <c r="K2530">
        <v>1</v>
      </c>
      <c r="L2530" s="1">
        <v>31704.6</v>
      </c>
      <c r="M2530" s="1" t="str" cm="1">
        <f t="array" ref="M253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30" t="s">
        <v>77</v>
      </c>
      <c r="O2530" t="s">
        <v>135</v>
      </c>
      <c r="P2530" s="2" t="s">
        <v>389</v>
      </c>
      <c r="Q2530">
        <v>4</v>
      </c>
      <c r="R2530" t="s">
        <v>392</v>
      </c>
      <c r="S2530" s="1">
        <f>electric_vehicles_dataset[[#This Row],[Units_Sold_2024]]*electric_vehicles_dataset[[#This Row],[Price_USD]]</f>
        <v>342504793.80000001</v>
      </c>
      <c r="T2530">
        <v>3</v>
      </c>
      <c r="U2530">
        <v>10803</v>
      </c>
      <c r="V2530">
        <v>5</v>
      </c>
    </row>
    <row r="2531" spans="1:22" x14ac:dyDescent="0.35">
      <c r="A2531">
        <v>2530</v>
      </c>
      <c r="B2531" t="s">
        <v>140</v>
      </c>
      <c r="C2531" t="s">
        <v>339</v>
      </c>
      <c r="D2531">
        <v>2023</v>
      </c>
      <c r="E2531" t="s">
        <v>58</v>
      </c>
      <c r="F2531">
        <v>54.8</v>
      </c>
      <c r="G2531" t="s">
        <v>348</v>
      </c>
      <c r="H2531">
        <f>electric_vehicles_dataset[[#This Row],[Battery_Capacity_kWh]]/electric_vehicles_dataset[[#This Row],[Range_km]]</f>
        <v>0.27676767676767677</v>
      </c>
      <c r="I2531">
        <v>198</v>
      </c>
      <c r="J2531" t="s">
        <v>359</v>
      </c>
      <c r="K2531">
        <v>4</v>
      </c>
      <c r="L2531" s="1">
        <v>130722.4</v>
      </c>
      <c r="M2531" s="1" t="str" cm="1">
        <f t="array" ref="M253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31" t="s">
        <v>219</v>
      </c>
      <c r="O2531" t="s">
        <v>95</v>
      </c>
      <c r="P2531" s="2" t="s">
        <v>394</v>
      </c>
      <c r="Q2531">
        <v>5</v>
      </c>
      <c r="R2531" t="s">
        <v>392</v>
      </c>
      <c r="S2531" s="1">
        <f>electric_vehicles_dataset[[#This Row],[Units_Sold_2024]]*electric_vehicles_dataset[[#This Row],[Price_USD]]</f>
        <v>1452456586.3999999</v>
      </c>
      <c r="T2531">
        <v>3</v>
      </c>
      <c r="U2531">
        <v>11111</v>
      </c>
      <c r="V2531">
        <v>4</v>
      </c>
    </row>
    <row r="2532" spans="1:22" x14ac:dyDescent="0.35">
      <c r="A2532">
        <v>2531</v>
      </c>
      <c r="B2532" t="s">
        <v>215</v>
      </c>
      <c r="C2532" t="s">
        <v>216</v>
      </c>
      <c r="D2532">
        <v>2020</v>
      </c>
      <c r="E2532" t="s">
        <v>73</v>
      </c>
      <c r="F2532">
        <v>87.4</v>
      </c>
      <c r="G2532" t="s">
        <v>350</v>
      </c>
      <c r="H2532">
        <f>electric_vehicles_dataset[[#This Row],[Battery_Capacity_kWh]]/electric_vehicles_dataset[[#This Row],[Range_km]]</f>
        <v>0.16775431861804224</v>
      </c>
      <c r="I2532">
        <v>521</v>
      </c>
      <c r="J2532" t="s">
        <v>358</v>
      </c>
      <c r="K2532">
        <v>10</v>
      </c>
      <c r="L2532" s="1">
        <v>100957.07</v>
      </c>
      <c r="M2532" s="1" t="str" cm="1">
        <f t="array" ref="M25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32" t="s">
        <v>210</v>
      </c>
      <c r="O2532" t="s">
        <v>86</v>
      </c>
      <c r="P2532" s="2" t="s">
        <v>389</v>
      </c>
      <c r="Q2532">
        <v>1</v>
      </c>
      <c r="R2532" t="s">
        <v>391</v>
      </c>
      <c r="S2532" s="1">
        <f>electric_vehicles_dataset[[#This Row],[Units_Sold_2024]]*electric_vehicles_dataset[[#This Row],[Price_USD]]</f>
        <v>1372309452.51</v>
      </c>
      <c r="T2532">
        <v>4</v>
      </c>
      <c r="U2532">
        <v>13593</v>
      </c>
      <c r="V2532">
        <v>5</v>
      </c>
    </row>
    <row r="2533" spans="1:22" x14ac:dyDescent="0.35">
      <c r="A2533">
        <v>2532</v>
      </c>
      <c r="B2533" t="s">
        <v>234</v>
      </c>
      <c r="C2533" t="s">
        <v>235</v>
      </c>
      <c r="D2533">
        <v>2015</v>
      </c>
      <c r="E2533" t="s">
        <v>53</v>
      </c>
      <c r="F2533">
        <v>37.799999999999997</v>
      </c>
      <c r="G2533" t="s">
        <v>357</v>
      </c>
      <c r="H2533">
        <f>electric_vehicles_dataset[[#This Row],[Battery_Capacity_kWh]]/electric_vehicles_dataset[[#This Row],[Range_km]]</f>
        <v>8.8941176470588232E-2</v>
      </c>
      <c r="I2533">
        <v>425</v>
      </c>
      <c r="J2533" t="s">
        <v>364</v>
      </c>
      <c r="K2533">
        <v>2</v>
      </c>
      <c r="L2533" s="1">
        <v>144721.18</v>
      </c>
      <c r="M2533" s="1" t="str" cm="1">
        <f t="array" ref="M25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33" t="s">
        <v>179</v>
      </c>
      <c r="O2533" t="s">
        <v>199</v>
      </c>
      <c r="P2533" s="2" t="s">
        <v>394</v>
      </c>
      <c r="Q2533">
        <v>3</v>
      </c>
      <c r="R2533" t="s">
        <v>397</v>
      </c>
      <c r="S2533" s="1">
        <f>electric_vehicles_dataset[[#This Row],[Units_Sold_2024]]*electric_vehicles_dataset[[#This Row],[Price_USD]]</f>
        <v>706673521.93999994</v>
      </c>
      <c r="T2533">
        <v>3</v>
      </c>
      <c r="U2533">
        <v>4883</v>
      </c>
      <c r="V2533">
        <v>5</v>
      </c>
    </row>
    <row r="2534" spans="1:22" x14ac:dyDescent="0.35">
      <c r="A2534">
        <v>2533</v>
      </c>
      <c r="B2534" t="s">
        <v>94</v>
      </c>
      <c r="C2534" t="s">
        <v>360</v>
      </c>
      <c r="D2534">
        <v>2020</v>
      </c>
      <c r="E2534" t="s">
        <v>90</v>
      </c>
      <c r="F2534">
        <v>88.1</v>
      </c>
      <c r="G2534" t="s">
        <v>350</v>
      </c>
      <c r="H2534">
        <f>electric_vehicles_dataset[[#This Row],[Battery_Capacity_kWh]]/electric_vehicles_dataset[[#This Row],[Range_km]]</f>
        <v>0.44720812182741115</v>
      </c>
      <c r="I2534">
        <v>197</v>
      </c>
      <c r="J2534" t="s">
        <v>34</v>
      </c>
      <c r="K2534">
        <v>9</v>
      </c>
      <c r="L2534" s="1">
        <v>36188.94</v>
      </c>
      <c r="M2534" s="1" t="str" cm="1">
        <f t="array" ref="M253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34" t="s">
        <v>257</v>
      </c>
      <c r="O2534" t="s">
        <v>134</v>
      </c>
      <c r="P2534" s="2" t="s">
        <v>389</v>
      </c>
      <c r="Q2534">
        <v>4</v>
      </c>
      <c r="R2534" t="s">
        <v>392</v>
      </c>
      <c r="S2534" s="1">
        <f>electric_vehicles_dataset[[#This Row],[Units_Sold_2024]]*electric_vehicles_dataset[[#This Row],[Price_USD]]</f>
        <v>380671459.86000001</v>
      </c>
      <c r="T2534">
        <v>5</v>
      </c>
      <c r="U2534">
        <v>10519</v>
      </c>
      <c r="V2534">
        <v>5</v>
      </c>
    </row>
    <row r="2535" spans="1:22" x14ac:dyDescent="0.35">
      <c r="A2535">
        <v>2534</v>
      </c>
      <c r="B2535" t="s">
        <v>29</v>
      </c>
      <c r="C2535" t="s">
        <v>197</v>
      </c>
      <c r="D2535">
        <v>2021</v>
      </c>
      <c r="E2535" t="s">
        <v>84</v>
      </c>
      <c r="F2535">
        <v>132.1</v>
      </c>
      <c r="G2535" t="s">
        <v>352</v>
      </c>
      <c r="H2535">
        <f>electric_vehicles_dataset[[#This Row],[Battery_Capacity_kWh]]/electric_vehicles_dataset[[#This Row],[Range_km]]</f>
        <v>0.75056818181818175</v>
      </c>
      <c r="I2535">
        <v>176</v>
      </c>
      <c r="J2535" t="s">
        <v>76</v>
      </c>
      <c r="K2535">
        <v>3</v>
      </c>
      <c r="L2535" s="1">
        <v>39484.19</v>
      </c>
      <c r="M2535" s="1" t="str" cm="1">
        <f t="array" ref="M25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35" t="s">
        <v>142</v>
      </c>
      <c r="O2535" t="s">
        <v>161</v>
      </c>
      <c r="P2535" s="2" t="s">
        <v>389</v>
      </c>
      <c r="Q2535">
        <v>2</v>
      </c>
      <c r="R2535" t="s">
        <v>391</v>
      </c>
      <c r="S2535" s="1">
        <f>electric_vehicles_dataset[[#This Row],[Units_Sold_2024]]*electric_vehicles_dataset[[#This Row],[Price_USD]]</f>
        <v>155212350.89000002</v>
      </c>
      <c r="T2535">
        <v>4</v>
      </c>
      <c r="U2535">
        <v>3931</v>
      </c>
      <c r="V2535">
        <v>4</v>
      </c>
    </row>
    <row r="2536" spans="1:22" x14ac:dyDescent="0.35">
      <c r="A2536">
        <v>2535</v>
      </c>
      <c r="B2536" t="s">
        <v>36</v>
      </c>
      <c r="C2536" t="s">
        <v>37</v>
      </c>
      <c r="D2536">
        <v>2022</v>
      </c>
      <c r="E2536" t="s">
        <v>26</v>
      </c>
      <c r="F2536">
        <v>131.9</v>
      </c>
      <c r="G2536" t="s">
        <v>352</v>
      </c>
      <c r="H2536">
        <f>electric_vehicles_dataset[[#This Row],[Battery_Capacity_kWh]]/electric_vehicles_dataset[[#This Row],[Range_km]]</f>
        <v>0.36436464088397791</v>
      </c>
      <c r="I2536">
        <v>362</v>
      </c>
      <c r="J2536" t="s">
        <v>48</v>
      </c>
      <c r="K2536">
        <v>3</v>
      </c>
      <c r="L2536" s="1">
        <v>64249.14</v>
      </c>
      <c r="M2536" s="1" t="str" cm="1">
        <f t="array" ref="M25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36" t="s">
        <v>59</v>
      </c>
      <c r="O2536" t="s">
        <v>118</v>
      </c>
      <c r="P2536" s="2" t="s">
        <v>389</v>
      </c>
      <c r="Q2536">
        <v>0</v>
      </c>
      <c r="R2536" t="s">
        <v>390</v>
      </c>
      <c r="S2536" s="1">
        <f>electric_vehicles_dataset[[#This Row],[Units_Sold_2024]]*electric_vehicles_dataset[[#This Row],[Price_USD]]</f>
        <v>833889588.05999994</v>
      </c>
      <c r="T2536">
        <v>5</v>
      </c>
      <c r="U2536">
        <v>12979</v>
      </c>
      <c r="V2536">
        <v>4</v>
      </c>
    </row>
    <row r="2537" spans="1:22" x14ac:dyDescent="0.35">
      <c r="A2537">
        <v>2536</v>
      </c>
      <c r="B2537" t="s">
        <v>224</v>
      </c>
      <c r="C2537" t="s">
        <v>280</v>
      </c>
      <c r="D2537">
        <v>2021</v>
      </c>
      <c r="E2537" t="s">
        <v>133</v>
      </c>
      <c r="F2537">
        <v>65.7</v>
      </c>
      <c r="G2537" t="s">
        <v>351</v>
      </c>
      <c r="H2537">
        <f>electric_vehicles_dataset[[#This Row],[Battery_Capacity_kWh]]/electric_vehicles_dataset[[#This Row],[Range_km]]</f>
        <v>0.17756756756756759</v>
      </c>
      <c r="I2537">
        <v>370</v>
      </c>
      <c r="J2537" t="s">
        <v>34</v>
      </c>
      <c r="K2537">
        <v>2</v>
      </c>
      <c r="L2537" s="1">
        <v>116893.2</v>
      </c>
      <c r="M2537" s="1" t="str" cm="1">
        <f t="array" ref="M253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37" t="s">
        <v>59</v>
      </c>
      <c r="O2537" t="s">
        <v>89</v>
      </c>
      <c r="P2537" s="2" t="s">
        <v>389</v>
      </c>
      <c r="Q2537">
        <v>1</v>
      </c>
      <c r="R2537" t="s">
        <v>391</v>
      </c>
      <c r="S2537" s="1">
        <f>electric_vehicles_dataset[[#This Row],[Units_Sold_2024]]*electric_vehicles_dataset[[#This Row],[Price_USD]]</f>
        <v>1806935085.5999999</v>
      </c>
      <c r="T2537">
        <v>3</v>
      </c>
      <c r="U2537">
        <v>15458</v>
      </c>
      <c r="V2537">
        <v>3</v>
      </c>
    </row>
    <row r="2538" spans="1:22" x14ac:dyDescent="0.35">
      <c r="A2538">
        <v>2537</v>
      </c>
      <c r="B2538" t="s">
        <v>122</v>
      </c>
      <c r="C2538" t="s">
        <v>250</v>
      </c>
      <c r="D2538">
        <v>2023</v>
      </c>
      <c r="E2538" t="s">
        <v>53</v>
      </c>
      <c r="F2538">
        <v>83.6</v>
      </c>
      <c r="G2538" t="s">
        <v>350</v>
      </c>
      <c r="H2538">
        <f>electric_vehicles_dataset[[#This Row],[Battery_Capacity_kWh]]/electric_vehicles_dataset[[#This Row],[Range_km]]</f>
        <v>0.3634782608695652</v>
      </c>
      <c r="I2538">
        <v>230</v>
      </c>
      <c r="J2538" t="s">
        <v>48</v>
      </c>
      <c r="K2538">
        <v>11</v>
      </c>
      <c r="L2538" s="1">
        <v>79586.509999999995</v>
      </c>
      <c r="M2538" s="1" t="str" cm="1">
        <f t="array" ref="M253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38" t="s">
        <v>205</v>
      </c>
      <c r="O2538" t="s">
        <v>182</v>
      </c>
      <c r="P2538" s="2" t="s">
        <v>394</v>
      </c>
      <c r="Q2538">
        <v>2</v>
      </c>
      <c r="R2538" t="s">
        <v>391</v>
      </c>
      <c r="S2538" s="1">
        <f>electric_vehicles_dataset[[#This Row],[Units_Sold_2024]]*electric_vehicles_dataset[[#This Row],[Price_USD]]</f>
        <v>309193591.34999996</v>
      </c>
      <c r="T2538">
        <v>4</v>
      </c>
      <c r="U2538">
        <v>3885</v>
      </c>
      <c r="V2538">
        <v>5</v>
      </c>
    </row>
    <row r="2539" spans="1:22" x14ac:dyDescent="0.35">
      <c r="A2539">
        <v>2538</v>
      </c>
      <c r="B2539" t="s">
        <v>269</v>
      </c>
      <c r="C2539" t="s">
        <v>307</v>
      </c>
      <c r="D2539">
        <v>2020</v>
      </c>
      <c r="E2539" t="s">
        <v>26</v>
      </c>
      <c r="F2539">
        <v>85.5</v>
      </c>
      <c r="G2539" t="s">
        <v>350</v>
      </c>
      <c r="H2539">
        <f>electric_vehicles_dataset[[#This Row],[Battery_Capacity_kWh]]/electric_vehicles_dataset[[#This Row],[Range_km]]</f>
        <v>0.21645569620253163</v>
      </c>
      <c r="I2539">
        <v>395</v>
      </c>
      <c r="J2539" t="s">
        <v>353</v>
      </c>
      <c r="K2539">
        <v>4</v>
      </c>
      <c r="L2539" s="1">
        <v>145723.63</v>
      </c>
      <c r="M2539" s="1" t="str" cm="1">
        <f t="array" ref="M253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39" t="s">
        <v>212</v>
      </c>
      <c r="O2539" t="s">
        <v>159</v>
      </c>
      <c r="P2539" s="2" t="s">
        <v>389</v>
      </c>
      <c r="Q2539">
        <v>5</v>
      </c>
      <c r="R2539" t="s">
        <v>392</v>
      </c>
      <c r="S2539" s="1">
        <f>electric_vehicles_dataset[[#This Row],[Units_Sold_2024]]*electric_vehicles_dataset[[#This Row],[Price_USD]]</f>
        <v>2262505079.3800001</v>
      </c>
      <c r="T2539">
        <v>3</v>
      </c>
      <c r="U2539">
        <v>15526</v>
      </c>
      <c r="V2539">
        <v>5</v>
      </c>
    </row>
    <row r="2540" spans="1:22" x14ac:dyDescent="0.35">
      <c r="A2540">
        <v>2539</v>
      </c>
      <c r="B2540" t="s">
        <v>207</v>
      </c>
      <c r="C2540" t="s">
        <v>287</v>
      </c>
      <c r="D2540">
        <v>2024</v>
      </c>
      <c r="E2540" t="s">
        <v>47</v>
      </c>
      <c r="F2540">
        <v>140.6</v>
      </c>
      <c r="G2540" t="s">
        <v>386</v>
      </c>
      <c r="H2540">
        <f>electric_vehicles_dataset[[#This Row],[Battery_Capacity_kWh]]/electric_vehicles_dataset[[#This Row],[Range_km]]</f>
        <v>0.86257668711656443</v>
      </c>
      <c r="I2540">
        <v>163</v>
      </c>
      <c r="J2540" t="s">
        <v>85</v>
      </c>
      <c r="K2540">
        <v>1</v>
      </c>
      <c r="L2540" s="1">
        <v>103429.51</v>
      </c>
      <c r="M2540" s="1" t="str" cm="1">
        <f t="array" ref="M254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40" t="s">
        <v>165</v>
      </c>
      <c r="O2540" t="s">
        <v>110</v>
      </c>
      <c r="P2540" s="2" t="s">
        <v>394</v>
      </c>
      <c r="Q2540">
        <v>1</v>
      </c>
      <c r="R2540" t="s">
        <v>391</v>
      </c>
      <c r="S2540" s="1">
        <f>electric_vehicles_dataset[[#This Row],[Units_Sold_2024]]*electric_vehicles_dataset[[#This Row],[Price_USD]]</f>
        <v>481464369.04999995</v>
      </c>
      <c r="T2540">
        <v>4</v>
      </c>
      <c r="U2540">
        <v>4655</v>
      </c>
      <c r="V2540">
        <v>4</v>
      </c>
    </row>
    <row r="2541" spans="1:22" x14ac:dyDescent="0.35">
      <c r="A2541">
        <v>2540</v>
      </c>
      <c r="B2541" t="s">
        <v>222</v>
      </c>
      <c r="C2541" t="s">
        <v>231</v>
      </c>
      <c r="D2541">
        <v>2017</v>
      </c>
      <c r="E2541" t="s">
        <v>31</v>
      </c>
      <c r="F2541">
        <v>73.900000000000006</v>
      </c>
      <c r="G2541" t="s">
        <v>351</v>
      </c>
      <c r="H2541">
        <f>electric_vehicles_dataset[[#This Row],[Battery_Capacity_kWh]]/electric_vehicles_dataset[[#This Row],[Range_km]]</f>
        <v>0.33590909090909093</v>
      </c>
      <c r="I2541">
        <v>220</v>
      </c>
      <c r="J2541" t="s">
        <v>364</v>
      </c>
      <c r="K2541">
        <v>10</v>
      </c>
      <c r="L2541" s="1">
        <v>86401.31</v>
      </c>
      <c r="M2541" s="1" t="str" cm="1">
        <f t="array" ref="M25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41" t="s">
        <v>102</v>
      </c>
      <c r="O2541" t="s">
        <v>161</v>
      </c>
      <c r="P2541" s="2" t="s">
        <v>389</v>
      </c>
      <c r="Q2541">
        <v>1</v>
      </c>
      <c r="R2541" t="s">
        <v>391</v>
      </c>
      <c r="S2541" s="1">
        <f>electric_vehicles_dataset[[#This Row],[Units_Sold_2024]]*electric_vehicles_dataset[[#This Row],[Price_USD]]</f>
        <v>974952382.03999996</v>
      </c>
      <c r="T2541">
        <v>5</v>
      </c>
      <c r="U2541">
        <v>11284</v>
      </c>
      <c r="V2541">
        <v>4</v>
      </c>
    </row>
    <row r="2542" spans="1:22" x14ac:dyDescent="0.35">
      <c r="A2542">
        <v>2541</v>
      </c>
      <c r="B2542" t="s">
        <v>16</v>
      </c>
      <c r="C2542" t="s">
        <v>347</v>
      </c>
      <c r="D2542">
        <v>2023</v>
      </c>
      <c r="E2542" t="s">
        <v>26</v>
      </c>
      <c r="F2542">
        <v>117.3</v>
      </c>
      <c r="G2542" t="s">
        <v>361</v>
      </c>
      <c r="H2542">
        <f>electric_vehicles_dataset[[#This Row],[Battery_Capacity_kWh]]/electric_vehicles_dataset[[#This Row],[Range_km]]</f>
        <v>0.20017064846416383</v>
      </c>
      <c r="I2542">
        <v>586</v>
      </c>
      <c r="J2542" t="s">
        <v>27</v>
      </c>
      <c r="K2542">
        <v>2</v>
      </c>
      <c r="L2542" s="1">
        <v>145428.01999999999</v>
      </c>
      <c r="M2542" s="1" t="str" cm="1">
        <f t="array" ref="M25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42" t="s">
        <v>257</v>
      </c>
      <c r="O2542" t="s">
        <v>150</v>
      </c>
      <c r="P2542" s="2" t="s">
        <v>389</v>
      </c>
      <c r="Q2542">
        <v>0</v>
      </c>
      <c r="R2542" t="s">
        <v>390</v>
      </c>
      <c r="S2542" s="1">
        <f>electric_vehicles_dataset[[#This Row],[Units_Sold_2024]]*electric_vehicles_dataset[[#This Row],[Price_USD]]</f>
        <v>127394945.52</v>
      </c>
      <c r="T2542">
        <v>3</v>
      </c>
      <c r="U2542">
        <v>876</v>
      </c>
      <c r="V2542">
        <v>4</v>
      </c>
    </row>
    <row r="2543" spans="1:22" x14ac:dyDescent="0.35">
      <c r="A2543">
        <v>2542</v>
      </c>
      <c r="B2543" t="s">
        <v>60</v>
      </c>
      <c r="C2543" t="s">
        <v>248</v>
      </c>
      <c r="D2543">
        <v>2019</v>
      </c>
      <c r="E2543" t="s">
        <v>104</v>
      </c>
      <c r="F2543">
        <v>132.80000000000001</v>
      </c>
      <c r="G2543" t="s">
        <v>352</v>
      </c>
      <c r="H2543">
        <f>electric_vehicles_dataset[[#This Row],[Battery_Capacity_kWh]]/electric_vehicles_dataset[[#This Row],[Range_km]]</f>
        <v>1.2183486238532111</v>
      </c>
      <c r="I2543">
        <v>109</v>
      </c>
      <c r="J2543" t="s">
        <v>18</v>
      </c>
      <c r="K2543">
        <v>9</v>
      </c>
      <c r="L2543" s="1">
        <v>109264.82</v>
      </c>
      <c r="M2543" s="1" t="str" cm="1">
        <f t="array" ref="M254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43" t="s">
        <v>59</v>
      </c>
      <c r="O2543" t="s">
        <v>265</v>
      </c>
      <c r="P2543" s="2" t="s">
        <v>389</v>
      </c>
      <c r="Q2543">
        <v>1</v>
      </c>
      <c r="R2543" t="s">
        <v>391</v>
      </c>
      <c r="S2543" s="1">
        <f>electric_vehicles_dataset[[#This Row],[Units_Sold_2024]]*electric_vehicles_dataset[[#This Row],[Price_USD]]</f>
        <v>341780356.96000004</v>
      </c>
      <c r="T2543">
        <v>4</v>
      </c>
      <c r="U2543">
        <v>3128</v>
      </c>
      <c r="V2543">
        <v>5</v>
      </c>
    </row>
    <row r="2544" spans="1:22" x14ac:dyDescent="0.35">
      <c r="A2544">
        <v>2543</v>
      </c>
      <c r="B2544" t="s">
        <v>176</v>
      </c>
      <c r="C2544" t="s">
        <v>326</v>
      </c>
      <c r="D2544">
        <v>2024</v>
      </c>
      <c r="E2544" t="s">
        <v>58</v>
      </c>
      <c r="F2544">
        <v>24</v>
      </c>
      <c r="G2544" t="s">
        <v>357</v>
      </c>
      <c r="H2544">
        <f>electric_vehicles_dataset[[#This Row],[Battery_Capacity_kWh]]/electric_vehicles_dataset[[#This Row],[Range_km]]</f>
        <v>0.11374407582938388</v>
      </c>
      <c r="I2544">
        <v>211</v>
      </c>
      <c r="J2544" t="s">
        <v>85</v>
      </c>
      <c r="K2544">
        <v>11</v>
      </c>
      <c r="L2544" s="1">
        <v>118314.72</v>
      </c>
      <c r="M2544" s="1" t="str" cm="1">
        <f t="array" ref="M25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44" t="s">
        <v>43</v>
      </c>
      <c r="O2544" t="s">
        <v>121</v>
      </c>
      <c r="P2544" s="2" t="s">
        <v>398</v>
      </c>
      <c r="Q2544">
        <v>5</v>
      </c>
      <c r="R2544" t="s">
        <v>392</v>
      </c>
      <c r="S2544" s="1">
        <f>electric_vehicles_dataset[[#This Row],[Units_Sold_2024]]*electric_vehicles_dataset[[#This Row],[Price_USD]]</f>
        <v>193562881.92000002</v>
      </c>
      <c r="T2544">
        <v>5</v>
      </c>
      <c r="U2544">
        <v>1636</v>
      </c>
      <c r="V2544">
        <v>4</v>
      </c>
    </row>
    <row r="2545" spans="1:22" x14ac:dyDescent="0.35">
      <c r="A2545">
        <v>2544</v>
      </c>
      <c r="B2545" t="s">
        <v>222</v>
      </c>
      <c r="C2545" t="s">
        <v>295</v>
      </c>
      <c r="D2545">
        <v>2019</v>
      </c>
      <c r="E2545" t="s">
        <v>130</v>
      </c>
      <c r="F2545">
        <v>82.7</v>
      </c>
      <c r="G2545" t="s">
        <v>350</v>
      </c>
      <c r="H2545">
        <f>electric_vehicles_dataset[[#This Row],[Battery_Capacity_kWh]]/electric_vehicles_dataset[[#This Row],[Range_km]]</f>
        <v>0.19504716981132075</v>
      </c>
      <c r="I2545">
        <v>424</v>
      </c>
      <c r="J2545" t="s">
        <v>18</v>
      </c>
      <c r="K2545">
        <v>9</v>
      </c>
      <c r="L2545" s="1">
        <v>115491.65</v>
      </c>
      <c r="M2545" s="1" t="str" cm="1">
        <f t="array" ref="M25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45" t="s">
        <v>175</v>
      </c>
      <c r="O2545" t="s">
        <v>20</v>
      </c>
      <c r="P2545" s="2" t="s">
        <v>389</v>
      </c>
      <c r="Q2545">
        <v>0</v>
      </c>
      <c r="R2545" t="s">
        <v>390</v>
      </c>
      <c r="S2545" s="1">
        <f>electric_vehicles_dataset[[#This Row],[Units_Sold_2024]]*electric_vehicles_dataset[[#This Row],[Price_USD]]</f>
        <v>947262513.29999995</v>
      </c>
      <c r="T2545">
        <v>5</v>
      </c>
      <c r="U2545">
        <v>8202</v>
      </c>
      <c r="V2545">
        <v>3</v>
      </c>
    </row>
    <row r="2546" spans="1:22" x14ac:dyDescent="0.35">
      <c r="A2546">
        <v>2545</v>
      </c>
      <c r="B2546" t="s">
        <v>269</v>
      </c>
      <c r="C2546" t="s">
        <v>340</v>
      </c>
      <c r="D2546">
        <v>2023</v>
      </c>
      <c r="E2546" t="s">
        <v>101</v>
      </c>
      <c r="F2546">
        <v>71.3</v>
      </c>
      <c r="G2546" t="s">
        <v>351</v>
      </c>
      <c r="H2546">
        <f>electric_vehicles_dataset[[#This Row],[Battery_Capacity_kWh]]/electric_vehicles_dataset[[#This Row],[Range_km]]</f>
        <v>0.14118811881188117</v>
      </c>
      <c r="I2546">
        <v>505</v>
      </c>
      <c r="J2546" t="s">
        <v>364</v>
      </c>
      <c r="K2546">
        <v>8</v>
      </c>
      <c r="L2546" s="1">
        <v>83635.850000000006</v>
      </c>
      <c r="M2546" s="1" t="str" cm="1">
        <f t="array" ref="M254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46" t="s">
        <v>66</v>
      </c>
      <c r="O2546" t="s">
        <v>226</v>
      </c>
      <c r="P2546" s="2" t="s">
        <v>395</v>
      </c>
      <c r="Q2546">
        <v>2</v>
      </c>
      <c r="R2546" t="s">
        <v>391</v>
      </c>
      <c r="S2546" s="1">
        <f>electric_vehicles_dataset[[#This Row],[Units_Sold_2024]]*electric_vehicles_dataset[[#This Row],[Price_USD]]</f>
        <v>774217063.45000005</v>
      </c>
      <c r="T2546">
        <v>5</v>
      </c>
      <c r="U2546">
        <v>9257</v>
      </c>
      <c r="V2546">
        <v>3</v>
      </c>
    </row>
    <row r="2547" spans="1:22" x14ac:dyDescent="0.35">
      <c r="A2547">
        <v>2546</v>
      </c>
      <c r="B2547" t="s">
        <v>60</v>
      </c>
      <c r="C2547" t="s">
        <v>166</v>
      </c>
      <c r="D2547">
        <v>2018</v>
      </c>
      <c r="E2547" t="s">
        <v>90</v>
      </c>
      <c r="F2547">
        <v>49.4</v>
      </c>
      <c r="G2547" t="s">
        <v>348</v>
      </c>
      <c r="H2547">
        <f>electric_vehicles_dataset[[#This Row],[Battery_Capacity_kWh]]/electric_vehicles_dataset[[#This Row],[Range_km]]</f>
        <v>0.11903614457831325</v>
      </c>
      <c r="I2547">
        <v>415</v>
      </c>
      <c r="J2547" t="s">
        <v>18</v>
      </c>
      <c r="K2547">
        <v>2</v>
      </c>
      <c r="L2547" s="1">
        <v>45377.85</v>
      </c>
      <c r="M2547" s="1" t="str" cm="1">
        <f t="array" ref="M254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47" t="s">
        <v>62</v>
      </c>
      <c r="O2547" t="s">
        <v>230</v>
      </c>
      <c r="P2547" s="2" t="s">
        <v>389</v>
      </c>
      <c r="Q2547">
        <v>1</v>
      </c>
      <c r="R2547" t="s">
        <v>391</v>
      </c>
      <c r="S2547" s="1">
        <f>electric_vehicles_dataset[[#This Row],[Units_Sold_2024]]*electric_vehicles_dataset[[#This Row],[Price_USD]]</f>
        <v>504147913.5</v>
      </c>
      <c r="T2547">
        <v>4</v>
      </c>
      <c r="U2547">
        <v>11110</v>
      </c>
      <c r="V2547">
        <v>3</v>
      </c>
    </row>
    <row r="2548" spans="1:22" x14ac:dyDescent="0.35">
      <c r="A2548">
        <v>2547</v>
      </c>
      <c r="B2548" t="s">
        <v>220</v>
      </c>
      <c r="C2548" t="s">
        <v>290</v>
      </c>
      <c r="D2548">
        <v>2025</v>
      </c>
      <c r="E2548" t="s">
        <v>183</v>
      </c>
      <c r="F2548">
        <v>87.8</v>
      </c>
      <c r="G2548" t="s">
        <v>350</v>
      </c>
      <c r="H2548">
        <f>electric_vehicles_dataset[[#This Row],[Battery_Capacity_kWh]]/electric_vehicles_dataset[[#This Row],[Range_km]]</f>
        <v>0.15992714025500909</v>
      </c>
      <c r="I2548">
        <v>549</v>
      </c>
      <c r="J2548" t="s">
        <v>149</v>
      </c>
      <c r="K2548">
        <v>3</v>
      </c>
      <c r="L2548" s="1">
        <v>41976.9</v>
      </c>
      <c r="M2548" s="1" t="str" cm="1">
        <f t="array" ref="M25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48" t="s">
        <v>179</v>
      </c>
      <c r="O2548" t="s">
        <v>121</v>
      </c>
      <c r="P2548" s="2" t="s">
        <v>398</v>
      </c>
      <c r="Q2548">
        <v>0</v>
      </c>
      <c r="R2548" t="s">
        <v>390</v>
      </c>
      <c r="S2548" s="1">
        <f>electric_vehicles_dataset[[#This Row],[Units_Sold_2024]]*electric_vehicles_dataset[[#This Row],[Price_USD]]</f>
        <v>316757687.40000004</v>
      </c>
      <c r="T2548">
        <v>5</v>
      </c>
      <c r="U2548">
        <v>7546</v>
      </c>
      <c r="V2548">
        <v>5</v>
      </c>
    </row>
    <row r="2549" spans="1:22" x14ac:dyDescent="0.35">
      <c r="A2549">
        <v>2548</v>
      </c>
      <c r="B2549" t="s">
        <v>241</v>
      </c>
      <c r="C2549" t="s">
        <v>242</v>
      </c>
      <c r="D2549">
        <v>2023</v>
      </c>
      <c r="E2549" t="s">
        <v>130</v>
      </c>
      <c r="F2549">
        <v>90.5</v>
      </c>
      <c r="G2549" t="s">
        <v>350</v>
      </c>
      <c r="H2549">
        <f>electric_vehicles_dataset[[#This Row],[Battery_Capacity_kWh]]/electric_vehicles_dataset[[#This Row],[Range_km]]</f>
        <v>0.2527932960893855</v>
      </c>
      <c r="I2549">
        <v>358</v>
      </c>
      <c r="J2549" t="s">
        <v>54</v>
      </c>
      <c r="K2549">
        <v>3</v>
      </c>
      <c r="L2549" s="1">
        <v>124052.49</v>
      </c>
      <c r="M2549" s="1" t="str" cm="1">
        <f t="array" ref="M254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49" t="s">
        <v>62</v>
      </c>
      <c r="O2549" t="s">
        <v>265</v>
      </c>
      <c r="P2549" s="2" t="s">
        <v>389</v>
      </c>
      <c r="Q2549">
        <v>5</v>
      </c>
      <c r="R2549" t="s">
        <v>392</v>
      </c>
      <c r="S2549" s="1">
        <f>electric_vehicles_dataset[[#This Row],[Units_Sold_2024]]*electric_vehicles_dataset[[#This Row],[Price_USD]]</f>
        <v>1002344119.2</v>
      </c>
      <c r="T2549">
        <v>5</v>
      </c>
      <c r="U2549">
        <v>8080</v>
      </c>
      <c r="V2549">
        <v>4</v>
      </c>
    </row>
    <row r="2550" spans="1:22" x14ac:dyDescent="0.35">
      <c r="A2550">
        <v>2549</v>
      </c>
      <c r="B2550" t="s">
        <v>68</v>
      </c>
      <c r="C2550" t="s">
        <v>289</v>
      </c>
      <c r="D2550">
        <v>2024</v>
      </c>
      <c r="E2550" t="s">
        <v>133</v>
      </c>
      <c r="F2550">
        <v>78.099999999999994</v>
      </c>
      <c r="G2550" t="s">
        <v>351</v>
      </c>
      <c r="H2550">
        <f>electric_vehicles_dataset[[#This Row],[Battery_Capacity_kWh]]/electric_vehicles_dataset[[#This Row],[Range_km]]</f>
        <v>0.22769679300291543</v>
      </c>
      <c r="I2550">
        <v>343</v>
      </c>
      <c r="J2550" t="s">
        <v>27</v>
      </c>
      <c r="K2550">
        <v>11</v>
      </c>
      <c r="L2550" s="1">
        <v>99147.39</v>
      </c>
      <c r="M2550" s="1" t="str" cm="1">
        <f t="array" ref="M255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50" t="s">
        <v>254</v>
      </c>
      <c r="O2550" t="s">
        <v>78</v>
      </c>
      <c r="P2550" s="2" t="s">
        <v>389</v>
      </c>
      <c r="Q2550">
        <v>1</v>
      </c>
      <c r="R2550" t="s">
        <v>391</v>
      </c>
      <c r="S2550" s="1">
        <f>electric_vehicles_dataset[[#This Row],[Units_Sold_2024]]*electric_vehicles_dataset[[#This Row],[Price_USD]]</f>
        <v>177275533.31999999</v>
      </c>
      <c r="T2550">
        <v>5</v>
      </c>
      <c r="U2550">
        <v>1788</v>
      </c>
      <c r="V2550">
        <v>3</v>
      </c>
    </row>
    <row r="2551" spans="1:22" x14ac:dyDescent="0.35">
      <c r="A2551">
        <v>2550</v>
      </c>
      <c r="B2551" t="s">
        <v>56</v>
      </c>
      <c r="C2551" t="s">
        <v>57</v>
      </c>
      <c r="D2551">
        <v>2021</v>
      </c>
      <c r="E2551" t="s">
        <v>58</v>
      </c>
      <c r="F2551">
        <v>130.80000000000001</v>
      </c>
      <c r="G2551" t="s">
        <v>352</v>
      </c>
      <c r="H2551">
        <f>electric_vehicles_dataset[[#This Row],[Battery_Capacity_kWh]]/electric_vehicles_dataset[[#This Row],[Range_km]]</f>
        <v>0.28189655172413797</v>
      </c>
      <c r="I2551">
        <v>464</v>
      </c>
      <c r="J2551" t="s">
        <v>356</v>
      </c>
      <c r="K2551">
        <v>7</v>
      </c>
      <c r="L2551" s="1">
        <v>64777.34</v>
      </c>
      <c r="M2551" s="1" t="str" cm="1">
        <f t="array" ref="M255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51" t="s">
        <v>277</v>
      </c>
      <c r="O2551" t="s">
        <v>236</v>
      </c>
      <c r="P2551" s="2" t="s">
        <v>394</v>
      </c>
      <c r="Q2551">
        <v>4</v>
      </c>
      <c r="R2551" t="s">
        <v>392</v>
      </c>
      <c r="S2551" s="1">
        <f>electric_vehicles_dataset[[#This Row],[Units_Sold_2024]]*electric_vehicles_dataset[[#This Row],[Price_USD]]</f>
        <v>1208809941.74</v>
      </c>
      <c r="T2551">
        <v>4</v>
      </c>
      <c r="U2551">
        <v>18661</v>
      </c>
      <c r="V2551">
        <v>5</v>
      </c>
    </row>
    <row r="2552" spans="1:22" x14ac:dyDescent="0.35">
      <c r="A2552">
        <v>2551</v>
      </c>
      <c r="B2552" t="s">
        <v>170</v>
      </c>
      <c r="C2552" t="s">
        <v>275</v>
      </c>
      <c r="D2552">
        <v>2018</v>
      </c>
      <c r="E2552" t="s">
        <v>17</v>
      </c>
      <c r="F2552">
        <v>73.900000000000006</v>
      </c>
      <c r="G2552" t="s">
        <v>351</v>
      </c>
      <c r="H2552">
        <f>electric_vehicles_dataset[[#This Row],[Battery_Capacity_kWh]]/electric_vehicles_dataset[[#This Row],[Range_km]]</f>
        <v>0.12964912280701754</v>
      </c>
      <c r="I2552">
        <v>570</v>
      </c>
      <c r="J2552" t="s">
        <v>364</v>
      </c>
      <c r="K2552">
        <v>11</v>
      </c>
      <c r="L2552" s="1">
        <v>134367.39000000001</v>
      </c>
      <c r="M2552" s="1" t="str" cm="1">
        <f t="array" ref="M255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52" t="s">
        <v>146</v>
      </c>
      <c r="O2552" t="s">
        <v>118</v>
      </c>
      <c r="P2552" s="2" t="s">
        <v>389</v>
      </c>
      <c r="Q2552">
        <v>5</v>
      </c>
      <c r="R2552" t="s">
        <v>392</v>
      </c>
      <c r="S2552" s="1">
        <f>electric_vehicles_dataset[[#This Row],[Units_Sold_2024]]*electric_vehicles_dataset[[#This Row],[Price_USD]]</f>
        <v>284590132.02000004</v>
      </c>
      <c r="T2552">
        <v>3</v>
      </c>
      <c r="U2552">
        <v>2118</v>
      </c>
      <c r="V2552">
        <v>3</v>
      </c>
    </row>
    <row r="2553" spans="1:22" x14ac:dyDescent="0.35">
      <c r="A2553">
        <v>2552</v>
      </c>
      <c r="B2553" t="s">
        <v>215</v>
      </c>
      <c r="C2553" t="s">
        <v>377</v>
      </c>
      <c r="D2553">
        <v>2022</v>
      </c>
      <c r="E2553" t="s">
        <v>101</v>
      </c>
      <c r="F2553">
        <v>49.9</v>
      </c>
      <c r="G2553" t="s">
        <v>348</v>
      </c>
      <c r="H2553">
        <f>electric_vehicles_dataset[[#This Row],[Battery_Capacity_kWh]]/electric_vehicles_dataset[[#This Row],[Range_km]]</f>
        <v>0.11796690307328604</v>
      </c>
      <c r="I2553">
        <v>423</v>
      </c>
      <c r="J2553" t="s">
        <v>38</v>
      </c>
      <c r="K2553">
        <v>12</v>
      </c>
      <c r="L2553" s="1">
        <v>36199.089999999997</v>
      </c>
      <c r="M2553" s="1" t="str" cm="1">
        <f t="array" ref="M255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53" t="s">
        <v>217</v>
      </c>
      <c r="O2553" t="s">
        <v>134</v>
      </c>
      <c r="P2553" s="2" t="s">
        <v>389</v>
      </c>
      <c r="Q2553">
        <v>3</v>
      </c>
      <c r="R2553" t="s">
        <v>397</v>
      </c>
      <c r="S2553" s="1">
        <f>electric_vehicles_dataset[[#This Row],[Units_Sold_2024]]*electric_vehicles_dataset[[#This Row],[Price_USD]]</f>
        <v>233303135.04999998</v>
      </c>
      <c r="T2553">
        <v>4</v>
      </c>
      <c r="U2553">
        <v>6445</v>
      </c>
      <c r="V2553">
        <v>5</v>
      </c>
    </row>
    <row r="2554" spans="1:22" x14ac:dyDescent="0.35">
      <c r="A2554">
        <v>2553</v>
      </c>
      <c r="B2554" t="s">
        <v>170</v>
      </c>
      <c r="C2554" t="s">
        <v>367</v>
      </c>
      <c r="D2554">
        <v>2021</v>
      </c>
      <c r="E2554" t="s">
        <v>53</v>
      </c>
      <c r="F2554">
        <v>128</v>
      </c>
      <c r="G2554" t="s">
        <v>352</v>
      </c>
      <c r="H2554">
        <f>electric_vehicles_dataset[[#This Row],[Battery_Capacity_kWh]]/electric_vehicles_dataset[[#This Row],[Range_km]]</f>
        <v>0.51405622489959835</v>
      </c>
      <c r="I2554">
        <v>249</v>
      </c>
      <c r="J2554" t="s">
        <v>356</v>
      </c>
      <c r="K2554">
        <v>8</v>
      </c>
      <c r="L2554" s="1">
        <v>98423.08</v>
      </c>
      <c r="M2554" s="1" t="str" cm="1">
        <f t="array" ref="M255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54" t="s">
        <v>66</v>
      </c>
      <c r="O2554" t="s">
        <v>226</v>
      </c>
      <c r="P2554" s="2" t="s">
        <v>395</v>
      </c>
      <c r="Q2554">
        <v>5</v>
      </c>
      <c r="R2554" t="s">
        <v>392</v>
      </c>
      <c r="S2554" s="1">
        <f>electric_vehicles_dataset[[#This Row],[Units_Sold_2024]]*electric_vehicles_dataset[[#This Row],[Price_USD]]</f>
        <v>65549771.280000001</v>
      </c>
      <c r="T2554">
        <v>3</v>
      </c>
      <c r="U2554">
        <v>666</v>
      </c>
      <c r="V2554">
        <v>3</v>
      </c>
    </row>
    <row r="2555" spans="1:22" x14ac:dyDescent="0.35">
      <c r="A2555">
        <v>2554</v>
      </c>
      <c r="B2555" t="s">
        <v>21</v>
      </c>
      <c r="C2555" t="s">
        <v>349</v>
      </c>
      <c r="D2555">
        <v>2015</v>
      </c>
      <c r="E2555" t="s">
        <v>183</v>
      </c>
      <c r="F2555">
        <v>23.9</v>
      </c>
      <c r="G2555" t="s">
        <v>357</v>
      </c>
      <c r="H2555">
        <f>electric_vehicles_dataset[[#This Row],[Battery_Capacity_kWh]]/electric_vehicles_dataset[[#This Row],[Range_km]]</f>
        <v>4.9791666666666665E-2</v>
      </c>
      <c r="I2555">
        <v>480</v>
      </c>
      <c r="J2555" t="s">
        <v>105</v>
      </c>
      <c r="K2555">
        <v>3</v>
      </c>
      <c r="L2555" s="1">
        <v>128039.67</v>
      </c>
      <c r="M2555" s="1" t="str" cm="1">
        <f t="array" ref="M255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55" t="s">
        <v>117</v>
      </c>
      <c r="O2555" t="s">
        <v>169</v>
      </c>
      <c r="P2555" s="2" t="s">
        <v>394</v>
      </c>
      <c r="Q2555">
        <v>3</v>
      </c>
      <c r="R2555" t="s">
        <v>397</v>
      </c>
      <c r="S2555" s="1">
        <f>electric_vehicles_dataset[[#This Row],[Units_Sold_2024]]*electric_vehicles_dataset[[#This Row],[Price_USD]]</f>
        <v>2049274918.3499999</v>
      </c>
      <c r="T2555">
        <v>4</v>
      </c>
      <c r="U2555">
        <v>16005</v>
      </c>
      <c r="V2555">
        <v>4</v>
      </c>
    </row>
    <row r="2556" spans="1:22" x14ac:dyDescent="0.35">
      <c r="A2556">
        <v>2555</v>
      </c>
      <c r="B2556" t="s">
        <v>41</v>
      </c>
      <c r="C2556" t="s">
        <v>148</v>
      </c>
      <c r="D2556">
        <v>2016</v>
      </c>
      <c r="E2556" t="s">
        <v>133</v>
      </c>
      <c r="F2556">
        <v>132.69999999999999</v>
      </c>
      <c r="G2556" t="s">
        <v>352</v>
      </c>
      <c r="H2556">
        <f>electric_vehicles_dataset[[#This Row],[Battery_Capacity_kWh]]/electric_vehicles_dataset[[#This Row],[Range_km]]</f>
        <v>0.26971544715447154</v>
      </c>
      <c r="I2556">
        <v>492</v>
      </c>
      <c r="J2556" t="s">
        <v>27</v>
      </c>
      <c r="K2556">
        <v>7</v>
      </c>
      <c r="L2556" s="1">
        <v>77704.62</v>
      </c>
      <c r="M2556" s="1" t="str" cm="1">
        <f t="array" ref="M25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56" t="s">
        <v>175</v>
      </c>
      <c r="O2556" t="s">
        <v>115</v>
      </c>
      <c r="P2556" s="2" t="s">
        <v>396</v>
      </c>
      <c r="Q2556">
        <v>0</v>
      </c>
      <c r="R2556" t="s">
        <v>390</v>
      </c>
      <c r="S2556" s="1">
        <f>electric_vehicles_dataset[[#This Row],[Units_Sold_2024]]*electric_vehicles_dataset[[#This Row],[Price_USD]]</f>
        <v>1310876939.3999999</v>
      </c>
      <c r="T2556">
        <v>4</v>
      </c>
      <c r="U2556">
        <v>16870</v>
      </c>
      <c r="V2556">
        <v>5</v>
      </c>
    </row>
    <row r="2557" spans="1:22" x14ac:dyDescent="0.35">
      <c r="A2557">
        <v>2556</v>
      </c>
      <c r="B2557" t="s">
        <v>173</v>
      </c>
      <c r="C2557" t="s">
        <v>249</v>
      </c>
      <c r="D2557">
        <v>2019</v>
      </c>
      <c r="E2557" t="s">
        <v>101</v>
      </c>
      <c r="F2557">
        <v>105.7</v>
      </c>
      <c r="G2557" t="s">
        <v>361</v>
      </c>
      <c r="H2557">
        <f>electric_vehicles_dataset[[#This Row],[Battery_Capacity_kWh]]/electric_vehicles_dataset[[#This Row],[Range_km]]</f>
        <v>0.30461095100864555</v>
      </c>
      <c r="I2557">
        <v>347</v>
      </c>
      <c r="J2557" t="s">
        <v>54</v>
      </c>
      <c r="K2557">
        <v>11</v>
      </c>
      <c r="L2557" s="1">
        <v>116483.56</v>
      </c>
      <c r="M2557" s="1" t="str" cm="1">
        <f t="array" ref="M255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57" t="s">
        <v>98</v>
      </c>
      <c r="O2557" t="s">
        <v>164</v>
      </c>
      <c r="P2557" s="2" t="s">
        <v>394</v>
      </c>
      <c r="Q2557">
        <v>5</v>
      </c>
      <c r="R2557" t="s">
        <v>392</v>
      </c>
      <c r="S2557" s="1">
        <f>electric_vehicles_dataset[[#This Row],[Units_Sold_2024]]*electric_vehicles_dataset[[#This Row],[Price_USD]]</f>
        <v>757143140</v>
      </c>
      <c r="T2557">
        <v>5</v>
      </c>
      <c r="U2557">
        <v>6500</v>
      </c>
      <c r="V2557">
        <v>3</v>
      </c>
    </row>
    <row r="2558" spans="1:22" x14ac:dyDescent="0.35">
      <c r="A2558">
        <v>2557</v>
      </c>
      <c r="B2558" t="s">
        <v>243</v>
      </c>
      <c r="C2558" t="s">
        <v>244</v>
      </c>
      <c r="D2558">
        <v>2022</v>
      </c>
      <c r="E2558" t="s">
        <v>58</v>
      </c>
      <c r="F2558">
        <v>96.2</v>
      </c>
      <c r="G2558" t="s">
        <v>350</v>
      </c>
      <c r="H2558">
        <f>electric_vehicles_dataset[[#This Row],[Battery_Capacity_kWh]]/electric_vehicles_dataset[[#This Row],[Range_km]]</f>
        <v>0.53743016759776541</v>
      </c>
      <c r="I2558">
        <v>179</v>
      </c>
      <c r="J2558" t="s">
        <v>38</v>
      </c>
      <c r="K2558">
        <v>1</v>
      </c>
      <c r="L2558" s="1">
        <v>108304.18</v>
      </c>
      <c r="M2558" s="1" t="str" cm="1">
        <f t="array" ref="M255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58" t="s">
        <v>189</v>
      </c>
      <c r="O2558" t="s">
        <v>124</v>
      </c>
      <c r="P2558" s="2" t="s">
        <v>389</v>
      </c>
      <c r="Q2558">
        <v>1</v>
      </c>
      <c r="R2558" t="s">
        <v>391</v>
      </c>
      <c r="S2558" s="1">
        <f>electric_vehicles_dataset[[#This Row],[Units_Sold_2024]]*electric_vehicles_dataset[[#This Row],[Price_USD]]</f>
        <v>1324235208.8599999</v>
      </c>
      <c r="T2558">
        <v>4</v>
      </c>
      <c r="U2558">
        <v>12227</v>
      </c>
      <c r="V2558">
        <v>5</v>
      </c>
    </row>
    <row r="2559" spans="1:22" x14ac:dyDescent="0.35">
      <c r="A2559">
        <v>2558</v>
      </c>
      <c r="B2559" t="s">
        <v>96</v>
      </c>
      <c r="C2559" t="s">
        <v>97</v>
      </c>
      <c r="D2559">
        <v>2022</v>
      </c>
      <c r="E2559" t="s">
        <v>130</v>
      </c>
      <c r="F2559">
        <v>77.8</v>
      </c>
      <c r="G2559" t="s">
        <v>351</v>
      </c>
      <c r="H2559">
        <f>electric_vehicles_dataset[[#This Row],[Battery_Capacity_kWh]]/electric_vehicles_dataset[[#This Row],[Range_km]]</f>
        <v>0.3412280701754386</v>
      </c>
      <c r="I2559">
        <v>228</v>
      </c>
      <c r="J2559" t="s">
        <v>18</v>
      </c>
      <c r="K2559">
        <v>5</v>
      </c>
      <c r="L2559" s="1">
        <v>129957.22</v>
      </c>
      <c r="M2559" s="1" t="str" cm="1">
        <f t="array" ref="M255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59" t="s">
        <v>219</v>
      </c>
      <c r="O2559" t="s">
        <v>107</v>
      </c>
      <c r="P2559" s="2" t="s">
        <v>394</v>
      </c>
      <c r="Q2559">
        <v>2</v>
      </c>
      <c r="R2559" t="s">
        <v>391</v>
      </c>
      <c r="S2559" s="1">
        <f>electric_vehicles_dataset[[#This Row],[Units_Sold_2024]]*electric_vehicles_dataset[[#This Row],[Price_USD]]</f>
        <v>1275530114.3</v>
      </c>
      <c r="T2559">
        <v>3</v>
      </c>
      <c r="U2559">
        <v>9815</v>
      </c>
      <c r="V2559">
        <v>5</v>
      </c>
    </row>
    <row r="2560" spans="1:22" x14ac:dyDescent="0.35">
      <c r="A2560">
        <v>2559</v>
      </c>
      <c r="B2560" t="s">
        <v>224</v>
      </c>
      <c r="C2560" t="s">
        <v>303</v>
      </c>
      <c r="D2560">
        <v>2024</v>
      </c>
      <c r="E2560" t="s">
        <v>58</v>
      </c>
      <c r="F2560">
        <v>53.4</v>
      </c>
      <c r="G2560" t="s">
        <v>348</v>
      </c>
      <c r="H2560">
        <f>electric_vehicles_dataset[[#This Row],[Battery_Capacity_kWh]]/electric_vehicles_dataset[[#This Row],[Range_km]]</f>
        <v>0.15705882352941175</v>
      </c>
      <c r="I2560">
        <v>340</v>
      </c>
      <c r="J2560" t="s">
        <v>356</v>
      </c>
      <c r="K2560">
        <v>1</v>
      </c>
      <c r="L2560" s="1">
        <v>137452.66</v>
      </c>
      <c r="M2560" s="1" t="str" cm="1">
        <f t="array" ref="M256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60" t="s">
        <v>238</v>
      </c>
      <c r="O2560" t="s">
        <v>86</v>
      </c>
      <c r="P2560" s="2" t="s">
        <v>389</v>
      </c>
      <c r="Q2560">
        <v>0</v>
      </c>
      <c r="R2560" t="s">
        <v>390</v>
      </c>
      <c r="S2560" s="1">
        <f>electric_vehicles_dataset[[#This Row],[Units_Sold_2024]]*electric_vehicles_dataset[[#This Row],[Price_USD]]</f>
        <v>2596205842.0799999</v>
      </c>
      <c r="T2560">
        <v>5</v>
      </c>
      <c r="U2560">
        <v>18888</v>
      </c>
      <c r="V2560">
        <v>5</v>
      </c>
    </row>
    <row r="2561" spans="1:22" x14ac:dyDescent="0.35">
      <c r="A2561">
        <v>2560</v>
      </c>
      <c r="B2561" t="s">
        <v>108</v>
      </c>
      <c r="C2561" t="s">
        <v>325</v>
      </c>
      <c r="D2561">
        <v>2019</v>
      </c>
      <c r="E2561" t="s">
        <v>42</v>
      </c>
      <c r="F2561">
        <v>71.099999999999994</v>
      </c>
      <c r="G2561" t="s">
        <v>351</v>
      </c>
      <c r="H2561">
        <f>electric_vehicles_dataset[[#This Row],[Battery_Capacity_kWh]]/electric_vehicles_dataset[[#This Row],[Range_km]]</f>
        <v>0.15389610389610389</v>
      </c>
      <c r="I2561">
        <v>462</v>
      </c>
      <c r="J2561" t="s">
        <v>358</v>
      </c>
      <c r="K2561">
        <v>7</v>
      </c>
      <c r="L2561" s="1">
        <v>89704.33</v>
      </c>
      <c r="M2561" s="1" t="str" cm="1">
        <f t="array" ref="M256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61" t="s">
        <v>117</v>
      </c>
      <c r="O2561" t="s">
        <v>134</v>
      </c>
      <c r="P2561" s="2" t="s">
        <v>389</v>
      </c>
      <c r="Q2561">
        <v>5</v>
      </c>
      <c r="R2561" t="s">
        <v>392</v>
      </c>
      <c r="S2561" s="1">
        <f>electric_vehicles_dataset[[#This Row],[Units_Sold_2024]]*electric_vehicles_dataset[[#This Row],[Price_USD]]</f>
        <v>851922022.00999999</v>
      </c>
      <c r="T2561">
        <v>3</v>
      </c>
      <c r="U2561">
        <v>9497</v>
      </c>
      <c r="V2561">
        <v>3</v>
      </c>
    </row>
    <row r="2562" spans="1:22" x14ac:dyDescent="0.35">
      <c r="A2562">
        <v>2561</v>
      </c>
      <c r="B2562" t="s">
        <v>187</v>
      </c>
      <c r="C2562" t="s">
        <v>293</v>
      </c>
      <c r="D2562">
        <v>2021</v>
      </c>
      <c r="E2562" t="s">
        <v>47</v>
      </c>
      <c r="F2562">
        <v>105.3</v>
      </c>
      <c r="G2562" t="s">
        <v>361</v>
      </c>
      <c r="H2562">
        <f>electric_vehicles_dataset[[#This Row],[Battery_Capacity_kWh]]/electric_vehicles_dataset[[#This Row],[Range_km]]</f>
        <v>0.46799999999999997</v>
      </c>
      <c r="I2562">
        <v>225</v>
      </c>
      <c r="J2562" t="s">
        <v>27</v>
      </c>
      <c r="K2562">
        <v>3</v>
      </c>
      <c r="L2562" s="1">
        <v>71791.78</v>
      </c>
      <c r="M2562" s="1" t="str" cm="1">
        <f t="array" ref="M25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62" t="s">
        <v>55</v>
      </c>
      <c r="O2562" t="s">
        <v>110</v>
      </c>
      <c r="P2562" s="2" t="s">
        <v>394</v>
      </c>
      <c r="Q2562">
        <v>4</v>
      </c>
      <c r="R2562" t="s">
        <v>392</v>
      </c>
      <c r="S2562" s="1">
        <f>electric_vehicles_dataset[[#This Row],[Units_Sold_2024]]*electric_vehicles_dataset[[#This Row],[Price_USD]]</f>
        <v>766664418.62</v>
      </c>
      <c r="T2562">
        <v>4</v>
      </c>
      <c r="U2562">
        <v>10679</v>
      </c>
      <c r="V2562">
        <v>5</v>
      </c>
    </row>
    <row r="2563" spans="1:22" x14ac:dyDescent="0.35">
      <c r="A2563">
        <v>2562</v>
      </c>
      <c r="B2563" t="s">
        <v>96</v>
      </c>
      <c r="C2563" t="s">
        <v>97</v>
      </c>
      <c r="D2563">
        <v>2021</v>
      </c>
      <c r="E2563" t="s">
        <v>130</v>
      </c>
      <c r="F2563">
        <v>46.9</v>
      </c>
      <c r="G2563" t="s">
        <v>348</v>
      </c>
      <c r="H2563">
        <f>electric_vehicles_dataset[[#This Row],[Battery_Capacity_kWh]]/electric_vehicles_dataset[[#This Row],[Range_km]]</f>
        <v>9.9154334038054959E-2</v>
      </c>
      <c r="I2563">
        <v>473</v>
      </c>
      <c r="J2563" t="s">
        <v>76</v>
      </c>
      <c r="K2563">
        <v>6</v>
      </c>
      <c r="L2563" s="1">
        <v>97228.32</v>
      </c>
      <c r="M2563" s="1" t="str" cm="1">
        <f t="array" ref="M256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63" t="s">
        <v>143</v>
      </c>
      <c r="O2563" t="s">
        <v>67</v>
      </c>
      <c r="P2563" s="2" t="s">
        <v>394</v>
      </c>
      <c r="Q2563">
        <v>1</v>
      </c>
      <c r="R2563" t="s">
        <v>391</v>
      </c>
      <c r="S2563" s="1">
        <f>electric_vehicles_dataset[[#This Row],[Units_Sold_2024]]*electric_vehicles_dataset[[#This Row],[Price_USD]]</f>
        <v>947878891.68000007</v>
      </c>
      <c r="T2563">
        <v>5</v>
      </c>
      <c r="U2563">
        <v>9749</v>
      </c>
      <c r="V2563">
        <v>4</v>
      </c>
    </row>
    <row r="2564" spans="1:22" x14ac:dyDescent="0.35">
      <c r="A2564">
        <v>2563</v>
      </c>
      <c r="B2564" t="s">
        <v>24</v>
      </c>
      <c r="C2564" t="s">
        <v>300</v>
      </c>
      <c r="D2564">
        <v>2021</v>
      </c>
      <c r="E2564" t="s">
        <v>17</v>
      </c>
      <c r="F2564">
        <v>108.2</v>
      </c>
      <c r="G2564" t="s">
        <v>361</v>
      </c>
      <c r="H2564">
        <f>electric_vehicles_dataset[[#This Row],[Battery_Capacity_kWh]]/electric_vehicles_dataset[[#This Row],[Range_km]]</f>
        <v>0.18623063683304647</v>
      </c>
      <c r="I2564">
        <v>581</v>
      </c>
      <c r="J2564" t="s">
        <v>364</v>
      </c>
      <c r="K2564">
        <v>3</v>
      </c>
      <c r="L2564" s="1">
        <v>75465.3</v>
      </c>
      <c r="M2564" s="1" t="str" cm="1">
        <f t="array" ref="M256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64" t="s">
        <v>189</v>
      </c>
      <c r="O2564" t="s">
        <v>118</v>
      </c>
      <c r="P2564" s="2" t="s">
        <v>389</v>
      </c>
      <c r="Q2564">
        <v>4</v>
      </c>
      <c r="R2564" t="s">
        <v>392</v>
      </c>
      <c r="S2564" s="1">
        <f>electric_vehicles_dataset[[#This Row],[Units_Sold_2024]]*electric_vehicles_dataset[[#This Row],[Price_USD]]</f>
        <v>265335994.80000001</v>
      </c>
      <c r="T2564">
        <v>3</v>
      </c>
      <c r="U2564">
        <v>3516</v>
      </c>
      <c r="V2564">
        <v>5</v>
      </c>
    </row>
    <row r="2565" spans="1:22" x14ac:dyDescent="0.35">
      <c r="A2565">
        <v>2564</v>
      </c>
      <c r="B2565" t="s">
        <v>36</v>
      </c>
      <c r="C2565" t="s">
        <v>317</v>
      </c>
      <c r="D2565">
        <v>2022</v>
      </c>
      <c r="E2565" t="s">
        <v>104</v>
      </c>
      <c r="F2565">
        <v>71.3</v>
      </c>
      <c r="G2565" t="s">
        <v>351</v>
      </c>
      <c r="H2565">
        <f>electric_vehicles_dataset[[#This Row],[Battery_Capacity_kWh]]/electric_vehicles_dataset[[#This Row],[Range_km]]</f>
        <v>0.28293650793650793</v>
      </c>
      <c r="I2565">
        <v>252</v>
      </c>
      <c r="J2565" t="s">
        <v>105</v>
      </c>
      <c r="K2565">
        <v>3</v>
      </c>
      <c r="L2565" s="1">
        <v>134098.62</v>
      </c>
      <c r="M2565" s="1" t="str" cm="1">
        <f t="array" ref="M256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65" t="s">
        <v>210</v>
      </c>
      <c r="O2565" t="s">
        <v>167</v>
      </c>
      <c r="P2565" s="2" t="s">
        <v>394</v>
      </c>
      <c r="Q2565">
        <v>5</v>
      </c>
      <c r="R2565" t="s">
        <v>392</v>
      </c>
      <c r="S2565" s="1">
        <f>electric_vehicles_dataset[[#This Row],[Units_Sold_2024]]*electric_vehicles_dataset[[#This Row],[Price_USD]]</f>
        <v>956525456.45999992</v>
      </c>
      <c r="T2565">
        <v>4</v>
      </c>
      <c r="U2565">
        <v>7133</v>
      </c>
      <c r="V2565">
        <v>3</v>
      </c>
    </row>
    <row r="2566" spans="1:22" x14ac:dyDescent="0.35">
      <c r="A2566">
        <v>2565</v>
      </c>
      <c r="B2566" t="s">
        <v>71</v>
      </c>
      <c r="C2566" t="s">
        <v>72</v>
      </c>
      <c r="D2566">
        <v>2021</v>
      </c>
      <c r="E2566" t="s">
        <v>31</v>
      </c>
      <c r="F2566">
        <v>70.7</v>
      </c>
      <c r="G2566" t="s">
        <v>351</v>
      </c>
      <c r="H2566">
        <f>electric_vehicles_dataset[[#This Row],[Battery_Capacity_kWh]]/electric_vehicles_dataset[[#This Row],[Range_km]]</f>
        <v>0.15237068965517242</v>
      </c>
      <c r="I2566">
        <v>464</v>
      </c>
      <c r="J2566" t="s">
        <v>48</v>
      </c>
      <c r="K2566">
        <v>10</v>
      </c>
      <c r="L2566" s="1">
        <v>36458.03</v>
      </c>
      <c r="M2566" s="1" t="str" cm="1">
        <f t="array" ref="M256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66" t="s">
        <v>106</v>
      </c>
      <c r="O2566" t="s">
        <v>92</v>
      </c>
      <c r="P2566" s="2" t="s">
        <v>394</v>
      </c>
      <c r="Q2566">
        <v>0</v>
      </c>
      <c r="R2566" t="s">
        <v>390</v>
      </c>
      <c r="S2566" s="1">
        <f>electric_vehicles_dataset[[#This Row],[Units_Sold_2024]]*electric_vehicles_dataset[[#This Row],[Price_USD]]</f>
        <v>66244240.509999998</v>
      </c>
      <c r="T2566">
        <v>5</v>
      </c>
      <c r="U2566">
        <v>1817</v>
      </c>
      <c r="V2566">
        <v>4</v>
      </c>
    </row>
    <row r="2567" spans="1:22" x14ac:dyDescent="0.35">
      <c r="A2567">
        <v>2566</v>
      </c>
      <c r="B2567" t="s">
        <v>140</v>
      </c>
      <c r="C2567" t="s">
        <v>339</v>
      </c>
      <c r="D2567">
        <v>2016</v>
      </c>
      <c r="E2567" t="s">
        <v>31</v>
      </c>
      <c r="F2567">
        <v>116.3</v>
      </c>
      <c r="G2567" t="s">
        <v>361</v>
      </c>
      <c r="H2567">
        <f>electric_vehicles_dataset[[#This Row],[Battery_Capacity_kWh]]/electric_vehicles_dataset[[#This Row],[Range_km]]</f>
        <v>0.40664335664335666</v>
      </c>
      <c r="I2567">
        <v>286</v>
      </c>
      <c r="J2567" t="s">
        <v>359</v>
      </c>
      <c r="K2567">
        <v>11</v>
      </c>
      <c r="L2567" s="1">
        <v>112539.19</v>
      </c>
      <c r="M2567" s="1" t="str" cm="1">
        <f t="array" ref="M256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67" t="s">
        <v>152</v>
      </c>
      <c r="O2567" t="s">
        <v>78</v>
      </c>
      <c r="P2567" s="2" t="s">
        <v>389</v>
      </c>
      <c r="Q2567">
        <v>2</v>
      </c>
      <c r="R2567" t="s">
        <v>391</v>
      </c>
      <c r="S2567" s="1">
        <f>electric_vehicles_dataset[[#This Row],[Units_Sold_2024]]*electric_vehicles_dataset[[#This Row],[Price_USD]]</f>
        <v>601747048.93000007</v>
      </c>
      <c r="T2567">
        <v>5</v>
      </c>
      <c r="U2567">
        <v>5347</v>
      </c>
      <c r="V2567">
        <v>5</v>
      </c>
    </row>
    <row r="2568" spans="1:22" x14ac:dyDescent="0.35">
      <c r="A2568">
        <v>2567</v>
      </c>
      <c r="B2568" t="s">
        <v>56</v>
      </c>
      <c r="C2568" t="s">
        <v>57</v>
      </c>
      <c r="D2568">
        <v>2022</v>
      </c>
      <c r="E2568" t="s">
        <v>130</v>
      </c>
      <c r="F2568">
        <v>80.900000000000006</v>
      </c>
      <c r="G2568" t="s">
        <v>350</v>
      </c>
      <c r="H2568">
        <f>electric_vehicles_dataset[[#This Row],[Battery_Capacity_kWh]]/electric_vehicles_dataset[[#This Row],[Range_km]]</f>
        <v>0.61755725190839694</v>
      </c>
      <c r="I2568">
        <v>131</v>
      </c>
      <c r="J2568" t="s">
        <v>38</v>
      </c>
      <c r="K2568">
        <v>5</v>
      </c>
      <c r="L2568" s="1">
        <v>92019.48</v>
      </c>
      <c r="M2568" s="1" t="str" cm="1">
        <f t="array" ref="M256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68" t="s">
        <v>98</v>
      </c>
      <c r="O2568" t="s">
        <v>95</v>
      </c>
      <c r="P2568" s="2" t="s">
        <v>394</v>
      </c>
      <c r="Q2568">
        <v>1</v>
      </c>
      <c r="R2568" t="s">
        <v>391</v>
      </c>
      <c r="S2568" s="1">
        <f>electric_vehicles_dataset[[#This Row],[Units_Sold_2024]]*electric_vehicles_dataset[[#This Row],[Price_USD]]</f>
        <v>1836248723.3999999</v>
      </c>
      <c r="T2568">
        <v>4</v>
      </c>
      <c r="U2568">
        <v>19955</v>
      </c>
      <c r="V2568">
        <v>5</v>
      </c>
    </row>
    <row r="2569" spans="1:22" x14ac:dyDescent="0.35">
      <c r="A2569">
        <v>2568</v>
      </c>
      <c r="B2569" t="s">
        <v>184</v>
      </c>
      <c r="C2569" t="s">
        <v>251</v>
      </c>
      <c r="D2569">
        <v>2019</v>
      </c>
      <c r="E2569" t="s">
        <v>17</v>
      </c>
      <c r="F2569">
        <v>91.4</v>
      </c>
      <c r="G2569" t="s">
        <v>350</v>
      </c>
      <c r="H2569">
        <f>electric_vehicles_dataset[[#This Row],[Battery_Capacity_kWh]]/electric_vehicles_dataset[[#This Row],[Range_km]]</f>
        <v>0.1528428093645485</v>
      </c>
      <c r="I2569">
        <v>598</v>
      </c>
      <c r="J2569" t="s">
        <v>356</v>
      </c>
      <c r="K2569">
        <v>1</v>
      </c>
      <c r="L2569" s="1">
        <v>108822.94</v>
      </c>
      <c r="M2569" s="1" t="str" cm="1">
        <f t="array" ref="M25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69" t="s">
        <v>59</v>
      </c>
      <c r="O2569" t="s">
        <v>78</v>
      </c>
      <c r="P2569" s="2" t="s">
        <v>389</v>
      </c>
      <c r="Q2569">
        <v>5</v>
      </c>
      <c r="R2569" t="s">
        <v>392</v>
      </c>
      <c r="S2569" s="1">
        <f>electric_vehicles_dataset[[#This Row],[Units_Sold_2024]]*electric_vehicles_dataset[[#This Row],[Price_USD]]</f>
        <v>1394565976.1000001</v>
      </c>
      <c r="T2569">
        <v>3</v>
      </c>
      <c r="U2569">
        <v>12815</v>
      </c>
      <c r="V2569">
        <v>5</v>
      </c>
    </row>
    <row r="2570" spans="1:22" x14ac:dyDescent="0.35">
      <c r="A2570">
        <v>2569</v>
      </c>
      <c r="B2570" t="s">
        <v>261</v>
      </c>
      <c r="C2570" t="s">
        <v>372</v>
      </c>
      <c r="D2570">
        <v>2022</v>
      </c>
      <c r="E2570" t="s">
        <v>26</v>
      </c>
      <c r="F2570">
        <v>54</v>
      </c>
      <c r="G2570" t="s">
        <v>348</v>
      </c>
      <c r="H2570">
        <f>electric_vehicles_dataset[[#This Row],[Battery_Capacity_kWh]]/electric_vehicles_dataset[[#This Row],[Range_km]]</f>
        <v>0.49090909090909091</v>
      </c>
      <c r="I2570">
        <v>110</v>
      </c>
      <c r="J2570" t="s">
        <v>85</v>
      </c>
      <c r="K2570">
        <v>1</v>
      </c>
      <c r="L2570" s="1">
        <v>82147.06</v>
      </c>
      <c r="M2570" s="1" t="str" cm="1">
        <f t="array" ref="M257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70" t="s">
        <v>19</v>
      </c>
      <c r="O2570" t="s">
        <v>107</v>
      </c>
      <c r="P2570" s="2" t="s">
        <v>394</v>
      </c>
      <c r="Q2570">
        <v>2</v>
      </c>
      <c r="R2570" t="s">
        <v>391</v>
      </c>
      <c r="S2570" s="1">
        <f>electric_vehicles_dataset[[#This Row],[Units_Sold_2024]]*electric_vehicles_dataset[[#This Row],[Price_USD]]</f>
        <v>364486505.21999997</v>
      </c>
      <c r="T2570">
        <v>4</v>
      </c>
      <c r="U2570">
        <v>4437</v>
      </c>
      <c r="V2570">
        <v>5</v>
      </c>
    </row>
    <row r="2571" spans="1:22" x14ac:dyDescent="0.35">
      <c r="A2571">
        <v>2570</v>
      </c>
      <c r="B2571" t="s">
        <v>157</v>
      </c>
      <c r="C2571" t="s">
        <v>296</v>
      </c>
      <c r="D2571">
        <v>2023</v>
      </c>
      <c r="E2571" t="s">
        <v>133</v>
      </c>
      <c r="F2571">
        <v>42.5</v>
      </c>
      <c r="G2571" t="s">
        <v>348</v>
      </c>
      <c r="H2571">
        <f>electric_vehicles_dataset[[#This Row],[Battery_Capacity_kWh]]/electric_vehicles_dataset[[#This Row],[Range_km]]</f>
        <v>0.10119047619047619</v>
      </c>
      <c r="I2571">
        <v>420</v>
      </c>
      <c r="J2571" t="s">
        <v>149</v>
      </c>
      <c r="K2571">
        <v>1</v>
      </c>
      <c r="L2571" s="1">
        <v>100852.31</v>
      </c>
      <c r="M2571" s="1" t="str" cm="1">
        <f t="array" ref="M257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71" t="s">
        <v>81</v>
      </c>
      <c r="O2571" t="s">
        <v>169</v>
      </c>
      <c r="P2571" s="2" t="s">
        <v>394</v>
      </c>
      <c r="Q2571">
        <v>3</v>
      </c>
      <c r="R2571" t="s">
        <v>397</v>
      </c>
      <c r="S2571" s="1">
        <f>electric_vehicles_dataset[[#This Row],[Units_Sold_2024]]*electric_vehicles_dataset[[#This Row],[Price_USD]]</f>
        <v>1110283080.79</v>
      </c>
      <c r="T2571">
        <v>4</v>
      </c>
      <c r="U2571">
        <v>11009</v>
      </c>
      <c r="V2571">
        <v>5</v>
      </c>
    </row>
    <row r="2572" spans="1:22" x14ac:dyDescent="0.35">
      <c r="A2572">
        <v>2571</v>
      </c>
      <c r="B2572" t="s">
        <v>157</v>
      </c>
      <c r="C2572" t="s">
        <v>296</v>
      </c>
      <c r="D2572">
        <v>2017</v>
      </c>
      <c r="E2572" t="s">
        <v>31</v>
      </c>
      <c r="F2572">
        <v>110.1</v>
      </c>
      <c r="G2572" t="s">
        <v>361</v>
      </c>
      <c r="H2572">
        <f>electric_vehicles_dataset[[#This Row],[Battery_Capacity_kWh]]/electric_vehicles_dataset[[#This Row],[Range_km]]</f>
        <v>0.38631578947368417</v>
      </c>
      <c r="I2572">
        <v>285</v>
      </c>
      <c r="J2572" t="s">
        <v>18</v>
      </c>
      <c r="K2572">
        <v>8</v>
      </c>
      <c r="L2572" s="1">
        <v>68779.62</v>
      </c>
      <c r="M2572" s="1" t="str" cm="1">
        <f t="array" ref="M25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72" t="s">
        <v>214</v>
      </c>
      <c r="O2572" t="s">
        <v>135</v>
      </c>
      <c r="P2572" s="2" t="s">
        <v>389</v>
      </c>
      <c r="Q2572">
        <v>3</v>
      </c>
      <c r="R2572" t="s">
        <v>397</v>
      </c>
      <c r="S2572" s="1">
        <f>electric_vehicles_dataset[[#This Row],[Units_Sold_2024]]*electric_vehicles_dataset[[#This Row],[Price_USD]]</f>
        <v>333168479.27999997</v>
      </c>
      <c r="T2572">
        <v>3</v>
      </c>
      <c r="U2572">
        <v>4844</v>
      </c>
      <c r="V2572">
        <v>5</v>
      </c>
    </row>
    <row r="2573" spans="1:22" x14ac:dyDescent="0.35">
      <c r="A2573">
        <v>2572</v>
      </c>
      <c r="B2573" t="s">
        <v>193</v>
      </c>
      <c r="C2573" t="s">
        <v>203</v>
      </c>
      <c r="D2573">
        <v>2017</v>
      </c>
      <c r="E2573" t="s">
        <v>90</v>
      </c>
      <c r="F2573">
        <v>140.69999999999999</v>
      </c>
      <c r="G2573" t="s">
        <v>386</v>
      </c>
      <c r="H2573">
        <f>electric_vehicles_dataset[[#This Row],[Battery_Capacity_kWh]]/electric_vehicles_dataset[[#This Row],[Range_km]]</f>
        <v>0.27696850393700784</v>
      </c>
      <c r="I2573">
        <v>508</v>
      </c>
      <c r="J2573" t="s">
        <v>353</v>
      </c>
      <c r="K2573">
        <v>5</v>
      </c>
      <c r="L2573" s="1">
        <v>47246.35</v>
      </c>
      <c r="M2573" s="1" t="str" cm="1">
        <f t="array" ref="M257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73" t="s">
        <v>77</v>
      </c>
      <c r="O2573" t="s">
        <v>236</v>
      </c>
      <c r="P2573" s="2" t="s">
        <v>394</v>
      </c>
      <c r="Q2573">
        <v>3</v>
      </c>
      <c r="R2573" t="s">
        <v>397</v>
      </c>
      <c r="S2573" s="1">
        <f>electric_vehicles_dataset[[#This Row],[Units_Sold_2024]]*electric_vehicles_dataset[[#This Row],[Price_USD]]</f>
        <v>543002300.54999995</v>
      </c>
      <c r="T2573">
        <v>3</v>
      </c>
      <c r="U2573">
        <v>11493</v>
      </c>
      <c r="V2573">
        <v>5</v>
      </c>
    </row>
    <row r="2574" spans="1:22" x14ac:dyDescent="0.35">
      <c r="A2574">
        <v>2573</v>
      </c>
      <c r="B2574" t="s">
        <v>224</v>
      </c>
      <c r="C2574" t="s">
        <v>303</v>
      </c>
      <c r="D2574">
        <v>2019</v>
      </c>
      <c r="E2574" t="s">
        <v>130</v>
      </c>
      <c r="F2574">
        <v>142.6</v>
      </c>
      <c r="G2574" t="s">
        <v>386</v>
      </c>
      <c r="H2574">
        <f>electric_vehicles_dataset[[#This Row],[Battery_Capacity_kWh]]/electric_vehicles_dataset[[#This Row],[Range_km]]</f>
        <v>0.45999999999999996</v>
      </c>
      <c r="I2574">
        <v>310</v>
      </c>
      <c r="J2574" t="s">
        <v>54</v>
      </c>
      <c r="K2574">
        <v>10</v>
      </c>
      <c r="L2574" s="1">
        <v>89860.42</v>
      </c>
      <c r="M2574" s="1" t="str" cm="1">
        <f t="array" ref="M257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74" t="s">
        <v>70</v>
      </c>
      <c r="O2574" t="s">
        <v>134</v>
      </c>
      <c r="P2574" s="2" t="s">
        <v>389</v>
      </c>
      <c r="Q2574">
        <v>2</v>
      </c>
      <c r="R2574" t="s">
        <v>391</v>
      </c>
      <c r="S2574" s="1">
        <f>electric_vehicles_dataset[[#This Row],[Units_Sold_2024]]*electric_vehicles_dataset[[#This Row],[Price_USD]]</f>
        <v>722477776.79999995</v>
      </c>
      <c r="T2574">
        <v>5</v>
      </c>
      <c r="U2574">
        <v>8040</v>
      </c>
      <c r="V2574">
        <v>3</v>
      </c>
    </row>
    <row r="2575" spans="1:22" x14ac:dyDescent="0.35">
      <c r="A2575">
        <v>2574</v>
      </c>
      <c r="B2575" t="s">
        <v>51</v>
      </c>
      <c r="C2575" t="s">
        <v>52</v>
      </c>
      <c r="D2575">
        <v>2016</v>
      </c>
      <c r="E2575" t="s">
        <v>47</v>
      </c>
      <c r="F2575">
        <v>143.4</v>
      </c>
      <c r="G2575" t="s">
        <v>386</v>
      </c>
      <c r="H2575">
        <f>electric_vehicles_dataset[[#This Row],[Battery_Capacity_kWh]]/electric_vehicles_dataset[[#This Row],[Range_km]]</f>
        <v>0.30445859872611464</v>
      </c>
      <c r="I2575">
        <v>471</v>
      </c>
      <c r="J2575" t="s">
        <v>27</v>
      </c>
      <c r="K2575">
        <v>7</v>
      </c>
      <c r="L2575" s="1">
        <v>35894.120000000003</v>
      </c>
      <c r="M2575" s="1" t="str" cm="1">
        <f t="array" ref="M257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75" t="s">
        <v>19</v>
      </c>
      <c r="O2575" t="s">
        <v>226</v>
      </c>
      <c r="P2575" s="2" t="s">
        <v>395</v>
      </c>
      <c r="Q2575">
        <v>5</v>
      </c>
      <c r="R2575" t="s">
        <v>392</v>
      </c>
      <c r="S2575" s="1">
        <f>electric_vehicles_dataset[[#This Row],[Units_Sold_2024]]*electric_vehicles_dataset[[#This Row],[Price_USD]]</f>
        <v>30043378.440000001</v>
      </c>
      <c r="T2575">
        <v>4</v>
      </c>
      <c r="U2575">
        <v>837</v>
      </c>
      <c r="V2575">
        <v>5</v>
      </c>
    </row>
    <row r="2576" spans="1:22" x14ac:dyDescent="0.35">
      <c r="A2576">
        <v>2575</v>
      </c>
      <c r="B2576" t="s">
        <v>94</v>
      </c>
      <c r="C2576" t="s">
        <v>294</v>
      </c>
      <c r="D2576">
        <v>2023</v>
      </c>
      <c r="E2576" t="s">
        <v>58</v>
      </c>
      <c r="F2576">
        <v>104.6</v>
      </c>
      <c r="G2576" t="s">
        <v>361</v>
      </c>
      <c r="H2576">
        <f>electric_vehicles_dataset[[#This Row],[Battery_Capacity_kWh]]/electric_vehicles_dataset[[#This Row],[Range_km]]</f>
        <v>0.3977186311787072</v>
      </c>
      <c r="I2576">
        <v>263</v>
      </c>
      <c r="J2576" t="s">
        <v>76</v>
      </c>
      <c r="K2576">
        <v>2</v>
      </c>
      <c r="L2576" s="1">
        <v>97441.44</v>
      </c>
      <c r="M2576" s="1" t="str" cm="1">
        <f t="array" ref="M257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76" t="s">
        <v>39</v>
      </c>
      <c r="O2576" t="s">
        <v>354</v>
      </c>
      <c r="P2576" s="2" t="s">
        <v>394</v>
      </c>
      <c r="Q2576">
        <v>3</v>
      </c>
      <c r="R2576" t="s">
        <v>397</v>
      </c>
      <c r="S2576" s="1">
        <f>electric_vehicles_dataset[[#This Row],[Units_Sold_2024]]*electric_vehicles_dataset[[#This Row],[Price_USD]]</f>
        <v>809835807.84000003</v>
      </c>
      <c r="T2576">
        <v>4</v>
      </c>
      <c r="U2576">
        <v>8311</v>
      </c>
      <c r="V2576">
        <v>4</v>
      </c>
    </row>
    <row r="2577" spans="1:22" x14ac:dyDescent="0.35">
      <c r="A2577">
        <v>2576</v>
      </c>
      <c r="B2577" t="s">
        <v>222</v>
      </c>
      <c r="C2577" t="s">
        <v>223</v>
      </c>
      <c r="D2577">
        <v>2024</v>
      </c>
      <c r="E2577" t="s">
        <v>31</v>
      </c>
      <c r="F2577">
        <v>78</v>
      </c>
      <c r="G2577" t="s">
        <v>351</v>
      </c>
      <c r="H2577">
        <f>electric_vehicles_dataset[[#This Row],[Battery_Capacity_kWh]]/electric_vehicles_dataset[[#This Row],[Range_km]]</f>
        <v>0.15145631067961166</v>
      </c>
      <c r="I2577">
        <v>515</v>
      </c>
      <c r="J2577" t="s">
        <v>358</v>
      </c>
      <c r="K2577">
        <v>5</v>
      </c>
      <c r="L2577" s="1">
        <v>129609.13</v>
      </c>
      <c r="M2577" s="1" t="str" cm="1">
        <f t="array" ref="M257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77" t="s">
        <v>81</v>
      </c>
      <c r="O2577" t="s">
        <v>265</v>
      </c>
      <c r="P2577" s="2" t="s">
        <v>389</v>
      </c>
      <c r="Q2577">
        <v>2</v>
      </c>
      <c r="R2577" t="s">
        <v>391</v>
      </c>
      <c r="S2577" s="1">
        <f>electric_vehicles_dataset[[#This Row],[Units_Sold_2024]]*electric_vehicles_dataset[[#This Row],[Price_USD]]</f>
        <v>1886460887.1500001</v>
      </c>
      <c r="T2577">
        <v>4</v>
      </c>
      <c r="U2577">
        <v>14555</v>
      </c>
      <c r="V2577">
        <v>4</v>
      </c>
    </row>
    <row r="2578" spans="1:22" x14ac:dyDescent="0.35">
      <c r="A2578">
        <v>2577</v>
      </c>
      <c r="B2578" t="s">
        <v>122</v>
      </c>
      <c r="C2578" t="s">
        <v>250</v>
      </c>
      <c r="D2578">
        <v>2024</v>
      </c>
      <c r="E2578" t="s">
        <v>42</v>
      </c>
      <c r="F2578">
        <v>146.6</v>
      </c>
      <c r="G2578" t="s">
        <v>386</v>
      </c>
      <c r="H2578">
        <f>electric_vehicles_dataset[[#This Row],[Battery_Capacity_kWh]]/electric_vehicles_dataset[[#This Row],[Range_km]]</f>
        <v>0.72935323383084572</v>
      </c>
      <c r="I2578">
        <v>201</v>
      </c>
      <c r="J2578" t="s">
        <v>356</v>
      </c>
      <c r="K2578">
        <v>7</v>
      </c>
      <c r="L2578" s="1">
        <v>133274.31</v>
      </c>
      <c r="M2578" s="1" t="str" cm="1">
        <f t="array" ref="M25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78" t="s">
        <v>240</v>
      </c>
      <c r="O2578" t="s">
        <v>199</v>
      </c>
      <c r="P2578" s="2" t="s">
        <v>394</v>
      </c>
      <c r="Q2578">
        <v>1</v>
      </c>
      <c r="R2578" t="s">
        <v>391</v>
      </c>
      <c r="S2578" s="1">
        <f>electric_vehicles_dataset[[#This Row],[Units_Sold_2024]]*electric_vehicles_dataset[[#This Row],[Price_USD]]</f>
        <v>1506266251.6199999</v>
      </c>
      <c r="T2578">
        <v>3</v>
      </c>
      <c r="U2578">
        <v>11302</v>
      </c>
      <c r="V2578">
        <v>3</v>
      </c>
    </row>
    <row r="2579" spans="1:22" x14ac:dyDescent="0.35">
      <c r="A2579">
        <v>2578</v>
      </c>
      <c r="B2579" t="s">
        <v>120</v>
      </c>
      <c r="C2579" t="s">
        <v>288</v>
      </c>
      <c r="D2579">
        <v>2022</v>
      </c>
      <c r="E2579" t="s">
        <v>133</v>
      </c>
      <c r="F2579">
        <v>46.9</v>
      </c>
      <c r="G2579" t="s">
        <v>348</v>
      </c>
      <c r="H2579">
        <f>electric_vehicles_dataset[[#This Row],[Battery_Capacity_kWh]]/electric_vehicles_dataset[[#This Row],[Range_km]]</f>
        <v>8.4810126582278475E-2</v>
      </c>
      <c r="I2579">
        <v>553</v>
      </c>
      <c r="J2579" t="s">
        <v>356</v>
      </c>
      <c r="K2579">
        <v>3</v>
      </c>
      <c r="L2579" s="1">
        <v>148433.17000000001</v>
      </c>
      <c r="M2579" s="1" t="str" cm="1">
        <f t="array" ref="M257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79" t="s">
        <v>279</v>
      </c>
      <c r="O2579" t="s">
        <v>89</v>
      </c>
      <c r="P2579" s="2" t="s">
        <v>389</v>
      </c>
      <c r="Q2579">
        <v>0</v>
      </c>
      <c r="R2579" t="s">
        <v>390</v>
      </c>
      <c r="S2579" s="1">
        <f>electric_vehicles_dataset[[#This Row],[Units_Sold_2024]]*electric_vehicles_dataset[[#This Row],[Price_USD]]</f>
        <v>18851012.59</v>
      </c>
      <c r="T2579">
        <v>4</v>
      </c>
      <c r="U2579">
        <v>127</v>
      </c>
      <c r="V2579">
        <v>4</v>
      </c>
    </row>
    <row r="2580" spans="1:22" x14ac:dyDescent="0.35">
      <c r="A2580">
        <v>2579</v>
      </c>
      <c r="B2580" t="s">
        <v>173</v>
      </c>
      <c r="C2580" t="s">
        <v>249</v>
      </c>
      <c r="D2580">
        <v>2021</v>
      </c>
      <c r="E2580" t="s">
        <v>84</v>
      </c>
      <c r="F2580">
        <v>101.2</v>
      </c>
      <c r="G2580" t="s">
        <v>361</v>
      </c>
      <c r="H2580">
        <f>electric_vehicles_dataset[[#This Row],[Battery_Capacity_kWh]]/electric_vehicles_dataset[[#This Row],[Range_km]]</f>
        <v>0.18671586715867158</v>
      </c>
      <c r="I2580">
        <v>542</v>
      </c>
      <c r="J2580" t="s">
        <v>358</v>
      </c>
      <c r="K2580">
        <v>2</v>
      </c>
      <c r="L2580" s="1">
        <v>39124.22</v>
      </c>
      <c r="M2580" s="1" t="str" cm="1">
        <f t="array" ref="M25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80" t="s">
        <v>91</v>
      </c>
      <c r="O2580" t="s">
        <v>167</v>
      </c>
      <c r="P2580" s="2" t="s">
        <v>394</v>
      </c>
      <c r="Q2580">
        <v>1</v>
      </c>
      <c r="R2580" t="s">
        <v>391</v>
      </c>
      <c r="S2580" s="1">
        <f>electric_vehicles_dataset[[#This Row],[Units_Sold_2024]]*electric_vehicles_dataset[[#This Row],[Price_USD]]</f>
        <v>733461752.34000003</v>
      </c>
      <c r="T2580">
        <v>3</v>
      </c>
      <c r="U2580">
        <v>18747</v>
      </c>
      <c r="V2580">
        <v>5</v>
      </c>
    </row>
    <row r="2581" spans="1:22" x14ac:dyDescent="0.35">
      <c r="A2581">
        <v>2580</v>
      </c>
      <c r="B2581" t="s">
        <v>51</v>
      </c>
      <c r="C2581" t="s">
        <v>162</v>
      </c>
      <c r="D2581">
        <v>2020</v>
      </c>
      <c r="E2581" t="s">
        <v>90</v>
      </c>
      <c r="F2581">
        <v>34.9</v>
      </c>
      <c r="G2581" t="s">
        <v>357</v>
      </c>
      <c r="H2581">
        <f>electric_vehicles_dataset[[#This Row],[Battery_Capacity_kWh]]/electric_vehicles_dataset[[#This Row],[Range_km]]</f>
        <v>9.0649350649350646E-2</v>
      </c>
      <c r="I2581">
        <v>385</v>
      </c>
      <c r="J2581" t="s">
        <v>364</v>
      </c>
      <c r="K2581">
        <v>6</v>
      </c>
      <c r="L2581" s="1">
        <v>65764.67</v>
      </c>
      <c r="M2581" s="1" t="str" cm="1">
        <f t="array" ref="M258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81" t="s">
        <v>254</v>
      </c>
      <c r="O2581" t="s">
        <v>159</v>
      </c>
      <c r="P2581" s="2" t="s">
        <v>389</v>
      </c>
      <c r="Q2581">
        <v>2</v>
      </c>
      <c r="R2581" t="s">
        <v>391</v>
      </c>
      <c r="S2581" s="1">
        <f>electric_vehicles_dataset[[#This Row],[Units_Sold_2024]]*electric_vehicles_dataset[[#This Row],[Price_USD]]</f>
        <v>1135953144.9100001</v>
      </c>
      <c r="T2581">
        <v>5</v>
      </c>
      <c r="U2581">
        <v>17273</v>
      </c>
      <c r="V2581">
        <v>4</v>
      </c>
    </row>
    <row r="2582" spans="1:22" x14ac:dyDescent="0.35">
      <c r="A2582">
        <v>2581</v>
      </c>
      <c r="B2582" t="s">
        <v>207</v>
      </c>
      <c r="C2582" t="s">
        <v>287</v>
      </c>
      <c r="D2582">
        <v>2019</v>
      </c>
      <c r="E2582" t="s">
        <v>47</v>
      </c>
      <c r="F2582">
        <v>117.2</v>
      </c>
      <c r="G2582" t="s">
        <v>361</v>
      </c>
      <c r="H2582">
        <f>electric_vehicles_dataset[[#This Row],[Battery_Capacity_kWh]]/electric_vehicles_dataset[[#This Row],[Range_km]]</f>
        <v>0.26102449888641427</v>
      </c>
      <c r="I2582">
        <v>449</v>
      </c>
      <c r="J2582" t="s">
        <v>149</v>
      </c>
      <c r="K2582">
        <v>11</v>
      </c>
      <c r="L2582" s="1">
        <v>134651.01999999999</v>
      </c>
      <c r="M2582" s="1" t="str" cm="1">
        <f t="array" ref="M258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82" t="s">
        <v>172</v>
      </c>
      <c r="O2582" t="s">
        <v>147</v>
      </c>
      <c r="P2582" s="2" t="s">
        <v>396</v>
      </c>
      <c r="Q2582">
        <v>5</v>
      </c>
      <c r="R2582" t="s">
        <v>392</v>
      </c>
      <c r="S2582" s="1">
        <f>electric_vehicles_dataset[[#This Row],[Units_Sold_2024]]*electric_vehicles_dataset[[#This Row],[Price_USD]]</f>
        <v>1164462020.9599998</v>
      </c>
      <c r="T2582">
        <v>4</v>
      </c>
      <c r="U2582">
        <v>8648</v>
      </c>
      <c r="V2582">
        <v>5</v>
      </c>
    </row>
    <row r="2583" spans="1:22" x14ac:dyDescent="0.35">
      <c r="A2583">
        <v>2582</v>
      </c>
      <c r="B2583" t="s">
        <v>157</v>
      </c>
      <c r="C2583" t="s">
        <v>158</v>
      </c>
      <c r="D2583">
        <v>2016</v>
      </c>
      <c r="E2583" t="s">
        <v>53</v>
      </c>
      <c r="F2583">
        <v>76.599999999999994</v>
      </c>
      <c r="G2583" t="s">
        <v>351</v>
      </c>
      <c r="H2583">
        <f>electric_vehicles_dataset[[#This Row],[Battery_Capacity_kWh]]/electric_vehicles_dataset[[#This Row],[Range_km]]</f>
        <v>0.14398496240601502</v>
      </c>
      <c r="I2583">
        <v>532</v>
      </c>
      <c r="J2583" t="s">
        <v>38</v>
      </c>
      <c r="K2583">
        <v>3</v>
      </c>
      <c r="L2583" s="1">
        <v>87467.04</v>
      </c>
      <c r="M2583" s="1" t="str" cm="1">
        <f t="array" ref="M258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83" t="s">
        <v>152</v>
      </c>
      <c r="O2583" t="s">
        <v>226</v>
      </c>
      <c r="P2583" s="2" t="s">
        <v>395</v>
      </c>
      <c r="Q2583">
        <v>1</v>
      </c>
      <c r="R2583" t="s">
        <v>391</v>
      </c>
      <c r="S2583" s="1">
        <f>electric_vehicles_dataset[[#This Row],[Units_Sold_2024]]*electric_vehicles_dataset[[#This Row],[Price_USD]]</f>
        <v>637022452.31999993</v>
      </c>
      <c r="T2583">
        <v>3</v>
      </c>
      <c r="U2583">
        <v>7283</v>
      </c>
      <c r="V2583">
        <v>5</v>
      </c>
    </row>
    <row r="2584" spans="1:22" x14ac:dyDescent="0.35">
      <c r="A2584">
        <v>2583</v>
      </c>
      <c r="B2584" t="s">
        <v>122</v>
      </c>
      <c r="C2584" t="s">
        <v>250</v>
      </c>
      <c r="D2584">
        <v>2022</v>
      </c>
      <c r="E2584" t="s">
        <v>130</v>
      </c>
      <c r="F2584">
        <v>68</v>
      </c>
      <c r="G2584" t="s">
        <v>351</v>
      </c>
      <c r="H2584">
        <f>electric_vehicles_dataset[[#This Row],[Battery_Capacity_kWh]]/electric_vehicles_dataset[[#This Row],[Range_km]]</f>
        <v>0.12099644128113879</v>
      </c>
      <c r="I2584">
        <v>562</v>
      </c>
      <c r="J2584" t="s">
        <v>364</v>
      </c>
      <c r="K2584">
        <v>10</v>
      </c>
      <c r="L2584" s="1">
        <v>140094.56</v>
      </c>
      <c r="M2584" s="1" t="str" cm="1">
        <f t="array" ref="M258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84" t="s">
        <v>143</v>
      </c>
      <c r="O2584" t="s">
        <v>354</v>
      </c>
      <c r="P2584" s="2" t="s">
        <v>394</v>
      </c>
      <c r="Q2584">
        <v>4</v>
      </c>
      <c r="R2584" t="s">
        <v>392</v>
      </c>
      <c r="S2584" s="1">
        <f>electric_vehicles_dataset[[#This Row],[Units_Sold_2024]]*electric_vehicles_dataset[[#This Row],[Price_USD]]</f>
        <v>2469026525.4400001</v>
      </c>
      <c r="T2584">
        <v>5</v>
      </c>
      <c r="U2584">
        <v>17624</v>
      </c>
      <c r="V2584">
        <v>3</v>
      </c>
    </row>
    <row r="2585" spans="1:22" x14ac:dyDescent="0.35">
      <c r="A2585">
        <v>2584</v>
      </c>
      <c r="B2585" t="s">
        <v>60</v>
      </c>
      <c r="C2585" t="s">
        <v>61</v>
      </c>
      <c r="D2585">
        <v>2017</v>
      </c>
      <c r="E2585" t="s">
        <v>26</v>
      </c>
      <c r="F2585">
        <v>97.3</v>
      </c>
      <c r="G2585" t="s">
        <v>350</v>
      </c>
      <c r="H2585">
        <f>electric_vehicles_dataset[[#This Row],[Battery_Capacity_kWh]]/electric_vehicles_dataset[[#This Row],[Range_km]]</f>
        <v>0.22786885245901639</v>
      </c>
      <c r="I2585">
        <v>427</v>
      </c>
      <c r="J2585" t="s">
        <v>76</v>
      </c>
      <c r="K2585">
        <v>11</v>
      </c>
      <c r="L2585" s="1">
        <v>68842.48</v>
      </c>
      <c r="M2585" s="1" t="str" cm="1">
        <f t="array" ref="M258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85" t="s">
        <v>22</v>
      </c>
      <c r="O2585" t="s">
        <v>89</v>
      </c>
      <c r="P2585" s="2" t="s">
        <v>389</v>
      </c>
      <c r="Q2585">
        <v>5</v>
      </c>
      <c r="R2585" t="s">
        <v>392</v>
      </c>
      <c r="S2585" s="1">
        <f>electric_vehicles_dataset[[#This Row],[Units_Sold_2024]]*electric_vehicles_dataset[[#This Row],[Price_USD]]</f>
        <v>1241849496.72</v>
      </c>
      <c r="T2585">
        <v>4</v>
      </c>
      <c r="U2585">
        <v>18039</v>
      </c>
      <c r="V2585">
        <v>4</v>
      </c>
    </row>
    <row r="2586" spans="1:22" x14ac:dyDescent="0.35">
      <c r="A2586">
        <v>2585</v>
      </c>
      <c r="B2586" t="s">
        <v>176</v>
      </c>
      <c r="C2586" t="s">
        <v>326</v>
      </c>
      <c r="D2586">
        <v>2020</v>
      </c>
      <c r="E2586" t="s">
        <v>17</v>
      </c>
      <c r="F2586">
        <v>93.7</v>
      </c>
      <c r="G2586" t="s">
        <v>350</v>
      </c>
      <c r="H2586">
        <f>electric_vehicles_dataset[[#This Row],[Battery_Capacity_kWh]]/electric_vehicles_dataset[[#This Row],[Range_km]]</f>
        <v>0.23903061224489797</v>
      </c>
      <c r="I2586">
        <v>392</v>
      </c>
      <c r="J2586" t="s">
        <v>353</v>
      </c>
      <c r="K2586">
        <v>4</v>
      </c>
      <c r="L2586" s="1">
        <v>141067</v>
      </c>
      <c r="M2586" s="1" t="str" cm="1">
        <f t="array" ref="M258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86" t="s">
        <v>179</v>
      </c>
      <c r="O2586" t="s">
        <v>169</v>
      </c>
      <c r="P2586" s="2" t="s">
        <v>394</v>
      </c>
      <c r="Q2586">
        <v>5</v>
      </c>
      <c r="R2586" t="s">
        <v>392</v>
      </c>
      <c r="S2586" s="1">
        <f>electric_vehicles_dataset[[#This Row],[Units_Sold_2024]]*electric_vehicles_dataset[[#This Row],[Price_USD]]</f>
        <v>622669738</v>
      </c>
      <c r="T2586">
        <v>3</v>
      </c>
      <c r="U2586">
        <v>4414</v>
      </c>
      <c r="V2586">
        <v>3</v>
      </c>
    </row>
    <row r="2587" spans="1:22" x14ac:dyDescent="0.35">
      <c r="A2587">
        <v>2586</v>
      </c>
      <c r="B2587" t="s">
        <v>155</v>
      </c>
      <c r="C2587" t="s">
        <v>156</v>
      </c>
      <c r="D2587">
        <v>2018</v>
      </c>
      <c r="E2587" t="s">
        <v>53</v>
      </c>
      <c r="F2587">
        <v>138.30000000000001</v>
      </c>
      <c r="G2587" t="s">
        <v>352</v>
      </c>
      <c r="H2587">
        <f>electric_vehicles_dataset[[#This Row],[Battery_Capacity_kWh]]/electric_vehicles_dataset[[#This Row],[Range_km]]</f>
        <v>0.27883064516129036</v>
      </c>
      <c r="I2587">
        <v>496</v>
      </c>
      <c r="J2587" t="s">
        <v>358</v>
      </c>
      <c r="K2587">
        <v>4</v>
      </c>
      <c r="L2587" s="1">
        <v>54261.4</v>
      </c>
      <c r="M2587" s="1" t="str" cm="1">
        <f t="array" ref="M258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87" t="s">
        <v>81</v>
      </c>
      <c r="O2587" t="s">
        <v>63</v>
      </c>
      <c r="P2587" s="2" t="s">
        <v>389</v>
      </c>
      <c r="Q2587">
        <v>2</v>
      </c>
      <c r="R2587" t="s">
        <v>391</v>
      </c>
      <c r="S2587" s="1">
        <f>electric_vehicles_dataset[[#This Row],[Units_Sold_2024]]*electric_vehicles_dataset[[#This Row],[Price_USD]]</f>
        <v>963139850</v>
      </c>
      <c r="T2587">
        <v>5</v>
      </c>
      <c r="U2587">
        <v>17750</v>
      </c>
      <c r="V2587">
        <v>3</v>
      </c>
    </row>
    <row r="2588" spans="1:22" x14ac:dyDescent="0.35">
      <c r="A2588">
        <v>2587</v>
      </c>
      <c r="B2588" t="s">
        <v>261</v>
      </c>
      <c r="C2588" t="s">
        <v>278</v>
      </c>
      <c r="D2588">
        <v>2017</v>
      </c>
      <c r="E2588" t="s">
        <v>47</v>
      </c>
      <c r="F2588">
        <v>44.2</v>
      </c>
      <c r="G2588" t="s">
        <v>348</v>
      </c>
      <c r="H2588">
        <f>electric_vehicles_dataset[[#This Row],[Battery_Capacity_kWh]]/electric_vehicles_dataset[[#This Row],[Range_km]]</f>
        <v>9.6086956521739139E-2</v>
      </c>
      <c r="I2588">
        <v>460</v>
      </c>
      <c r="J2588" t="s">
        <v>48</v>
      </c>
      <c r="K2588">
        <v>7</v>
      </c>
      <c r="L2588" s="1">
        <v>139947.23000000001</v>
      </c>
      <c r="M2588" s="1" t="str" cm="1">
        <f t="array" ref="M258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88" t="s">
        <v>212</v>
      </c>
      <c r="O2588" t="s">
        <v>230</v>
      </c>
      <c r="P2588" s="2" t="s">
        <v>389</v>
      </c>
      <c r="Q2588">
        <v>5</v>
      </c>
      <c r="R2588" t="s">
        <v>392</v>
      </c>
      <c r="S2588" s="1">
        <f>electric_vehicles_dataset[[#This Row],[Units_Sold_2024]]*electric_vehicles_dataset[[#This Row],[Price_USD]]</f>
        <v>2531365496.2400002</v>
      </c>
      <c r="T2588">
        <v>5</v>
      </c>
      <c r="U2588">
        <v>18088</v>
      </c>
      <c r="V2588">
        <v>3</v>
      </c>
    </row>
    <row r="2589" spans="1:22" x14ac:dyDescent="0.35">
      <c r="A2589">
        <v>2588</v>
      </c>
      <c r="B2589" t="s">
        <v>193</v>
      </c>
      <c r="C2589" t="s">
        <v>203</v>
      </c>
      <c r="D2589">
        <v>2022</v>
      </c>
      <c r="E2589" t="s">
        <v>31</v>
      </c>
      <c r="F2589">
        <v>80.5</v>
      </c>
      <c r="G2589" t="s">
        <v>350</v>
      </c>
      <c r="H2589">
        <f>electric_vehicles_dataset[[#This Row],[Battery_Capacity_kWh]]/electric_vehicles_dataset[[#This Row],[Range_km]]</f>
        <v>0.13879310344827586</v>
      </c>
      <c r="I2589">
        <v>580</v>
      </c>
      <c r="J2589" t="s">
        <v>358</v>
      </c>
      <c r="K2589">
        <v>3</v>
      </c>
      <c r="L2589" s="1">
        <v>100558.76</v>
      </c>
      <c r="M2589" s="1" t="str" cm="1">
        <f t="array" ref="M25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89" t="s">
        <v>152</v>
      </c>
      <c r="O2589" t="s">
        <v>40</v>
      </c>
      <c r="P2589" s="2" t="s">
        <v>395</v>
      </c>
      <c r="Q2589">
        <v>5</v>
      </c>
      <c r="R2589" t="s">
        <v>392</v>
      </c>
      <c r="S2589" s="1">
        <f>electric_vehicles_dataset[[#This Row],[Units_Sold_2024]]*electric_vehicles_dataset[[#This Row],[Price_USD]]</f>
        <v>1267945404.8399999</v>
      </c>
      <c r="T2589">
        <v>4</v>
      </c>
      <c r="U2589">
        <v>12609</v>
      </c>
      <c r="V2589">
        <v>4</v>
      </c>
    </row>
    <row r="2590" spans="1:22" x14ac:dyDescent="0.35">
      <c r="A2590">
        <v>2589</v>
      </c>
      <c r="B2590" t="s">
        <v>144</v>
      </c>
      <c r="C2590" t="s">
        <v>145</v>
      </c>
      <c r="D2590">
        <v>2025</v>
      </c>
      <c r="E2590" t="s">
        <v>90</v>
      </c>
      <c r="F2590">
        <v>149.4</v>
      </c>
      <c r="G2590" t="s">
        <v>386</v>
      </c>
      <c r="H2590">
        <f>electric_vehicles_dataset[[#This Row],[Battery_Capacity_kWh]]/electric_vehicles_dataset[[#This Row],[Range_km]]</f>
        <v>0.41848739495798321</v>
      </c>
      <c r="I2590">
        <v>357</v>
      </c>
      <c r="J2590" t="s">
        <v>38</v>
      </c>
      <c r="K2590">
        <v>11</v>
      </c>
      <c r="L2590" s="1">
        <v>147129.85999999999</v>
      </c>
      <c r="M2590" s="1" t="str" cm="1">
        <f t="array" ref="M259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90" t="s">
        <v>81</v>
      </c>
      <c r="O2590" t="s">
        <v>67</v>
      </c>
      <c r="P2590" s="2" t="s">
        <v>394</v>
      </c>
      <c r="Q2590">
        <v>2</v>
      </c>
      <c r="R2590" t="s">
        <v>391</v>
      </c>
      <c r="S2590" s="1">
        <f>electric_vehicles_dataset[[#This Row],[Units_Sold_2024]]*electric_vehicles_dataset[[#This Row],[Price_USD]]</f>
        <v>2138973904.6799998</v>
      </c>
      <c r="T2590">
        <v>3</v>
      </c>
      <c r="U2590">
        <v>14538</v>
      </c>
      <c r="V2590">
        <v>5</v>
      </c>
    </row>
    <row r="2591" spans="1:22" x14ac:dyDescent="0.35">
      <c r="A2591">
        <v>2590</v>
      </c>
      <c r="B2591" t="s">
        <v>60</v>
      </c>
      <c r="C2591" t="s">
        <v>248</v>
      </c>
      <c r="D2591">
        <v>2021</v>
      </c>
      <c r="E2591" t="s">
        <v>101</v>
      </c>
      <c r="F2591">
        <v>142.9</v>
      </c>
      <c r="G2591" t="s">
        <v>386</v>
      </c>
      <c r="H2591">
        <f>electric_vehicles_dataset[[#This Row],[Battery_Capacity_kWh]]/electric_vehicles_dataset[[#This Row],[Range_km]]</f>
        <v>0.2560931899641577</v>
      </c>
      <c r="I2591">
        <v>558</v>
      </c>
      <c r="J2591" t="s">
        <v>76</v>
      </c>
      <c r="K2591">
        <v>8</v>
      </c>
      <c r="L2591" s="1">
        <v>32066.13</v>
      </c>
      <c r="M2591" s="1" t="str" cm="1">
        <f t="array" ref="M259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591" t="s">
        <v>172</v>
      </c>
      <c r="O2591" t="s">
        <v>118</v>
      </c>
      <c r="P2591" s="2" t="s">
        <v>389</v>
      </c>
      <c r="Q2591">
        <v>1</v>
      </c>
      <c r="R2591" t="s">
        <v>391</v>
      </c>
      <c r="S2591" s="1">
        <f>electric_vehicles_dataset[[#This Row],[Units_Sold_2024]]*electric_vehicles_dataset[[#This Row],[Price_USD]]</f>
        <v>155200069.20000002</v>
      </c>
      <c r="T2591">
        <v>4</v>
      </c>
      <c r="U2591">
        <v>4840</v>
      </c>
      <c r="V2591">
        <v>4</v>
      </c>
    </row>
    <row r="2592" spans="1:22" x14ac:dyDescent="0.35">
      <c r="A2592">
        <v>2591</v>
      </c>
      <c r="B2592" t="s">
        <v>207</v>
      </c>
      <c r="C2592" t="s">
        <v>304</v>
      </c>
      <c r="D2592">
        <v>2020</v>
      </c>
      <c r="E2592" t="s">
        <v>133</v>
      </c>
      <c r="F2592">
        <v>70.2</v>
      </c>
      <c r="G2592" t="s">
        <v>351</v>
      </c>
      <c r="H2592">
        <f>electric_vehicles_dataset[[#This Row],[Battery_Capacity_kWh]]/electric_vehicles_dataset[[#This Row],[Range_km]]</f>
        <v>0.65</v>
      </c>
      <c r="I2592">
        <v>108</v>
      </c>
      <c r="J2592" t="s">
        <v>38</v>
      </c>
      <c r="K2592">
        <v>8</v>
      </c>
      <c r="L2592" s="1">
        <v>110485.34</v>
      </c>
      <c r="M2592" s="1" t="str" cm="1">
        <f t="array" ref="M25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92" t="s">
        <v>277</v>
      </c>
      <c r="O2592" t="s">
        <v>202</v>
      </c>
      <c r="P2592" s="2" t="s">
        <v>393</v>
      </c>
      <c r="Q2592">
        <v>0</v>
      </c>
      <c r="R2592" t="s">
        <v>390</v>
      </c>
      <c r="S2592" s="1">
        <f>electric_vehicles_dataset[[#This Row],[Units_Sold_2024]]*electric_vehicles_dataset[[#This Row],[Price_USD]]</f>
        <v>2114468436.9199998</v>
      </c>
      <c r="T2592">
        <v>3</v>
      </c>
      <c r="U2592">
        <v>19138</v>
      </c>
      <c r="V2592">
        <v>5</v>
      </c>
    </row>
    <row r="2593" spans="1:22" x14ac:dyDescent="0.35">
      <c r="A2593">
        <v>2592</v>
      </c>
      <c r="B2593" t="s">
        <v>193</v>
      </c>
      <c r="C2593" t="s">
        <v>203</v>
      </c>
      <c r="D2593">
        <v>2022</v>
      </c>
      <c r="E2593" t="s">
        <v>101</v>
      </c>
      <c r="F2593">
        <v>56.1</v>
      </c>
      <c r="G2593" t="s">
        <v>348</v>
      </c>
      <c r="H2593">
        <f>electric_vehicles_dataset[[#This Row],[Battery_Capacity_kWh]]/electric_vehicles_dataset[[#This Row],[Range_km]]</f>
        <v>0.13169014084507041</v>
      </c>
      <c r="I2593">
        <v>426</v>
      </c>
      <c r="J2593" t="s">
        <v>38</v>
      </c>
      <c r="K2593">
        <v>7</v>
      </c>
      <c r="L2593" s="1">
        <v>116001.34</v>
      </c>
      <c r="M2593" s="1" t="str" cm="1">
        <f t="array" ref="M259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93" t="s">
        <v>98</v>
      </c>
      <c r="O2593" t="s">
        <v>354</v>
      </c>
      <c r="P2593" s="2" t="s">
        <v>394</v>
      </c>
      <c r="Q2593">
        <v>0</v>
      </c>
      <c r="R2593" t="s">
        <v>390</v>
      </c>
      <c r="S2593" s="1">
        <f>electric_vehicles_dataset[[#This Row],[Units_Sold_2024]]*electric_vehicles_dataset[[#This Row],[Price_USD]]</f>
        <v>27144313.559999999</v>
      </c>
      <c r="T2593">
        <v>4</v>
      </c>
      <c r="U2593">
        <v>234</v>
      </c>
      <c r="V2593">
        <v>4</v>
      </c>
    </row>
    <row r="2594" spans="1:22" x14ac:dyDescent="0.35">
      <c r="A2594">
        <v>2593</v>
      </c>
      <c r="B2594" t="s">
        <v>313</v>
      </c>
      <c r="C2594" t="s">
        <v>314</v>
      </c>
      <c r="D2594">
        <v>2018</v>
      </c>
      <c r="E2594" t="s">
        <v>17</v>
      </c>
      <c r="F2594">
        <v>91.6</v>
      </c>
      <c r="G2594" t="s">
        <v>350</v>
      </c>
      <c r="H2594">
        <f>electric_vehicles_dataset[[#This Row],[Battery_Capacity_kWh]]/electric_vehicles_dataset[[#This Row],[Range_km]]</f>
        <v>0.90693069306930685</v>
      </c>
      <c r="I2594">
        <v>101</v>
      </c>
      <c r="J2594" t="s">
        <v>149</v>
      </c>
      <c r="K2594">
        <v>3</v>
      </c>
      <c r="L2594" s="1">
        <v>77025.87</v>
      </c>
      <c r="M2594" s="1" t="str" cm="1">
        <f t="array" ref="M259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94" t="s">
        <v>217</v>
      </c>
      <c r="O2594" t="s">
        <v>226</v>
      </c>
      <c r="P2594" s="2" t="s">
        <v>395</v>
      </c>
      <c r="Q2594">
        <v>0</v>
      </c>
      <c r="R2594" t="s">
        <v>390</v>
      </c>
      <c r="S2594" s="1">
        <f>electric_vehicles_dataset[[#This Row],[Units_Sold_2024]]*electric_vehicles_dataset[[#This Row],[Price_USD]]</f>
        <v>83881172.429999992</v>
      </c>
      <c r="T2594">
        <v>4</v>
      </c>
      <c r="U2594">
        <v>1089</v>
      </c>
      <c r="V2594">
        <v>4</v>
      </c>
    </row>
    <row r="2595" spans="1:22" x14ac:dyDescent="0.35">
      <c r="A2595">
        <v>2594</v>
      </c>
      <c r="B2595" t="s">
        <v>269</v>
      </c>
      <c r="C2595" t="s">
        <v>307</v>
      </c>
      <c r="D2595">
        <v>2020</v>
      </c>
      <c r="E2595" t="s">
        <v>58</v>
      </c>
      <c r="F2595">
        <v>123.7</v>
      </c>
      <c r="G2595" t="s">
        <v>352</v>
      </c>
      <c r="H2595">
        <f>electric_vehicles_dataset[[#This Row],[Battery_Capacity_kWh]]/electric_vehicles_dataset[[#This Row],[Range_km]]</f>
        <v>0.23078358208955224</v>
      </c>
      <c r="I2595">
        <v>536</v>
      </c>
      <c r="J2595" t="s">
        <v>27</v>
      </c>
      <c r="K2595">
        <v>5</v>
      </c>
      <c r="L2595" s="1">
        <v>79848.94</v>
      </c>
      <c r="M2595" s="1" t="str" cm="1">
        <f t="array" ref="M25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95" t="s">
        <v>229</v>
      </c>
      <c r="O2595" t="s">
        <v>92</v>
      </c>
      <c r="P2595" s="2" t="s">
        <v>394</v>
      </c>
      <c r="Q2595">
        <v>4</v>
      </c>
      <c r="R2595" t="s">
        <v>392</v>
      </c>
      <c r="S2595" s="1">
        <f>electric_vehicles_dataset[[#This Row],[Units_Sold_2024]]*electric_vehicles_dataset[[#This Row],[Price_USD]]</f>
        <v>1446303850.22</v>
      </c>
      <c r="T2595">
        <v>3</v>
      </c>
      <c r="U2595">
        <v>18113</v>
      </c>
      <c r="V2595">
        <v>4</v>
      </c>
    </row>
    <row r="2596" spans="1:22" x14ac:dyDescent="0.35">
      <c r="A2596">
        <v>2595</v>
      </c>
      <c r="B2596" t="s">
        <v>170</v>
      </c>
      <c r="C2596" t="s">
        <v>334</v>
      </c>
      <c r="D2596">
        <v>2017</v>
      </c>
      <c r="E2596" t="s">
        <v>130</v>
      </c>
      <c r="F2596">
        <v>132.5</v>
      </c>
      <c r="G2596" t="s">
        <v>352</v>
      </c>
      <c r="H2596">
        <f>electric_vehicles_dataset[[#This Row],[Battery_Capacity_kWh]]/electric_vehicles_dataset[[#This Row],[Range_km]]</f>
        <v>0.36202185792349728</v>
      </c>
      <c r="I2596">
        <v>366</v>
      </c>
      <c r="J2596" t="s">
        <v>38</v>
      </c>
      <c r="K2596">
        <v>3</v>
      </c>
      <c r="L2596" s="1">
        <v>98299.48</v>
      </c>
      <c r="M2596" s="1" t="str" cm="1">
        <f t="array" ref="M259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96" t="s">
        <v>257</v>
      </c>
      <c r="O2596" t="s">
        <v>354</v>
      </c>
      <c r="P2596" s="2" t="s">
        <v>394</v>
      </c>
      <c r="Q2596">
        <v>0</v>
      </c>
      <c r="R2596" t="s">
        <v>390</v>
      </c>
      <c r="S2596" s="1">
        <f>electric_vehicles_dataset[[#This Row],[Units_Sold_2024]]*electric_vehicles_dataset[[#This Row],[Price_USD]]</f>
        <v>549592392.67999995</v>
      </c>
      <c r="T2596">
        <v>5</v>
      </c>
      <c r="U2596">
        <v>5591</v>
      </c>
      <c r="V2596">
        <v>4</v>
      </c>
    </row>
    <row r="2597" spans="1:22" x14ac:dyDescent="0.35">
      <c r="A2597">
        <v>2596</v>
      </c>
      <c r="B2597" t="s">
        <v>200</v>
      </c>
      <c r="C2597" t="s">
        <v>338</v>
      </c>
      <c r="D2597">
        <v>2022</v>
      </c>
      <c r="E2597" t="s">
        <v>58</v>
      </c>
      <c r="F2597">
        <v>82.3</v>
      </c>
      <c r="G2597" t="s">
        <v>350</v>
      </c>
      <c r="H2597">
        <f>electric_vehicles_dataset[[#This Row],[Battery_Capacity_kWh]]/electric_vehicles_dataset[[#This Row],[Range_km]]</f>
        <v>0.8148514851485148</v>
      </c>
      <c r="I2597">
        <v>101</v>
      </c>
      <c r="J2597" t="s">
        <v>358</v>
      </c>
      <c r="K2597">
        <v>8</v>
      </c>
      <c r="L2597" s="1">
        <v>97963.02</v>
      </c>
      <c r="M2597" s="1" t="str" cm="1">
        <f t="array" ref="M259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97" t="s">
        <v>142</v>
      </c>
      <c r="O2597" t="s">
        <v>121</v>
      </c>
      <c r="P2597" s="2" t="s">
        <v>398</v>
      </c>
      <c r="Q2597">
        <v>1</v>
      </c>
      <c r="R2597" t="s">
        <v>391</v>
      </c>
      <c r="S2597" s="1">
        <f>electric_vehicles_dataset[[#This Row],[Units_Sold_2024]]*electric_vehicles_dataset[[#This Row],[Price_USD]]</f>
        <v>1610903900.8800001</v>
      </c>
      <c r="T2597">
        <v>5</v>
      </c>
      <c r="U2597">
        <v>16444</v>
      </c>
      <c r="V2597">
        <v>3</v>
      </c>
    </row>
    <row r="2598" spans="1:22" x14ac:dyDescent="0.35">
      <c r="A2598">
        <v>2597</v>
      </c>
      <c r="B2598" t="s">
        <v>222</v>
      </c>
      <c r="C2598" t="s">
        <v>223</v>
      </c>
      <c r="D2598">
        <v>2021</v>
      </c>
      <c r="E2598" t="s">
        <v>130</v>
      </c>
      <c r="F2598">
        <v>41</v>
      </c>
      <c r="G2598" t="s">
        <v>348</v>
      </c>
      <c r="H2598">
        <f>electric_vehicles_dataset[[#This Row],[Battery_Capacity_kWh]]/electric_vehicles_dataset[[#This Row],[Range_km]]</f>
        <v>0.10962566844919786</v>
      </c>
      <c r="I2598">
        <v>374</v>
      </c>
      <c r="J2598" t="s">
        <v>34</v>
      </c>
      <c r="K2598">
        <v>5</v>
      </c>
      <c r="L2598" s="1">
        <v>110005.01</v>
      </c>
      <c r="M2598" s="1" t="str" cm="1">
        <f t="array" ref="M259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598" t="s">
        <v>210</v>
      </c>
      <c r="O2598" t="s">
        <v>164</v>
      </c>
      <c r="P2598" s="2" t="s">
        <v>394</v>
      </c>
      <c r="Q2598">
        <v>2</v>
      </c>
      <c r="R2598" t="s">
        <v>391</v>
      </c>
      <c r="S2598" s="1">
        <f>electric_vehicles_dataset[[#This Row],[Units_Sold_2024]]*electric_vehicles_dataset[[#This Row],[Price_USD]]</f>
        <v>1618063692.0899999</v>
      </c>
      <c r="T2598">
        <v>4</v>
      </c>
      <c r="U2598">
        <v>14709</v>
      </c>
      <c r="V2598">
        <v>3</v>
      </c>
    </row>
    <row r="2599" spans="1:22" x14ac:dyDescent="0.35">
      <c r="A2599">
        <v>2598</v>
      </c>
      <c r="B2599" t="s">
        <v>269</v>
      </c>
      <c r="C2599" t="s">
        <v>270</v>
      </c>
      <c r="D2599">
        <v>2019</v>
      </c>
      <c r="E2599" t="s">
        <v>58</v>
      </c>
      <c r="F2599">
        <v>125.4</v>
      </c>
      <c r="G2599" t="s">
        <v>352</v>
      </c>
      <c r="H2599">
        <f>electric_vehicles_dataset[[#This Row],[Battery_Capacity_kWh]]/electric_vehicles_dataset[[#This Row],[Range_km]]</f>
        <v>0.47680608365019012</v>
      </c>
      <c r="I2599">
        <v>263</v>
      </c>
      <c r="J2599" t="s">
        <v>345</v>
      </c>
      <c r="K2599">
        <v>6</v>
      </c>
      <c r="L2599" s="1">
        <v>109072.77</v>
      </c>
      <c r="M2599" s="1" t="str" cm="1">
        <f t="array" ref="M259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599" t="s">
        <v>91</v>
      </c>
      <c r="O2599" t="s">
        <v>115</v>
      </c>
      <c r="P2599" s="2" t="s">
        <v>396</v>
      </c>
      <c r="Q2599">
        <v>1</v>
      </c>
      <c r="R2599" t="s">
        <v>391</v>
      </c>
      <c r="S2599" s="1">
        <f>electric_vehicles_dataset[[#This Row],[Units_Sold_2024]]*electric_vehicles_dataset[[#This Row],[Price_USD]]</f>
        <v>1905610364.6700001</v>
      </c>
      <c r="T2599">
        <v>5</v>
      </c>
      <c r="U2599">
        <v>17471</v>
      </c>
      <c r="V2599">
        <v>5</v>
      </c>
    </row>
    <row r="2600" spans="1:22" x14ac:dyDescent="0.35">
      <c r="A2600">
        <v>2599</v>
      </c>
      <c r="B2600" t="s">
        <v>155</v>
      </c>
      <c r="C2600" t="s">
        <v>156</v>
      </c>
      <c r="D2600">
        <v>2015</v>
      </c>
      <c r="E2600" t="s">
        <v>73</v>
      </c>
      <c r="F2600">
        <v>90.3</v>
      </c>
      <c r="G2600" t="s">
        <v>350</v>
      </c>
      <c r="H2600">
        <f>electric_vehicles_dataset[[#This Row],[Battery_Capacity_kWh]]/electric_vehicles_dataset[[#This Row],[Range_km]]</f>
        <v>0.34334600760456274</v>
      </c>
      <c r="I2600">
        <v>263</v>
      </c>
      <c r="J2600" t="s">
        <v>38</v>
      </c>
      <c r="K2600">
        <v>7</v>
      </c>
      <c r="L2600" s="1">
        <v>48149.84</v>
      </c>
      <c r="M2600" s="1" t="str" cm="1">
        <f t="array" ref="M260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00" t="s">
        <v>219</v>
      </c>
      <c r="O2600" t="s">
        <v>230</v>
      </c>
      <c r="P2600" s="2" t="s">
        <v>389</v>
      </c>
      <c r="Q2600">
        <v>2</v>
      </c>
      <c r="R2600" t="s">
        <v>391</v>
      </c>
      <c r="S2600" s="1">
        <f>electric_vehicles_dataset[[#This Row],[Units_Sold_2024]]*electric_vehicles_dataset[[#This Row],[Price_USD]]</f>
        <v>830488440.31999993</v>
      </c>
      <c r="T2600">
        <v>3</v>
      </c>
      <c r="U2600">
        <v>17248</v>
      </c>
      <c r="V2600">
        <v>3</v>
      </c>
    </row>
    <row r="2601" spans="1:22" x14ac:dyDescent="0.35">
      <c r="A2601">
        <v>2600</v>
      </c>
      <c r="B2601" t="s">
        <v>153</v>
      </c>
      <c r="C2601" t="s">
        <v>154</v>
      </c>
      <c r="D2601">
        <v>2016</v>
      </c>
      <c r="E2601" t="s">
        <v>84</v>
      </c>
      <c r="F2601">
        <v>123.1</v>
      </c>
      <c r="G2601" t="s">
        <v>352</v>
      </c>
      <c r="H2601">
        <f>electric_vehicles_dataset[[#This Row],[Battery_Capacity_kWh]]/electric_vehicles_dataset[[#This Row],[Range_km]]</f>
        <v>0.86083916083916079</v>
      </c>
      <c r="I2601">
        <v>143</v>
      </c>
      <c r="J2601" t="s">
        <v>149</v>
      </c>
      <c r="K2601">
        <v>1</v>
      </c>
      <c r="L2601" s="1">
        <v>86029.81</v>
      </c>
      <c r="M2601" s="1" t="str" cm="1">
        <f t="array" ref="M260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01" t="s">
        <v>62</v>
      </c>
      <c r="O2601" t="s">
        <v>111</v>
      </c>
      <c r="P2601" s="2" t="s">
        <v>389</v>
      </c>
      <c r="Q2601">
        <v>0</v>
      </c>
      <c r="R2601" t="s">
        <v>390</v>
      </c>
      <c r="S2601" s="1">
        <f>electric_vehicles_dataset[[#This Row],[Units_Sold_2024]]*electric_vehicles_dataset[[#This Row],[Price_USD]]</f>
        <v>335086109.94999999</v>
      </c>
      <c r="T2601">
        <v>4</v>
      </c>
      <c r="U2601">
        <v>3895</v>
      </c>
      <c r="V2601">
        <v>4</v>
      </c>
    </row>
    <row r="2602" spans="1:22" x14ac:dyDescent="0.35">
      <c r="A2602">
        <v>2601</v>
      </c>
      <c r="B2602" t="s">
        <v>193</v>
      </c>
      <c r="C2602" t="s">
        <v>203</v>
      </c>
      <c r="D2602">
        <v>2016</v>
      </c>
      <c r="E2602" t="s">
        <v>58</v>
      </c>
      <c r="F2602">
        <v>64.599999999999994</v>
      </c>
      <c r="G2602" t="s">
        <v>351</v>
      </c>
      <c r="H2602">
        <f>electric_vehicles_dataset[[#This Row],[Battery_Capacity_kWh]]/electric_vehicles_dataset[[#This Row],[Range_km]]</f>
        <v>0.22508710801393728</v>
      </c>
      <c r="I2602">
        <v>287</v>
      </c>
      <c r="J2602" t="s">
        <v>34</v>
      </c>
      <c r="K2602">
        <v>12</v>
      </c>
      <c r="L2602" s="1">
        <v>40719.9</v>
      </c>
      <c r="M2602" s="1" t="str" cm="1">
        <f t="array" ref="M260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02" t="s">
        <v>39</v>
      </c>
      <c r="O2602" t="s">
        <v>265</v>
      </c>
      <c r="P2602" s="2" t="s">
        <v>389</v>
      </c>
      <c r="Q2602">
        <v>0</v>
      </c>
      <c r="R2602" t="s">
        <v>390</v>
      </c>
      <c r="S2602" s="1">
        <f>electric_vehicles_dataset[[#This Row],[Units_Sold_2024]]*electric_vehicles_dataset[[#This Row],[Price_USD]]</f>
        <v>60061852.5</v>
      </c>
      <c r="T2602">
        <v>4</v>
      </c>
      <c r="U2602">
        <v>1475</v>
      </c>
      <c r="V2602">
        <v>3</v>
      </c>
    </row>
    <row r="2603" spans="1:22" x14ac:dyDescent="0.35">
      <c r="A2603">
        <v>2602</v>
      </c>
      <c r="B2603" t="s">
        <v>108</v>
      </c>
      <c r="C2603" t="s">
        <v>369</v>
      </c>
      <c r="D2603">
        <v>2020</v>
      </c>
      <c r="E2603" t="s">
        <v>47</v>
      </c>
      <c r="F2603">
        <v>59.1</v>
      </c>
      <c r="G2603" t="s">
        <v>348</v>
      </c>
      <c r="H2603">
        <f>electric_vehicles_dataset[[#This Row],[Battery_Capacity_kWh]]/electric_vehicles_dataset[[#This Row],[Range_km]]</f>
        <v>0.10102564102564103</v>
      </c>
      <c r="I2603">
        <v>585</v>
      </c>
      <c r="J2603" t="s">
        <v>18</v>
      </c>
      <c r="K2603">
        <v>2</v>
      </c>
      <c r="L2603" s="1">
        <v>87306.92</v>
      </c>
      <c r="M2603" s="1" t="str" cm="1">
        <f t="array" ref="M260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03" t="s">
        <v>253</v>
      </c>
      <c r="O2603" t="s">
        <v>182</v>
      </c>
      <c r="P2603" s="2" t="s">
        <v>394</v>
      </c>
      <c r="Q2603">
        <v>0</v>
      </c>
      <c r="R2603" t="s">
        <v>390</v>
      </c>
      <c r="S2603" s="1">
        <f>electric_vehicles_dataset[[#This Row],[Units_Sold_2024]]*electric_vehicles_dataset[[#This Row],[Price_USD]]</f>
        <v>880402981.27999997</v>
      </c>
      <c r="T2603">
        <v>5</v>
      </c>
      <c r="U2603">
        <v>10084</v>
      </c>
      <c r="V2603">
        <v>5</v>
      </c>
    </row>
    <row r="2604" spans="1:22" x14ac:dyDescent="0.35">
      <c r="A2604">
        <v>2603</v>
      </c>
      <c r="B2604" t="s">
        <v>87</v>
      </c>
      <c r="C2604" t="s">
        <v>305</v>
      </c>
      <c r="D2604">
        <v>2021</v>
      </c>
      <c r="E2604" t="s">
        <v>73</v>
      </c>
      <c r="F2604">
        <v>65.3</v>
      </c>
      <c r="G2604" t="s">
        <v>351</v>
      </c>
      <c r="H2604">
        <f>electric_vehicles_dataset[[#This Row],[Battery_Capacity_kWh]]/electric_vehicles_dataset[[#This Row],[Range_km]]</f>
        <v>0.14320175438596491</v>
      </c>
      <c r="I2604">
        <v>456</v>
      </c>
      <c r="J2604" t="s">
        <v>27</v>
      </c>
      <c r="K2604">
        <v>11</v>
      </c>
      <c r="L2604" s="1">
        <v>57031.71</v>
      </c>
      <c r="M2604" s="1" t="str" cm="1">
        <f t="array" ref="M260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04" t="s">
        <v>39</v>
      </c>
      <c r="O2604" t="s">
        <v>164</v>
      </c>
      <c r="P2604" s="2" t="s">
        <v>394</v>
      </c>
      <c r="Q2604">
        <v>1</v>
      </c>
      <c r="R2604" t="s">
        <v>391</v>
      </c>
      <c r="S2604" s="1">
        <f>electric_vehicles_dataset[[#This Row],[Units_Sold_2024]]*electric_vehicles_dataset[[#This Row],[Price_USD]]</f>
        <v>568834275.53999996</v>
      </c>
      <c r="T2604">
        <v>3</v>
      </c>
      <c r="U2604">
        <v>9974</v>
      </c>
      <c r="V2604">
        <v>4</v>
      </c>
    </row>
    <row r="2605" spans="1:22" x14ac:dyDescent="0.35">
      <c r="A2605">
        <v>2604</v>
      </c>
      <c r="B2605" t="s">
        <v>56</v>
      </c>
      <c r="C2605" t="s">
        <v>57</v>
      </c>
      <c r="D2605">
        <v>2022</v>
      </c>
      <c r="E2605" t="s">
        <v>84</v>
      </c>
      <c r="F2605">
        <v>88.1</v>
      </c>
      <c r="G2605" t="s">
        <v>350</v>
      </c>
      <c r="H2605">
        <f>electric_vehicles_dataset[[#This Row],[Battery_Capacity_kWh]]/electric_vehicles_dataset[[#This Row],[Range_km]]</f>
        <v>0.41361502347417839</v>
      </c>
      <c r="I2605">
        <v>213</v>
      </c>
      <c r="J2605" t="s">
        <v>353</v>
      </c>
      <c r="K2605">
        <v>5</v>
      </c>
      <c r="L2605" s="1">
        <v>123881.73</v>
      </c>
      <c r="M2605" s="1" t="str" cm="1">
        <f t="array" ref="M260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05" t="s">
        <v>168</v>
      </c>
      <c r="O2605" t="s">
        <v>265</v>
      </c>
      <c r="P2605" s="2" t="s">
        <v>389</v>
      </c>
      <c r="Q2605">
        <v>5</v>
      </c>
      <c r="R2605" t="s">
        <v>392</v>
      </c>
      <c r="S2605" s="1">
        <f>electric_vehicles_dataset[[#This Row],[Units_Sold_2024]]*electric_vehicles_dataset[[#This Row],[Price_USD]]</f>
        <v>1651962869.55</v>
      </c>
      <c r="T2605">
        <v>5</v>
      </c>
      <c r="U2605">
        <v>13335</v>
      </c>
      <c r="V2605">
        <v>4</v>
      </c>
    </row>
    <row r="2606" spans="1:22" x14ac:dyDescent="0.35">
      <c r="A2606">
        <v>2605</v>
      </c>
      <c r="B2606" t="s">
        <v>136</v>
      </c>
      <c r="C2606" t="s">
        <v>137</v>
      </c>
      <c r="D2606">
        <v>2025</v>
      </c>
      <c r="E2606" t="s">
        <v>90</v>
      </c>
      <c r="F2606">
        <v>24.6</v>
      </c>
      <c r="G2606" t="s">
        <v>357</v>
      </c>
      <c r="H2606">
        <f>electric_vehicles_dataset[[#This Row],[Battery_Capacity_kWh]]/electric_vehicles_dataset[[#This Row],[Range_km]]</f>
        <v>0.20500000000000002</v>
      </c>
      <c r="I2606">
        <v>120</v>
      </c>
      <c r="J2606" t="s">
        <v>27</v>
      </c>
      <c r="K2606">
        <v>4</v>
      </c>
      <c r="L2606" s="1">
        <v>55406.26</v>
      </c>
      <c r="M2606" s="1" t="str" cm="1">
        <f t="array" ref="M260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06" t="s">
        <v>66</v>
      </c>
      <c r="O2606" t="s">
        <v>354</v>
      </c>
      <c r="P2606" s="2" t="s">
        <v>394</v>
      </c>
      <c r="Q2606">
        <v>5</v>
      </c>
      <c r="R2606" t="s">
        <v>392</v>
      </c>
      <c r="S2606" s="1">
        <f>electric_vehicles_dataset[[#This Row],[Units_Sold_2024]]*electric_vehicles_dataset[[#This Row],[Price_USD]]</f>
        <v>998753242.75999999</v>
      </c>
      <c r="T2606">
        <v>5</v>
      </c>
      <c r="U2606">
        <v>18026</v>
      </c>
      <c r="V2606">
        <v>5</v>
      </c>
    </row>
    <row r="2607" spans="1:22" x14ac:dyDescent="0.35">
      <c r="A2607">
        <v>2606</v>
      </c>
      <c r="B2607" t="s">
        <v>74</v>
      </c>
      <c r="C2607" t="s">
        <v>75</v>
      </c>
      <c r="D2607">
        <v>2022</v>
      </c>
      <c r="E2607" t="s">
        <v>73</v>
      </c>
      <c r="F2607">
        <v>41.5</v>
      </c>
      <c r="G2607" t="s">
        <v>348</v>
      </c>
      <c r="H2607">
        <f>electric_vehicles_dataset[[#This Row],[Battery_Capacity_kWh]]/electric_vehicles_dataset[[#This Row],[Range_km]]</f>
        <v>0.15900383141762453</v>
      </c>
      <c r="I2607">
        <v>261</v>
      </c>
      <c r="J2607" t="s">
        <v>48</v>
      </c>
      <c r="K2607">
        <v>4</v>
      </c>
      <c r="L2607" s="1">
        <v>112490.97</v>
      </c>
      <c r="M2607" s="1" t="str" cm="1">
        <f t="array" ref="M260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07" t="s">
        <v>28</v>
      </c>
      <c r="O2607" t="s">
        <v>147</v>
      </c>
      <c r="P2607" s="2" t="s">
        <v>396</v>
      </c>
      <c r="Q2607">
        <v>0</v>
      </c>
      <c r="R2607" t="s">
        <v>390</v>
      </c>
      <c r="S2607" s="1">
        <f>electric_vehicles_dataset[[#This Row],[Units_Sold_2024]]*electric_vehicles_dataset[[#This Row],[Price_USD]]</f>
        <v>776862638.82000005</v>
      </c>
      <c r="T2607">
        <v>4</v>
      </c>
      <c r="U2607">
        <v>6906</v>
      </c>
      <c r="V2607">
        <v>3</v>
      </c>
    </row>
    <row r="2608" spans="1:22" x14ac:dyDescent="0.35">
      <c r="A2608">
        <v>2607</v>
      </c>
      <c r="B2608" t="s">
        <v>262</v>
      </c>
      <c r="C2608" t="s">
        <v>263</v>
      </c>
      <c r="D2608">
        <v>2024</v>
      </c>
      <c r="E2608" t="s">
        <v>47</v>
      </c>
      <c r="F2608">
        <v>145.9</v>
      </c>
      <c r="G2608" t="s">
        <v>386</v>
      </c>
      <c r="H2608">
        <f>electric_vehicles_dataset[[#This Row],[Battery_Capacity_kWh]]/electric_vehicles_dataset[[#This Row],[Range_km]]</f>
        <v>0.26335740072202168</v>
      </c>
      <c r="I2608">
        <v>554</v>
      </c>
      <c r="J2608" t="s">
        <v>34</v>
      </c>
      <c r="K2608">
        <v>12</v>
      </c>
      <c r="L2608" s="1">
        <v>145109.64000000001</v>
      </c>
      <c r="M2608" s="1" t="str" cm="1">
        <f t="array" ref="M26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08" t="s">
        <v>114</v>
      </c>
      <c r="O2608" t="s">
        <v>93</v>
      </c>
      <c r="P2608" s="2" t="s">
        <v>389</v>
      </c>
      <c r="Q2608">
        <v>0</v>
      </c>
      <c r="R2608" t="s">
        <v>390</v>
      </c>
      <c r="S2608" s="1">
        <f>electric_vehicles_dataset[[#This Row],[Units_Sold_2024]]*electric_vehicles_dataset[[#This Row],[Price_USD]]</f>
        <v>1805454140.8800001</v>
      </c>
      <c r="T2608">
        <v>4</v>
      </c>
      <c r="U2608">
        <v>12442</v>
      </c>
      <c r="V2608">
        <v>5</v>
      </c>
    </row>
    <row r="2609" spans="1:22" x14ac:dyDescent="0.35">
      <c r="A2609">
        <v>2608</v>
      </c>
      <c r="B2609" t="s">
        <v>184</v>
      </c>
      <c r="C2609" t="s">
        <v>213</v>
      </c>
      <c r="D2609">
        <v>2023</v>
      </c>
      <c r="E2609" t="s">
        <v>58</v>
      </c>
      <c r="F2609">
        <v>67.400000000000006</v>
      </c>
      <c r="G2609" t="s">
        <v>351</v>
      </c>
      <c r="H2609">
        <f>electric_vehicles_dataset[[#This Row],[Battery_Capacity_kWh]]/electric_vehicles_dataset[[#This Row],[Range_km]]</f>
        <v>0.44635761589403977</v>
      </c>
      <c r="I2609">
        <v>151</v>
      </c>
      <c r="J2609" t="s">
        <v>34</v>
      </c>
      <c r="K2609">
        <v>3</v>
      </c>
      <c r="L2609" s="1">
        <v>61333.09</v>
      </c>
      <c r="M2609" s="1" t="str" cm="1">
        <f t="array" ref="M260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09" t="s">
        <v>70</v>
      </c>
      <c r="O2609" t="s">
        <v>110</v>
      </c>
      <c r="P2609" s="2" t="s">
        <v>394</v>
      </c>
      <c r="Q2609">
        <v>2</v>
      </c>
      <c r="R2609" t="s">
        <v>391</v>
      </c>
      <c r="S2609" s="1">
        <f>electric_vehicles_dataset[[#This Row],[Units_Sold_2024]]*electric_vehicles_dataset[[#This Row],[Price_USD]]</f>
        <v>440187586.92999995</v>
      </c>
      <c r="T2609">
        <v>4</v>
      </c>
      <c r="U2609">
        <v>7177</v>
      </c>
      <c r="V2609">
        <v>4</v>
      </c>
    </row>
    <row r="2610" spans="1:22" x14ac:dyDescent="0.35">
      <c r="A2610">
        <v>2609</v>
      </c>
      <c r="B2610" t="s">
        <v>184</v>
      </c>
      <c r="C2610" t="s">
        <v>213</v>
      </c>
      <c r="D2610">
        <v>2022</v>
      </c>
      <c r="E2610" t="s">
        <v>42</v>
      </c>
      <c r="F2610">
        <v>97.2</v>
      </c>
      <c r="G2610" t="s">
        <v>350</v>
      </c>
      <c r="H2610">
        <f>electric_vehicles_dataset[[#This Row],[Battery_Capacity_kWh]]/electric_vehicles_dataset[[#This Row],[Range_km]]</f>
        <v>0.29365558912386708</v>
      </c>
      <c r="I2610">
        <v>331</v>
      </c>
      <c r="J2610" t="s">
        <v>34</v>
      </c>
      <c r="K2610">
        <v>3</v>
      </c>
      <c r="L2610" s="1">
        <v>134031.67999999999</v>
      </c>
      <c r="M2610" s="1" t="str" cm="1">
        <f t="array" ref="M261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10" t="s">
        <v>81</v>
      </c>
      <c r="O2610" t="s">
        <v>167</v>
      </c>
      <c r="P2610" s="2" t="s">
        <v>394</v>
      </c>
      <c r="Q2610">
        <v>3</v>
      </c>
      <c r="R2610" t="s">
        <v>397</v>
      </c>
      <c r="S2610" s="1">
        <f>electric_vehicles_dataset[[#This Row],[Units_Sold_2024]]*electric_vehicles_dataset[[#This Row],[Price_USD]]</f>
        <v>2144506880</v>
      </c>
      <c r="T2610">
        <v>4</v>
      </c>
      <c r="U2610">
        <v>16000</v>
      </c>
      <c r="V2610">
        <v>4</v>
      </c>
    </row>
    <row r="2611" spans="1:22" x14ac:dyDescent="0.35">
      <c r="A2611">
        <v>2610</v>
      </c>
      <c r="B2611" t="s">
        <v>187</v>
      </c>
      <c r="C2611" t="s">
        <v>188</v>
      </c>
      <c r="D2611">
        <v>2023</v>
      </c>
      <c r="E2611" t="s">
        <v>84</v>
      </c>
      <c r="F2611">
        <v>102</v>
      </c>
      <c r="G2611" t="s">
        <v>361</v>
      </c>
      <c r="H2611">
        <f>electric_vehicles_dataset[[#This Row],[Battery_Capacity_kWh]]/electric_vehicles_dataset[[#This Row],[Range_km]]</f>
        <v>0.23665893271461716</v>
      </c>
      <c r="I2611">
        <v>431</v>
      </c>
      <c r="J2611" t="s">
        <v>345</v>
      </c>
      <c r="K2611">
        <v>2</v>
      </c>
      <c r="L2611" s="1">
        <v>138449.17000000001</v>
      </c>
      <c r="M2611" s="1" t="str" cm="1">
        <f t="array" ref="M261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11" t="s">
        <v>39</v>
      </c>
      <c r="O2611" t="s">
        <v>159</v>
      </c>
      <c r="P2611" s="2" t="s">
        <v>389</v>
      </c>
      <c r="Q2611">
        <v>3</v>
      </c>
      <c r="R2611" t="s">
        <v>397</v>
      </c>
      <c r="S2611" s="1">
        <f>electric_vehicles_dataset[[#This Row],[Units_Sold_2024]]*electric_vehicles_dataset[[#This Row],[Price_USD]]</f>
        <v>166969699.02000001</v>
      </c>
      <c r="T2611">
        <v>4</v>
      </c>
      <c r="U2611">
        <v>1206</v>
      </c>
      <c r="V2611">
        <v>4</v>
      </c>
    </row>
    <row r="2612" spans="1:22" x14ac:dyDescent="0.35">
      <c r="A2612">
        <v>2611</v>
      </c>
      <c r="B2612" t="s">
        <v>120</v>
      </c>
      <c r="C2612" t="s">
        <v>362</v>
      </c>
      <c r="D2612">
        <v>2016</v>
      </c>
      <c r="E2612" t="s">
        <v>133</v>
      </c>
      <c r="F2612">
        <v>128.5</v>
      </c>
      <c r="G2612" t="s">
        <v>352</v>
      </c>
      <c r="H2612">
        <f>electric_vehicles_dataset[[#This Row],[Battery_Capacity_kWh]]/electric_vehicles_dataset[[#This Row],[Range_km]]</f>
        <v>0.26012145748987853</v>
      </c>
      <c r="I2612">
        <v>494</v>
      </c>
      <c r="J2612" t="s">
        <v>105</v>
      </c>
      <c r="K2612">
        <v>6</v>
      </c>
      <c r="L2612" s="1">
        <v>137598.53</v>
      </c>
      <c r="M2612" s="1" t="str" cm="1">
        <f t="array" ref="M261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12" t="s">
        <v>219</v>
      </c>
      <c r="O2612" t="s">
        <v>95</v>
      </c>
      <c r="P2612" s="2" t="s">
        <v>394</v>
      </c>
      <c r="Q2612">
        <v>2</v>
      </c>
      <c r="R2612" t="s">
        <v>391</v>
      </c>
      <c r="S2612" s="1">
        <f>electric_vehicles_dataset[[#This Row],[Units_Sold_2024]]*electric_vehicles_dataset[[#This Row],[Price_USD]]</f>
        <v>1177843416.8</v>
      </c>
      <c r="T2612">
        <v>4</v>
      </c>
      <c r="U2612">
        <v>8560</v>
      </c>
      <c r="V2612">
        <v>4</v>
      </c>
    </row>
    <row r="2613" spans="1:22" x14ac:dyDescent="0.35">
      <c r="A2613">
        <v>2612</v>
      </c>
      <c r="B2613" t="s">
        <v>243</v>
      </c>
      <c r="C2613" t="s">
        <v>244</v>
      </c>
      <c r="D2613">
        <v>2024</v>
      </c>
      <c r="E2613" t="s">
        <v>53</v>
      </c>
      <c r="F2613">
        <v>122.9</v>
      </c>
      <c r="G2613" t="s">
        <v>352</v>
      </c>
      <c r="H2613">
        <f>electric_vehicles_dataset[[#This Row],[Battery_Capacity_kWh]]/electric_vehicles_dataset[[#This Row],[Range_km]]</f>
        <v>0.25711297071129707</v>
      </c>
      <c r="I2613">
        <v>478</v>
      </c>
      <c r="J2613" t="s">
        <v>54</v>
      </c>
      <c r="K2613">
        <v>9</v>
      </c>
      <c r="L2613" s="1">
        <v>74293.259999999995</v>
      </c>
      <c r="M2613" s="1" t="str" cm="1">
        <f t="array" ref="M261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13" t="s">
        <v>143</v>
      </c>
      <c r="O2613" t="s">
        <v>182</v>
      </c>
      <c r="P2613" s="2" t="s">
        <v>394</v>
      </c>
      <c r="Q2613">
        <v>0</v>
      </c>
      <c r="R2613" t="s">
        <v>390</v>
      </c>
      <c r="S2613" s="1">
        <f>electric_vehicles_dataset[[#This Row],[Units_Sold_2024]]*electric_vehicles_dataset[[#This Row],[Price_USD]]</f>
        <v>1357635033.24</v>
      </c>
      <c r="T2613">
        <v>4</v>
      </c>
      <c r="U2613">
        <v>18274</v>
      </c>
      <c r="V2613">
        <v>3</v>
      </c>
    </row>
    <row r="2614" spans="1:22" x14ac:dyDescent="0.35">
      <c r="A2614">
        <v>2613</v>
      </c>
      <c r="B2614" t="s">
        <v>180</v>
      </c>
      <c r="C2614" t="s">
        <v>379</v>
      </c>
      <c r="D2614">
        <v>2023</v>
      </c>
      <c r="E2614" t="s">
        <v>130</v>
      </c>
      <c r="F2614">
        <v>127.7</v>
      </c>
      <c r="G2614" t="s">
        <v>352</v>
      </c>
      <c r="H2614">
        <f>electric_vehicles_dataset[[#This Row],[Battery_Capacity_kWh]]/electric_vehicles_dataset[[#This Row],[Range_km]]</f>
        <v>0.75562130177514797</v>
      </c>
      <c r="I2614">
        <v>169</v>
      </c>
      <c r="J2614" t="s">
        <v>76</v>
      </c>
      <c r="K2614">
        <v>7</v>
      </c>
      <c r="L2614" s="1">
        <v>127270.14</v>
      </c>
      <c r="M2614" s="1" t="str" cm="1">
        <f t="array" ref="M261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14" t="s">
        <v>271</v>
      </c>
      <c r="O2614" t="s">
        <v>63</v>
      </c>
      <c r="P2614" s="2" t="s">
        <v>389</v>
      </c>
      <c r="Q2614">
        <v>4</v>
      </c>
      <c r="R2614" t="s">
        <v>392</v>
      </c>
      <c r="S2614" s="1">
        <f>electric_vehicles_dataset[[#This Row],[Units_Sold_2024]]*electric_vehicles_dataset[[#This Row],[Price_USD]]</f>
        <v>1302991693.3199999</v>
      </c>
      <c r="T2614">
        <v>3</v>
      </c>
      <c r="U2614">
        <v>10238</v>
      </c>
      <c r="V2614">
        <v>3</v>
      </c>
    </row>
    <row r="2615" spans="1:22" x14ac:dyDescent="0.35">
      <c r="A2615">
        <v>2614</v>
      </c>
      <c r="B2615" t="s">
        <v>241</v>
      </c>
      <c r="C2615" t="s">
        <v>242</v>
      </c>
      <c r="D2615">
        <v>2025</v>
      </c>
      <c r="E2615" t="s">
        <v>42</v>
      </c>
      <c r="F2615">
        <v>20.3</v>
      </c>
      <c r="G2615" t="s">
        <v>357</v>
      </c>
      <c r="H2615">
        <f>electric_vehicles_dataset[[#This Row],[Battery_Capacity_kWh]]/electric_vehicles_dataset[[#This Row],[Range_km]]</f>
        <v>3.980392156862745E-2</v>
      </c>
      <c r="I2615">
        <v>510</v>
      </c>
      <c r="J2615" t="s">
        <v>356</v>
      </c>
      <c r="K2615">
        <v>4</v>
      </c>
      <c r="L2615" s="1">
        <v>111104.82</v>
      </c>
      <c r="M2615" s="1" t="str" cm="1">
        <f t="array" ref="M261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15" t="s">
        <v>127</v>
      </c>
      <c r="O2615" t="s">
        <v>199</v>
      </c>
      <c r="P2615" s="2" t="s">
        <v>394</v>
      </c>
      <c r="Q2615">
        <v>2</v>
      </c>
      <c r="R2615" t="s">
        <v>391</v>
      </c>
      <c r="S2615" s="1">
        <f>electric_vehicles_dataset[[#This Row],[Units_Sold_2024]]*electric_vehicles_dataset[[#This Row],[Price_USD]]</f>
        <v>451307778.84000003</v>
      </c>
      <c r="T2615">
        <v>5</v>
      </c>
      <c r="U2615">
        <v>4062</v>
      </c>
      <c r="V2615">
        <v>3</v>
      </c>
    </row>
    <row r="2616" spans="1:22" x14ac:dyDescent="0.35">
      <c r="A2616">
        <v>2615</v>
      </c>
      <c r="B2616" t="s">
        <v>243</v>
      </c>
      <c r="C2616" t="s">
        <v>244</v>
      </c>
      <c r="D2616">
        <v>2019</v>
      </c>
      <c r="E2616" t="s">
        <v>101</v>
      </c>
      <c r="F2616">
        <v>62.3</v>
      </c>
      <c r="G2616" t="s">
        <v>351</v>
      </c>
      <c r="H2616">
        <f>electric_vehicles_dataset[[#This Row],[Battery_Capacity_kWh]]/electric_vehicles_dataset[[#This Row],[Range_km]]</f>
        <v>0.22737226277372261</v>
      </c>
      <c r="I2616">
        <v>274</v>
      </c>
      <c r="J2616" t="s">
        <v>34</v>
      </c>
      <c r="K2616">
        <v>2</v>
      </c>
      <c r="L2616" s="1">
        <v>53694.85</v>
      </c>
      <c r="M2616" s="1" t="str" cm="1">
        <f t="array" ref="M261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16" t="s">
        <v>257</v>
      </c>
      <c r="O2616" t="s">
        <v>199</v>
      </c>
      <c r="P2616" s="2" t="s">
        <v>394</v>
      </c>
      <c r="Q2616">
        <v>0</v>
      </c>
      <c r="R2616" t="s">
        <v>390</v>
      </c>
      <c r="S2616" s="1">
        <f>electric_vehicles_dataset[[#This Row],[Units_Sold_2024]]*electric_vehicles_dataset[[#This Row],[Price_USD]]</f>
        <v>633545535.14999998</v>
      </c>
      <c r="T2616">
        <v>3</v>
      </c>
      <c r="U2616">
        <v>11799</v>
      </c>
      <c r="V2616">
        <v>4</v>
      </c>
    </row>
    <row r="2617" spans="1:22" x14ac:dyDescent="0.35">
      <c r="A2617">
        <v>2616</v>
      </c>
      <c r="B2617" t="s">
        <v>29</v>
      </c>
      <c r="C2617" t="s">
        <v>30</v>
      </c>
      <c r="D2617">
        <v>2024</v>
      </c>
      <c r="E2617" t="s">
        <v>73</v>
      </c>
      <c r="F2617">
        <v>65.7</v>
      </c>
      <c r="G2617" t="s">
        <v>351</v>
      </c>
      <c r="H2617">
        <f>electric_vehicles_dataset[[#This Row],[Battery_Capacity_kWh]]/electric_vehicles_dataset[[#This Row],[Range_km]]</f>
        <v>0.11406250000000001</v>
      </c>
      <c r="I2617">
        <v>576</v>
      </c>
      <c r="J2617" t="s">
        <v>18</v>
      </c>
      <c r="K2617">
        <v>11</v>
      </c>
      <c r="L2617" s="1">
        <v>105411.53</v>
      </c>
      <c r="M2617" s="1" t="str" cm="1">
        <f t="array" ref="M26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17" t="s">
        <v>168</v>
      </c>
      <c r="O2617" t="s">
        <v>44</v>
      </c>
      <c r="P2617" s="2" t="s">
        <v>389</v>
      </c>
      <c r="Q2617">
        <v>2</v>
      </c>
      <c r="R2617" t="s">
        <v>391</v>
      </c>
      <c r="S2617" s="1">
        <f>electric_vehicles_dataset[[#This Row],[Units_Sold_2024]]*electric_vehicles_dataset[[#This Row],[Price_USD]]</f>
        <v>1738446952.76</v>
      </c>
      <c r="T2617">
        <v>5</v>
      </c>
      <c r="U2617">
        <v>16492</v>
      </c>
      <c r="V2617">
        <v>5</v>
      </c>
    </row>
    <row r="2618" spans="1:22" x14ac:dyDescent="0.35">
      <c r="A2618">
        <v>2617</v>
      </c>
      <c r="B2618" t="s">
        <v>71</v>
      </c>
      <c r="C2618" t="s">
        <v>255</v>
      </c>
      <c r="D2618">
        <v>2019</v>
      </c>
      <c r="E2618" t="s">
        <v>73</v>
      </c>
      <c r="F2618">
        <v>134</v>
      </c>
      <c r="G2618" t="s">
        <v>352</v>
      </c>
      <c r="H2618">
        <f>electric_vehicles_dataset[[#This Row],[Battery_Capacity_kWh]]/electric_vehicles_dataset[[#This Row],[Range_km]]</f>
        <v>0.23426573426573427</v>
      </c>
      <c r="I2618">
        <v>572</v>
      </c>
      <c r="J2618" t="s">
        <v>85</v>
      </c>
      <c r="K2618">
        <v>9</v>
      </c>
      <c r="L2618" s="1">
        <v>82632.210000000006</v>
      </c>
      <c r="M2618" s="1" t="str" cm="1">
        <f t="array" ref="M261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18" t="s">
        <v>152</v>
      </c>
      <c r="O2618" t="s">
        <v>92</v>
      </c>
      <c r="P2618" s="2" t="s">
        <v>394</v>
      </c>
      <c r="Q2618">
        <v>1</v>
      </c>
      <c r="R2618" t="s">
        <v>391</v>
      </c>
      <c r="S2618" s="1">
        <f>electric_vehicles_dataset[[#This Row],[Units_Sold_2024]]*electric_vehicles_dataset[[#This Row],[Price_USD]]</f>
        <v>499098548.40000004</v>
      </c>
      <c r="T2618">
        <v>4</v>
      </c>
      <c r="U2618">
        <v>6040</v>
      </c>
      <c r="V2618">
        <v>5</v>
      </c>
    </row>
    <row r="2619" spans="1:22" x14ac:dyDescent="0.35">
      <c r="A2619">
        <v>2618</v>
      </c>
      <c r="B2619" t="s">
        <v>155</v>
      </c>
      <c r="C2619" t="s">
        <v>156</v>
      </c>
      <c r="D2619">
        <v>2022</v>
      </c>
      <c r="E2619" t="s">
        <v>47</v>
      </c>
      <c r="F2619">
        <v>141.69999999999999</v>
      </c>
      <c r="G2619" t="s">
        <v>386</v>
      </c>
      <c r="H2619">
        <f>electric_vehicles_dataset[[#This Row],[Battery_Capacity_kWh]]/electric_vehicles_dataset[[#This Row],[Range_km]]</f>
        <v>0.2983157894736842</v>
      </c>
      <c r="I2619">
        <v>475</v>
      </c>
      <c r="J2619" t="s">
        <v>353</v>
      </c>
      <c r="K2619">
        <v>2</v>
      </c>
      <c r="L2619" s="1">
        <v>86383.47</v>
      </c>
      <c r="M2619" s="1" t="str" cm="1">
        <f t="array" ref="M261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19" t="s">
        <v>172</v>
      </c>
      <c r="O2619" t="s">
        <v>78</v>
      </c>
      <c r="P2619" s="2" t="s">
        <v>389</v>
      </c>
      <c r="Q2619">
        <v>3</v>
      </c>
      <c r="R2619" t="s">
        <v>397</v>
      </c>
      <c r="S2619" s="1">
        <f>electric_vehicles_dataset[[#This Row],[Units_Sold_2024]]*electric_vehicles_dataset[[#This Row],[Price_USD]]</f>
        <v>1215847340.25</v>
      </c>
      <c r="T2619">
        <v>5</v>
      </c>
      <c r="U2619">
        <v>14075</v>
      </c>
      <c r="V2619">
        <v>4</v>
      </c>
    </row>
    <row r="2620" spans="1:22" x14ac:dyDescent="0.35">
      <c r="A2620">
        <v>2619</v>
      </c>
      <c r="B2620" t="s">
        <v>176</v>
      </c>
      <c r="C2620" t="s">
        <v>365</v>
      </c>
      <c r="D2620">
        <v>2024</v>
      </c>
      <c r="E2620" t="s">
        <v>104</v>
      </c>
      <c r="F2620">
        <v>138.5</v>
      </c>
      <c r="G2620" t="s">
        <v>352</v>
      </c>
      <c r="H2620">
        <f>electric_vehicles_dataset[[#This Row],[Battery_Capacity_kWh]]/electric_vehicles_dataset[[#This Row],[Range_km]]</f>
        <v>0.27371541501976282</v>
      </c>
      <c r="I2620">
        <v>506</v>
      </c>
      <c r="J2620" t="s">
        <v>48</v>
      </c>
      <c r="K2620">
        <v>7</v>
      </c>
      <c r="L2620" s="1">
        <v>131342.84</v>
      </c>
      <c r="M2620" s="1" t="str" cm="1">
        <f t="array" ref="M262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20" t="s">
        <v>62</v>
      </c>
      <c r="O2620" t="s">
        <v>110</v>
      </c>
      <c r="P2620" s="2" t="s">
        <v>394</v>
      </c>
      <c r="Q2620">
        <v>3</v>
      </c>
      <c r="R2620" t="s">
        <v>397</v>
      </c>
      <c r="S2620" s="1">
        <f>electric_vehicles_dataset[[#This Row],[Units_Sold_2024]]*electric_vehicles_dataset[[#This Row],[Price_USD]]</f>
        <v>2511537786.48</v>
      </c>
      <c r="T2620">
        <v>4</v>
      </c>
      <c r="U2620">
        <v>19122</v>
      </c>
      <c r="V2620">
        <v>5</v>
      </c>
    </row>
    <row r="2621" spans="1:22" x14ac:dyDescent="0.35">
      <c r="A2621">
        <v>2620</v>
      </c>
      <c r="B2621" t="s">
        <v>153</v>
      </c>
      <c r="C2621" t="s">
        <v>154</v>
      </c>
      <c r="D2621">
        <v>2019</v>
      </c>
      <c r="E2621" t="s">
        <v>90</v>
      </c>
      <c r="F2621">
        <v>99.4</v>
      </c>
      <c r="G2621" t="s">
        <v>350</v>
      </c>
      <c r="H2621">
        <f>electric_vehicles_dataset[[#This Row],[Battery_Capacity_kWh]]/electric_vehicles_dataset[[#This Row],[Range_km]]</f>
        <v>0.19761431411530817</v>
      </c>
      <c r="I2621">
        <v>503</v>
      </c>
      <c r="J2621" t="s">
        <v>364</v>
      </c>
      <c r="K2621">
        <v>3</v>
      </c>
      <c r="L2621" s="1">
        <v>88678.05</v>
      </c>
      <c r="M2621" s="1" t="str" cm="1">
        <f t="array" ref="M262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21" t="s">
        <v>238</v>
      </c>
      <c r="O2621" t="s">
        <v>230</v>
      </c>
      <c r="P2621" s="2" t="s">
        <v>389</v>
      </c>
      <c r="Q2621">
        <v>5</v>
      </c>
      <c r="R2621" t="s">
        <v>392</v>
      </c>
      <c r="S2621" s="1">
        <f>electric_vehicles_dataset[[#This Row],[Units_Sold_2024]]*electric_vehicles_dataset[[#This Row],[Price_USD]]</f>
        <v>757310547</v>
      </c>
      <c r="T2621">
        <v>5</v>
      </c>
      <c r="U2621">
        <v>8540</v>
      </c>
      <c r="V2621">
        <v>5</v>
      </c>
    </row>
    <row r="2622" spans="1:22" x14ac:dyDescent="0.35">
      <c r="A2622">
        <v>2621</v>
      </c>
      <c r="B2622" t="s">
        <v>241</v>
      </c>
      <c r="C2622" t="s">
        <v>247</v>
      </c>
      <c r="D2622">
        <v>2015</v>
      </c>
      <c r="E2622" t="s">
        <v>53</v>
      </c>
      <c r="F2622">
        <v>109.3</v>
      </c>
      <c r="G2622" t="s">
        <v>361</v>
      </c>
      <c r="H2622">
        <f>electric_vehicles_dataset[[#This Row],[Battery_Capacity_kWh]]/electric_vehicles_dataset[[#This Row],[Range_km]]</f>
        <v>0.50368663594470042</v>
      </c>
      <c r="I2622">
        <v>217</v>
      </c>
      <c r="J2622" t="s">
        <v>34</v>
      </c>
      <c r="K2622">
        <v>8</v>
      </c>
      <c r="L2622" s="1">
        <v>137707.73000000001</v>
      </c>
      <c r="M2622" s="1" t="str" cm="1">
        <f t="array" ref="M262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22" t="s">
        <v>39</v>
      </c>
      <c r="O2622" t="s">
        <v>206</v>
      </c>
      <c r="P2622" s="2" t="s">
        <v>394</v>
      </c>
      <c r="Q2622">
        <v>1</v>
      </c>
      <c r="R2622" t="s">
        <v>391</v>
      </c>
      <c r="S2622" s="1">
        <f>electric_vehicles_dataset[[#This Row],[Units_Sold_2024]]*electric_vehicles_dataset[[#This Row],[Price_USD]]</f>
        <v>556890060.12</v>
      </c>
      <c r="T2622">
        <v>4</v>
      </c>
      <c r="U2622">
        <v>4044</v>
      </c>
      <c r="V2622">
        <v>5</v>
      </c>
    </row>
    <row r="2623" spans="1:22" x14ac:dyDescent="0.35">
      <c r="A2623">
        <v>2622</v>
      </c>
      <c r="B2623" t="s">
        <v>215</v>
      </c>
      <c r="C2623" t="s">
        <v>216</v>
      </c>
      <c r="D2623">
        <v>2016</v>
      </c>
      <c r="E2623" t="s">
        <v>130</v>
      </c>
      <c r="F2623">
        <v>78.5</v>
      </c>
      <c r="G2623" t="s">
        <v>351</v>
      </c>
      <c r="H2623">
        <f>electric_vehicles_dataset[[#This Row],[Battery_Capacity_kWh]]/electric_vehicles_dataset[[#This Row],[Range_km]]</f>
        <v>0.73364485981308414</v>
      </c>
      <c r="I2623">
        <v>107</v>
      </c>
      <c r="J2623" t="s">
        <v>38</v>
      </c>
      <c r="K2623">
        <v>3</v>
      </c>
      <c r="L2623" s="1">
        <v>34947.699999999997</v>
      </c>
      <c r="M2623" s="1" t="str" cm="1">
        <f t="array" ref="M262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23" t="s">
        <v>205</v>
      </c>
      <c r="O2623" t="s">
        <v>354</v>
      </c>
      <c r="P2623" s="2" t="s">
        <v>394</v>
      </c>
      <c r="Q2623">
        <v>1</v>
      </c>
      <c r="R2623" t="s">
        <v>391</v>
      </c>
      <c r="S2623" s="1">
        <f>electric_vehicles_dataset[[#This Row],[Units_Sold_2024]]*electric_vehicles_dataset[[#This Row],[Price_USD]]</f>
        <v>109735777.99999999</v>
      </c>
      <c r="T2623">
        <v>4</v>
      </c>
      <c r="U2623">
        <v>3140</v>
      </c>
      <c r="V2623">
        <v>5</v>
      </c>
    </row>
    <row r="2624" spans="1:22" x14ac:dyDescent="0.35">
      <c r="A2624">
        <v>2623</v>
      </c>
      <c r="B2624" t="s">
        <v>144</v>
      </c>
      <c r="C2624" t="s">
        <v>273</v>
      </c>
      <c r="D2624">
        <v>2021</v>
      </c>
      <c r="E2624" t="s">
        <v>42</v>
      </c>
      <c r="F2624">
        <v>56.3</v>
      </c>
      <c r="G2624" t="s">
        <v>348</v>
      </c>
      <c r="H2624">
        <f>electric_vehicles_dataset[[#This Row],[Battery_Capacity_kWh]]/electric_vehicles_dataset[[#This Row],[Range_km]]</f>
        <v>0.10868725868725868</v>
      </c>
      <c r="I2624">
        <v>518</v>
      </c>
      <c r="J2624" t="s">
        <v>76</v>
      </c>
      <c r="K2624">
        <v>2</v>
      </c>
      <c r="L2624" s="1">
        <v>80804.960000000006</v>
      </c>
      <c r="M2624" s="1" t="str" cm="1">
        <f t="array" ref="M262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24" t="s">
        <v>19</v>
      </c>
      <c r="O2624" t="s">
        <v>67</v>
      </c>
      <c r="P2624" s="2" t="s">
        <v>394</v>
      </c>
      <c r="Q2624">
        <v>4</v>
      </c>
      <c r="R2624" t="s">
        <v>392</v>
      </c>
      <c r="S2624" s="1">
        <f>electric_vehicles_dataset[[#This Row],[Units_Sold_2024]]*electric_vehicles_dataset[[#This Row],[Price_USD]]</f>
        <v>967396981.12000012</v>
      </c>
      <c r="T2624">
        <v>5</v>
      </c>
      <c r="U2624">
        <v>11972</v>
      </c>
      <c r="V2624">
        <v>3</v>
      </c>
    </row>
    <row r="2625" spans="1:22" x14ac:dyDescent="0.35">
      <c r="A2625">
        <v>2624</v>
      </c>
      <c r="B2625" t="s">
        <v>29</v>
      </c>
      <c r="C2625" t="s">
        <v>30</v>
      </c>
      <c r="D2625">
        <v>2020</v>
      </c>
      <c r="E2625" t="s">
        <v>133</v>
      </c>
      <c r="F2625">
        <v>120.7</v>
      </c>
      <c r="G2625" t="s">
        <v>352</v>
      </c>
      <c r="H2625">
        <f>electric_vehicles_dataset[[#This Row],[Battery_Capacity_kWh]]/electric_vehicles_dataset[[#This Row],[Range_km]]</f>
        <v>0.27307692307692311</v>
      </c>
      <c r="I2625">
        <v>442</v>
      </c>
      <c r="J2625" t="s">
        <v>353</v>
      </c>
      <c r="K2625">
        <v>7</v>
      </c>
      <c r="L2625" s="1">
        <v>95301.3</v>
      </c>
      <c r="M2625" s="1" t="str" cm="1">
        <f t="array" ref="M262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25" t="s">
        <v>175</v>
      </c>
      <c r="O2625" t="s">
        <v>33</v>
      </c>
      <c r="P2625" s="2" t="s">
        <v>393</v>
      </c>
      <c r="Q2625">
        <v>2</v>
      </c>
      <c r="R2625" t="s">
        <v>391</v>
      </c>
      <c r="S2625" s="1">
        <f>electric_vehicles_dataset[[#This Row],[Units_Sold_2024]]*electric_vehicles_dataset[[#This Row],[Price_USD]]</f>
        <v>263698697.09999999</v>
      </c>
      <c r="T2625">
        <v>5</v>
      </c>
      <c r="U2625">
        <v>2767</v>
      </c>
      <c r="V2625">
        <v>3</v>
      </c>
    </row>
    <row r="2626" spans="1:22" x14ac:dyDescent="0.35">
      <c r="A2626">
        <v>2625</v>
      </c>
      <c r="B2626" t="s">
        <v>94</v>
      </c>
      <c r="C2626" t="s">
        <v>294</v>
      </c>
      <c r="D2626">
        <v>2021</v>
      </c>
      <c r="E2626" t="s">
        <v>84</v>
      </c>
      <c r="F2626">
        <v>85</v>
      </c>
      <c r="G2626" t="s">
        <v>350</v>
      </c>
      <c r="H2626">
        <f>electric_vehicles_dataset[[#This Row],[Battery_Capacity_kWh]]/electric_vehicles_dataset[[#This Row],[Range_km]]</f>
        <v>0.15947467166979362</v>
      </c>
      <c r="I2626">
        <v>533</v>
      </c>
      <c r="J2626" t="s">
        <v>85</v>
      </c>
      <c r="K2626">
        <v>3</v>
      </c>
      <c r="L2626" s="1">
        <v>75606.710000000006</v>
      </c>
      <c r="M2626" s="1" t="str" cm="1">
        <f t="array" ref="M262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26" t="s">
        <v>279</v>
      </c>
      <c r="O2626" t="s">
        <v>265</v>
      </c>
      <c r="P2626" s="2" t="s">
        <v>389</v>
      </c>
      <c r="Q2626">
        <v>1</v>
      </c>
      <c r="R2626" t="s">
        <v>391</v>
      </c>
      <c r="S2626" s="1">
        <f>electric_vehicles_dataset[[#This Row],[Units_Sold_2024]]*electric_vehicles_dataset[[#This Row],[Price_USD]]</f>
        <v>355578357.13000005</v>
      </c>
      <c r="T2626">
        <v>3</v>
      </c>
      <c r="U2626">
        <v>4703</v>
      </c>
      <c r="V2626">
        <v>4</v>
      </c>
    </row>
    <row r="2627" spans="1:22" x14ac:dyDescent="0.35">
      <c r="A2627">
        <v>2626</v>
      </c>
      <c r="B2627" t="s">
        <v>262</v>
      </c>
      <c r="C2627" t="s">
        <v>263</v>
      </c>
      <c r="D2627">
        <v>2017</v>
      </c>
      <c r="E2627" t="s">
        <v>53</v>
      </c>
      <c r="F2627">
        <v>140.1</v>
      </c>
      <c r="G2627" t="s">
        <v>386</v>
      </c>
      <c r="H2627">
        <f>electric_vehicles_dataset[[#This Row],[Battery_Capacity_kWh]]/electric_vehicles_dataset[[#This Row],[Range_km]]</f>
        <v>0.51507352941176465</v>
      </c>
      <c r="I2627">
        <v>272</v>
      </c>
      <c r="J2627" t="s">
        <v>48</v>
      </c>
      <c r="K2627">
        <v>8</v>
      </c>
      <c r="L2627" s="1">
        <v>96031.48</v>
      </c>
      <c r="M2627" s="1" t="str" cm="1">
        <f t="array" ref="M262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27" t="s">
        <v>35</v>
      </c>
      <c r="O2627" t="s">
        <v>44</v>
      </c>
      <c r="P2627" s="2" t="s">
        <v>389</v>
      </c>
      <c r="Q2627">
        <v>3</v>
      </c>
      <c r="R2627" t="s">
        <v>397</v>
      </c>
      <c r="S2627" s="1">
        <f>electric_vehicles_dataset[[#This Row],[Units_Sold_2024]]*electric_vehicles_dataset[[#This Row],[Price_USD]]</f>
        <v>769980406.63999999</v>
      </c>
      <c r="T2627">
        <v>4</v>
      </c>
      <c r="U2627">
        <v>8018</v>
      </c>
      <c r="V2627">
        <v>4</v>
      </c>
    </row>
    <row r="2628" spans="1:22" x14ac:dyDescent="0.35">
      <c r="A2628">
        <v>2627</v>
      </c>
      <c r="B2628" t="s">
        <v>108</v>
      </c>
      <c r="C2628" t="s">
        <v>325</v>
      </c>
      <c r="D2628">
        <v>2017</v>
      </c>
      <c r="E2628" t="s">
        <v>58</v>
      </c>
      <c r="F2628">
        <v>27.8</v>
      </c>
      <c r="G2628" t="s">
        <v>357</v>
      </c>
      <c r="H2628">
        <f>electric_vehicles_dataset[[#This Row],[Battery_Capacity_kWh]]/electric_vehicles_dataset[[#This Row],[Range_km]]</f>
        <v>0.1120967741935484</v>
      </c>
      <c r="I2628">
        <v>248</v>
      </c>
      <c r="J2628" t="s">
        <v>27</v>
      </c>
      <c r="K2628">
        <v>1</v>
      </c>
      <c r="L2628" s="1">
        <v>133973.75</v>
      </c>
      <c r="M2628" s="1" t="str" cm="1">
        <f t="array" ref="M26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28" t="s">
        <v>77</v>
      </c>
      <c r="O2628" t="s">
        <v>118</v>
      </c>
      <c r="P2628" s="2" t="s">
        <v>389</v>
      </c>
      <c r="Q2628">
        <v>3</v>
      </c>
      <c r="R2628" t="s">
        <v>397</v>
      </c>
      <c r="S2628" s="1">
        <f>electric_vehicles_dataset[[#This Row],[Units_Sold_2024]]*electric_vehicles_dataset[[#This Row],[Price_USD]]</f>
        <v>596719082.5</v>
      </c>
      <c r="T2628">
        <v>4</v>
      </c>
      <c r="U2628">
        <v>4454</v>
      </c>
      <c r="V2628">
        <v>5</v>
      </c>
    </row>
    <row r="2629" spans="1:22" x14ac:dyDescent="0.35">
      <c r="A2629">
        <v>2628</v>
      </c>
      <c r="B2629" t="s">
        <v>155</v>
      </c>
      <c r="C2629" t="s">
        <v>156</v>
      </c>
      <c r="D2629">
        <v>2015</v>
      </c>
      <c r="E2629" t="s">
        <v>90</v>
      </c>
      <c r="F2629">
        <v>149.80000000000001</v>
      </c>
      <c r="G2629" t="s">
        <v>386</v>
      </c>
      <c r="H2629">
        <f>electric_vehicles_dataset[[#This Row],[Battery_Capacity_kWh]]/electric_vehicles_dataset[[#This Row],[Range_km]]</f>
        <v>0.43546511627906981</v>
      </c>
      <c r="I2629">
        <v>344</v>
      </c>
      <c r="J2629" t="s">
        <v>149</v>
      </c>
      <c r="K2629">
        <v>3</v>
      </c>
      <c r="L2629" s="1">
        <v>144721.89000000001</v>
      </c>
      <c r="M2629" s="1" t="str" cm="1">
        <f t="array" ref="M262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29" t="s">
        <v>212</v>
      </c>
      <c r="O2629" t="s">
        <v>164</v>
      </c>
      <c r="P2629" s="2" t="s">
        <v>394</v>
      </c>
      <c r="Q2629">
        <v>2</v>
      </c>
      <c r="R2629" t="s">
        <v>391</v>
      </c>
      <c r="S2629" s="1">
        <f>electric_vehicles_dataset[[#This Row],[Units_Sold_2024]]*electric_vehicles_dataset[[#This Row],[Price_USD]]</f>
        <v>2619321487.1100001</v>
      </c>
      <c r="T2629">
        <v>4</v>
      </c>
      <c r="U2629">
        <v>18099</v>
      </c>
      <c r="V2629">
        <v>3</v>
      </c>
    </row>
    <row r="2630" spans="1:22" x14ac:dyDescent="0.35">
      <c r="A2630">
        <v>2629</v>
      </c>
      <c r="B2630" t="s">
        <v>51</v>
      </c>
      <c r="C2630" t="s">
        <v>239</v>
      </c>
      <c r="D2630">
        <v>2023</v>
      </c>
      <c r="E2630" t="s">
        <v>53</v>
      </c>
      <c r="F2630">
        <v>125.2</v>
      </c>
      <c r="G2630" t="s">
        <v>352</v>
      </c>
      <c r="H2630">
        <f>electric_vehicles_dataset[[#This Row],[Battery_Capacity_kWh]]/electric_vehicles_dataset[[#This Row],[Range_km]]</f>
        <v>0.21698440207972272</v>
      </c>
      <c r="I2630">
        <v>577</v>
      </c>
      <c r="J2630" t="s">
        <v>85</v>
      </c>
      <c r="K2630">
        <v>2</v>
      </c>
      <c r="L2630" s="1">
        <v>35036.660000000003</v>
      </c>
      <c r="M2630" s="1" t="str" cm="1">
        <f t="array" ref="M263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30" t="s">
        <v>102</v>
      </c>
      <c r="O2630" t="s">
        <v>226</v>
      </c>
      <c r="P2630" s="2" t="s">
        <v>395</v>
      </c>
      <c r="Q2630">
        <v>0</v>
      </c>
      <c r="R2630" t="s">
        <v>390</v>
      </c>
      <c r="S2630" s="1">
        <f>electric_vehicles_dataset[[#This Row],[Units_Sold_2024]]*electric_vehicles_dataset[[#This Row],[Price_USD]]</f>
        <v>322092015.38000005</v>
      </c>
      <c r="T2630">
        <v>3</v>
      </c>
      <c r="U2630">
        <v>9193</v>
      </c>
      <c r="V2630">
        <v>3</v>
      </c>
    </row>
    <row r="2631" spans="1:22" x14ac:dyDescent="0.35">
      <c r="A2631">
        <v>2630</v>
      </c>
      <c r="B2631" t="s">
        <v>41</v>
      </c>
      <c r="C2631" t="s">
        <v>380</v>
      </c>
      <c r="D2631">
        <v>2018</v>
      </c>
      <c r="E2631" t="s">
        <v>90</v>
      </c>
      <c r="F2631">
        <v>21.3</v>
      </c>
      <c r="G2631" t="s">
        <v>357</v>
      </c>
      <c r="H2631">
        <f>electric_vehicles_dataset[[#This Row],[Battery_Capacity_kWh]]/electric_vehicles_dataset[[#This Row],[Range_km]]</f>
        <v>3.8240574506283667E-2</v>
      </c>
      <c r="I2631">
        <v>557</v>
      </c>
      <c r="J2631" t="s">
        <v>18</v>
      </c>
      <c r="K2631">
        <v>1</v>
      </c>
      <c r="L2631" s="1">
        <v>36245.89</v>
      </c>
      <c r="M2631" s="1" t="str" cm="1">
        <f t="array" ref="M263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31" t="s">
        <v>77</v>
      </c>
      <c r="O2631" t="s">
        <v>164</v>
      </c>
      <c r="P2631" s="2" t="s">
        <v>394</v>
      </c>
      <c r="Q2631">
        <v>0</v>
      </c>
      <c r="R2631" t="s">
        <v>390</v>
      </c>
      <c r="S2631" s="1">
        <f>electric_vehicles_dataset[[#This Row],[Units_Sold_2024]]*electric_vehicles_dataset[[#This Row],[Price_USD]]</f>
        <v>337920432.46999997</v>
      </c>
      <c r="T2631">
        <v>5</v>
      </c>
      <c r="U2631">
        <v>9323</v>
      </c>
      <c r="V2631">
        <v>4</v>
      </c>
    </row>
    <row r="2632" spans="1:22" x14ac:dyDescent="0.35">
      <c r="A2632">
        <v>2631</v>
      </c>
      <c r="B2632" t="s">
        <v>176</v>
      </c>
      <c r="C2632" t="s">
        <v>365</v>
      </c>
      <c r="D2632">
        <v>2025</v>
      </c>
      <c r="E2632" t="s">
        <v>130</v>
      </c>
      <c r="F2632">
        <v>101.1</v>
      </c>
      <c r="G2632" t="s">
        <v>361</v>
      </c>
      <c r="H2632">
        <f>electric_vehicles_dataset[[#This Row],[Battery_Capacity_kWh]]/electric_vehicles_dataset[[#This Row],[Range_km]]</f>
        <v>0.2169527896995708</v>
      </c>
      <c r="I2632">
        <v>466</v>
      </c>
      <c r="J2632" t="s">
        <v>85</v>
      </c>
      <c r="K2632">
        <v>1</v>
      </c>
      <c r="L2632" s="1">
        <v>50188.59</v>
      </c>
      <c r="M2632" s="1" t="str" cm="1">
        <f t="array" ref="M263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32" t="s">
        <v>102</v>
      </c>
      <c r="O2632" t="s">
        <v>107</v>
      </c>
      <c r="P2632" s="2" t="s">
        <v>394</v>
      </c>
      <c r="Q2632">
        <v>0</v>
      </c>
      <c r="R2632" t="s">
        <v>390</v>
      </c>
      <c r="S2632" s="1">
        <f>electric_vehicles_dataset[[#This Row],[Units_Sold_2024]]*electric_vehicles_dataset[[#This Row],[Price_USD]]</f>
        <v>340730337.50999999</v>
      </c>
      <c r="T2632">
        <v>5</v>
      </c>
      <c r="U2632">
        <v>6789</v>
      </c>
      <c r="V2632">
        <v>3</v>
      </c>
    </row>
    <row r="2633" spans="1:22" x14ac:dyDescent="0.35">
      <c r="A2633">
        <v>2632</v>
      </c>
      <c r="B2633" t="s">
        <v>60</v>
      </c>
      <c r="C2633" t="s">
        <v>248</v>
      </c>
      <c r="D2633">
        <v>2022</v>
      </c>
      <c r="E2633" t="s">
        <v>73</v>
      </c>
      <c r="F2633">
        <v>108.3</v>
      </c>
      <c r="G2633" t="s">
        <v>361</v>
      </c>
      <c r="H2633">
        <f>electric_vehicles_dataset[[#This Row],[Battery_Capacity_kWh]]/electric_vehicles_dataset[[#This Row],[Range_km]]</f>
        <v>0.18263069139966273</v>
      </c>
      <c r="I2633">
        <v>593</v>
      </c>
      <c r="J2633" t="s">
        <v>38</v>
      </c>
      <c r="K2633">
        <v>3</v>
      </c>
      <c r="L2633" s="1">
        <v>43456.03</v>
      </c>
      <c r="M2633" s="1" t="str" cm="1">
        <f t="array" ref="M263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33" t="s">
        <v>98</v>
      </c>
      <c r="O2633" t="s">
        <v>78</v>
      </c>
      <c r="P2633" s="2" t="s">
        <v>389</v>
      </c>
      <c r="Q2633">
        <v>2</v>
      </c>
      <c r="R2633" t="s">
        <v>391</v>
      </c>
      <c r="S2633" s="1">
        <f>electric_vehicles_dataset[[#This Row],[Units_Sold_2024]]*electric_vehicles_dataset[[#This Row],[Price_USD]]</f>
        <v>334220326.73000002</v>
      </c>
      <c r="T2633">
        <v>4</v>
      </c>
      <c r="U2633">
        <v>7691</v>
      </c>
      <c r="V2633">
        <v>5</v>
      </c>
    </row>
    <row r="2634" spans="1:22" x14ac:dyDescent="0.35">
      <c r="A2634">
        <v>2633</v>
      </c>
      <c r="B2634" t="s">
        <v>200</v>
      </c>
      <c r="C2634" t="s">
        <v>368</v>
      </c>
      <c r="D2634">
        <v>2019</v>
      </c>
      <c r="E2634" t="s">
        <v>104</v>
      </c>
      <c r="F2634">
        <v>98</v>
      </c>
      <c r="G2634" t="s">
        <v>350</v>
      </c>
      <c r="H2634">
        <f>electric_vehicles_dataset[[#This Row],[Battery_Capacity_kWh]]/electric_vehicles_dataset[[#This Row],[Range_km]]</f>
        <v>0.29518072289156627</v>
      </c>
      <c r="I2634">
        <v>332</v>
      </c>
      <c r="J2634" t="s">
        <v>27</v>
      </c>
      <c r="K2634">
        <v>1</v>
      </c>
      <c r="L2634" s="1">
        <v>127678.89</v>
      </c>
      <c r="M2634" s="1" t="str" cm="1">
        <f t="array" ref="M263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34" t="s">
        <v>142</v>
      </c>
      <c r="O2634" t="s">
        <v>182</v>
      </c>
      <c r="P2634" s="2" t="s">
        <v>394</v>
      </c>
      <c r="Q2634">
        <v>2</v>
      </c>
      <c r="R2634" t="s">
        <v>391</v>
      </c>
      <c r="S2634" s="1">
        <f>electric_vehicles_dataset[[#This Row],[Units_Sold_2024]]*electric_vehicles_dataset[[#This Row],[Price_USD]]</f>
        <v>2504549106.2399998</v>
      </c>
      <c r="T2634">
        <v>4</v>
      </c>
      <c r="U2634">
        <v>19616</v>
      </c>
      <c r="V2634">
        <v>5</v>
      </c>
    </row>
    <row r="2635" spans="1:22" x14ac:dyDescent="0.35">
      <c r="A2635">
        <v>2634</v>
      </c>
      <c r="B2635" t="s">
        <v>87</v>
      </c>
      <c r="C2635" t="s">
        <v>381</v>
      </c>
      <c r="D2635">
        <v>2020</v>
      </c>
      <c r="E2635" t="s">
        <v>104</v>
      </c>
      <c r="F2635">
        <v>147.1</v>
      </c>
      <c r="G2635" t="s">
        <v>386</v>
      </c>
      <c r="H2635">
        <f>electric_vehicles_dataset[[#This Row],[Battery_Capacity_kWh]]/electric_vehicles_dataset[[#This Row],[Range_km]]</f>
        <v>0.34050925925925923</v>
      </c>
      <c r="I2635">
        <v>432</v>
      </c>
      <c r="J2635" t="s">
        <v>149</v>
      </c>
      <c r="K2635">
        <v>8</v>
      </c>
      <c r="L2635" s="1">
        <v>63617.13</v>
      </c>
      <c r="M2635" s="1" t="str" cm="1">
        <f t="array" ref="M263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35" t="s">
        <v>219</v>
      </c>
      <c r="O2635" t="s">
        <v>107</v>
      </c>
      <c r="P2635" s="2" t="s">
        <v>394</v>
      </c>
      <c r="Q2635">
        <v>3</v>
      </c>
      <c r="R2635" t="s">
        <v>397</v>
      </c>
      <c r="S2635" s="1">
        <f>electric_vehicles_dataset[[#This Row],[Units_Sold_2024]]*electric_vehicles_dataset[[#This Row],[Price_USD]]</f>
        <v>1041857738.01</v>
      </c>
      <c r="T2635">
        <v>4</v>
      </c>
      <c r="U2635">
        <v>16377</v>
      </c>
      <c r="V2635">
        <v>5</v>
      </c>
    </row>
    <row r="2636" spans="1:22" x14ac:dyDescent="0.35">
      <c r="A2636">
        <v>2635</v>
      </c>
      <c r="B2636" t="s">
        <v>45</v>
      </c>
      <c r="C2636" t="s">
        <v>132</v>
      </c>
      <c r="D2636">
        <v>2024</v>
      </c>
      <c r="E2636" t="s">
        <v>90</v>
      </c>
      <c r="F2636">
        <v>27</v>
      </c>
      <c r="G2636" t="s">
        <v>357</v>
      </c>
      <c r="H2636">
        <f>electric_vehicles_dataset[[#This Row],[Battery_Capacity_kWh]]/electric_vehicles_dataset[[#This Row],[Range_km]]</f>
        <v>0.13775510204081631</v>
      </c>
      <c r="I2636">
        <v>196</v>
      </c>
      <c r="J2636" t="s">
        <v>48</v>
      </c>
      <c r="K2636">
        <v>6</v>
      </c>
      <c r="L2636" s="1">
        <v>47377.26</v>
      </c>
      <c r="M2636" s="1" t="str" cm="1">
        <f t="array" ref="M26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36" t="s">
        <v>238</v>
      </c>
      <c r="O2636" t="s">
        <v>92</v>
      </c>
      <c r="P2636" s="2" t="s">
        <v>394</v>
      </c>
      <c r="Q2636">
        <v>2</v>
      </c>
      <c r="R2636" t="s">
        <v>391</v>
      </c>
      <c r="S2636" s="1">
        <f>electric_vehicles_dataset[[#This Row],[Units_Sold_2024]]*electric_vehicles_dataset[[#This Row],[Price_USD]]</f>
        <v>438950313.90000004</v>
      </c>
      <c r="T2636">
        <v>3</v>
      </c>
      <c r="U2636">
        <v>9265</v>
      </c>
      <c r="V2636">
        <v>3</v>
      </c>
    </row>
    <row r="2637" spans="1:22" x14ac:dyDescent="0.35">
      <c r="A2637">
        <v>2636</v>
      </c>
      <c r="B2637" t="s">
        <v>192</v>
      </c>
      <c r="C2637" t="s">
        <v>316</v>
      </c>
      <c r="D2637">
        <v>2016</v>
      </c>
      <c r="E2637" t="s">
        <v>183</v>
      </c>
      <c r="F2637">
        <v>118.5</v>
      </c>
      <c r="G2637" t="s">
        <v>361</v>
      </c>
      <c r="H2637">
        <f>electric_vehicles_dataset[[#This Row],[Battery_Capacity_kWh]]/electric_vehicles_dataset[[#This Row],[Range_km]]</f>
        <v>0.26689189189189189</v>
      </c>
      <c r="I2637">
        <v>444</v>
      </c>
      <c r="J2637" t="s">
        <v>358</v>
      </c>
      <c r="K2637">
        <v>7</v>
      </c>
      <c r="L2637" s="1">
        <v>61757.05</v>
      </c>
      <c r="M2637" s="1" t="str" cm="1">
        <f t="array" ref="M26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37" t="s">
        <v>43</v>
      </c>
      <c r="O2637" t="s">
        <v>67</v>
      </c>
      <c r="P2637" s="2" t="s">
        <v>394</v>
      </c>
      <c r="Q2637">
        <v>2</v>
      </c>
      <c r="R2637" t="s">
        <v>391</v>
      </c>
      <c r="S2637" s="1">
        <f>electric_vehicles_dataset[[#This Row],[Units_Sold_2024]]*electric_vehicles_dataset[[#This Row],[Price_USD]]</f>
        <v>404508677.5</v>
      </c>
      <c r="T2637">
        <v>4</v>
      </c>
      <c r="U2637">
        <v>6550</v>
      </c>
      <c r="V2637">
        <v>3</v>
      </c>
    </row>
    <row r="2638" spans="1:22" x14ac:dyDescent="0.35">
      <c r="A2638">
        <v>2637</v>
      </c>
      <c r="B2638" t="s">
        <v>56</v>
      </c>
      <c r="C2638" t="s">
        <v>57</v>
      </c>
      <c r="D2638">
        <v>2015</v>
      </c>
      <c r="E2638" t="s">
        <v>26</v>
      </c>
      <c r="F2638">
        <v>141.69999999999999</v>
      </c>
      <c r="G2638" t="s">
        <v>386</v>
      </c>
      <c r="H2638">
        <f>electric_vehicles_dataset[[#This Row],[Battery_Capacity_kWh]]/electric_vehicles_dataset[[#This Row],[Range_km]]</f>
        <v>0.76594594594594589</v>
      </c>
      <c r="I2638">
        <v>185</v>
      </c>
      <c r="J2638" t="s">
        <v>85</v>
      </c>
      <c r="K2638">
        <v>10</v>
      </c>
      <c r="L2638" s="1">
        <v>75986.03</v>
      </c>
      <c r="M2638" s="1" t="str" cm="1">
        <f t="array" ref="M263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38" t="s">
        <v>106</v>
      </c>
      <c r="O2638" t="s">
        <v>182</v>
      </c>
      <c r="P2638" s="2" t="s">
        <v>394</v>
      </c>
      <c r="Q2638">
        <v>3</v>
      </c>
      <c r="R2638" t="s">
        <v>397</v>
      </c>
      <c r="S2638" s="1">
        <f>electric_vehicles_dataset[[#This Row],[Units_Sold_2024]]*electric_vehicles_dataset[[#This Row],[Price_USD]]</f>
        <v>992453537.83000004</v>
      </c>
      <c r="T2638">
        <v>4</v>
      </c>
      <c r="U2638">
        <v>13061</v>
      </c>
      <c r="V2638">
        <v>3</v>
      </c>
    </row>
    <row r="2639" spans="1:22" x14ac:dyDescent="0.35">
      <c r="A2639">
        <v>2638</v>
      </c>
      <c r="B2639" t="s">
        <v>128</v>
      </c>
      <c r="C2639" t="s">
        <v>284</v>
      </c>
      <c r="D2639">
        <v>2021</v>
      </c>
      <c r="E2639" t="s">
        <v>58</v>
      </c>
      <c r="F2639">
        <v>58.1</v>
      </c>
      <c r="G2639" t="s">
        <v>348</v>
      </c>
      <c r="H2639">
        <f>electric_vehicles_dataset[[#This Row],[Battery_Capacity_kWh]]/electric_vehicles_dataset[[#This Row],[Range_km]]</f>
        <v>0.10338078291814946</v>
      </c>
      <c r="I2639">
        <v>562</v>
      </c>
      <c r="J2639" t="s">
        <v>18</v>
      </c>
      <c r="K2639">
        <v>3</v>
      </c>
      <c r="L2639" s="1">
        <v>30936.19</v>
      </c>
      <c r="M2639" s="1" t="str" cm="1">
        <f t="array" ref="M26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39" t="s">
        <v>152</v>
      </c>
      <c r="O2639" t="s">
        <v>20</v>
      </c>
      <c r="P2639" s="2" t="s">
        <v>389</v>
      </c>
      <c r="Q2639">
        <v>0</v>
      </c>
      <c r="R2639" t="s">
        <v>390</v>
      </c>
      <c r="S2639" s="1">
        <f>electric_vehicles_dataset[[#This Row],[Units_Sold_2024]]*electric_vehicles_dataset[[#This Row],[Price_USD]]</f>
        <v>471467535.59999996</v>
      </c>
      <c r="T2639">
        <v>4</v>
      </c>
      <c r="U2639">
        <v>15240</v>
      </c>
      <c r="V2639">
        <v>5</v>
      </c>
    </row>
    <row r="2640" spans="1:22" x14ac:dyDescent="0.35">
      <c r="A2640">
        <v>2639</v>
      </c>
      <c r="B2640" t="s">
        <v>180</v>
      </c>
      <c r="C2640" t="s">
        <v>285</v>
      </c>
      <c r="D2640">
        <v>2020</v>
      </c>
      <c r="E2640" t="s">
        <v>183</v>
      </c>
      <c r="F2640">
        <v>34.299999999999997</v>
      </c>
      <c r="G2640" t="s">
        <v>357</v>
      </c>
      <c r="H2640">
        <f>electric_vehicles_dataset[[#This Row],[Battery_Capacity_kWh]]/electric_vehicles_dataset[[#This Row],[Range_km]]</f>
        <v>7.7954545454545443E-2</v>
      </c>
      <c r="I2640">
        <v>440</v>
      </c>
      <c r="J2640" t="s">
        <v>149</v>
      </c>
      <c r="K2640">
        <v>1</v>
      </c>
      <c r="L2640" s="1">
        <v>38832.339999999997</v>
      </c>
      <c r="M2640" s="1" t="str" cm="1">
        <f t="array" ref="M264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40" t="s">
        <v>66</v>
      </c>
      <c r="O2640" t="s">
        <v>115</v>
      </c>
      <c r="P2640" s="2" t="s">
        <v>396</v>
      </c>
      <c r="Q2640">
        <v>0</v>
      </c>
      <c r="R2640" t="s">
        <v>390</v>
      </c>
      <c r="S2640" s="1">
        <f>electric_vehicles_dataset[[#This Row],[Units_Sold_2024]]*electric_vehicles_dataset[[#This Row],[Price_USD]]</f>
        <v>561088480.65999997</v>
      </c>
      <c r="T2640">
        <v>4</v>
      </c>
      <c r="U2640">
        <v>14449</v>
      </c>
      <c r="V2640">
        <v>3</v>
      </c>
    </row>
    <row r="2641" spans="1:22" x14ac:dyDescent="0.35">
      <c r="A2641">
        <v>2640</v>
      </c>
      <c r="B2641" t="s">
        <v>16</v>
      </c>
      <c r="C2641" t="s">
        <v>347</v>
      </c>
      <c r="D2641">
        <v>2017</v>
      </c>
      <c r="E2641" t="s">
        <v>183</v>
      </c>
      <c r="F2641">
        <v>74.2</v>
      </c>
      <c r="G2641" t="s">
        <v>351</v>
      </c>
      <c r="H2641">
        <f>electric_vehicles_dataset[[#This Row],[Battery_Capacity_kWh]]/electric_vehicles_dataset[[#This Row],[Range_km]]</f>
        <v>0.34511627906976744</v>
      </c>
      <c r="I2641">
        <v>215</v>
      </c>
      <c r="J2641" t="s">
        <v>149</v>
      </c>
      <c r="K2641">
        <v>7</v>
      </c>
      <c r="L2641" s="1">
        <v>40443.39</v>
      </c>
      <c r="M2641" s="1" t="str" cm="1">
        <f t="array" ref="M264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41" t="s">
        <v>271</v>
      </c>
      <c r="O2641" t="s">
        <v>199</v>
      </c>
      <c r="P2641" s="2" t="s">
        <v>394</v>
      </c>
      <c r="Q2641">
        <v>1</v>
      </c>
      <c r="R2641" t="s">
        <v>391</v>
      </c>
      <c r="S2641" s="1">
        <f>electric_vehicles_dataset[[#This Row],[Units_Sold_2024]]*electric_vehicles_dataset[[#This Row],[Price_USD]]</f>
        <v>198860148.63</v>
      </c>
      <c r="T2641">
        <v>3</v>
      </c>
      <c r="U2641">
        <v>4917</v>
      </c>
      <c r="V2641">
        <v>5</v>
      </c>
    </row>
    <row r="2642" spans="1:22" x14ac:dyDescent="0.35">
      <c r="A2642">
        <v>2641</v>
      </c>
      <c r="B2642" t="s">
        <v>120</v>
      </c>
      <c r="C2642" t="s">
        <v>362</v>
      </c>
      <c r="D2642">
        <v>2022</v>
      </c>
      <c r="E2642" t="s">
        <v>58</v>
      </c>
      <c r="F2642">
        <v>27.1</v>
      </c>
      <c r="G2642" t="s">
        <v>357</v>
      </c>
      <c r="H2642">
        <f>electric_vehicles_dataset[[#This Row],[Battery_Capacity_kWh]]/electric_vehicles_dataset[[#This Row],[Range_km]]</f>
        <v>8.685897435897437E-2</v>
      </c>
      <c r="I2642">
        <v>312</v>
      </c>
      <c r="J2642" t="s">
        <v>38</v>
      </c>
      <c r="K2642">
        <v>9</v>
      </c>
      <c r="L2642" s="1">
        <v>32604.25</v>
      </c>
      <c r="M2642" s="1" t="str" cm="1">
        <f t="array" ref="M264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42" t="s">
        <v>179</v>
      </c>
      <c r="O2642" t="s">
        <v>167</v>
      </c>
      <c r="P2642" s="2" t="s">
        <v>394</v>
      </c>
      <c r="Q2642">
        <v>1</v>
      </c>
      <c r="R2642" t="s">
        <v>391</v>
      </c>
      <c r="S2642" s="1">
        <f>electric_vehicles_dataset[[#This Row],[Units_Sold_2024]]*electric_vehicles_dataset[[#This Row],[Price_USD]]</f>
        <v>307197243.5</v>
      </c>
      <c r="T2642">
        <v>4</v>
      </c>
      <c r="U2642">
        <v>9422</v>
      </c>
      <c r="V2642">
        <v>3</v>
      </c>
    </row>
    <row r="2643" spans="1:22" x14ac:dyDescent="0.35">
      <c r="A2643">
        <v>2642</v>
      </c>
      <c r="B2643" t="s">
        <v>68</v>
      </c>
      <c r="C2643" t="s">
        <v>69</v>
      </c>
      <c r="D2643">
        <v>2024</v>
      </c>
      <c r="E2643" t="s">
        <v>84</v>
      </c>
      <c r="F2643">
        <v>67.7</v>
      </c>
      <c r="G2643" t="s">
        <v>351</v>
      </c>
      <c r="H2643">
        <f>electric_vehicles_dataset[[#This Row],[Battery_Capacity_kWh]]/electric_vehicles_dataset[[#This Row],[Range_km]]</f>
        <v>0.47342657342657346</v>
      </c>
      <c r="I2643">
        <v>143</v>
      </c>
      <c r="J2643" t="s">
        <v>356</v>
      </c>
      <c r="K2643">
        <v>4</v>
      </c>
      <c r="L2643" s="1">
        <v>48139.06</v>
      </c>
      <c r="M2643" s="1" t="str" cm="1">
        <f t="array" ref="M264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43" t="s">
        <v>66</v>
      </c>
      <c r="O2643" t="s">
        <v>230</v>
      </c>
      <c r="P2643" s="2" t="s">
        <v>389</v>
      </c>
      <c r="Q2643">
        <v>4</v>
      </c>
      <c r="R2643" t="s">
        <v>392</v>
      </c>
      <c r="S2643" s="1">
        <f>electric_vehicles_dataset[[#This Row],[Units_Sold_2024]]*electric_vehicles_dataset[[#This Row],[Price_USD]]</f>
        <v>548737144.93999994</v>
      </c>
      <c r="T2643">
        <v>4</v>
      </c>
      <c r="U2643">
        <v>11399</v>
      </c>
      <c r="V2643">
        <v>3</v>
      </c>
    </row>
    <row r="2644" spans="1:22" x14ac:dyDescent="0.35">
      <c r="A2644">
        <v>2643</v>
      </c>
      <c r="B2644" t="s">
        <v>36</v>
      </c>
      <c r="C2644" t="s">
        <v>245</v>
      </c>
      <c r="D2644">
        <v>2020</v>
      </c>
      <c r="E2644" t="s">
        <v>47</v>
      </c>
      <c r="F2644">
        <v>80.400000000000006</v>
      </c>
      <c r="G2644" t="s">
        <v>350</v>
      </c>
      <c r="H2644">
        <f>electric_vehicles_dataset[[#This Row],[Battery_Capacity_kWh]]/electric_vehicles_dataset[[#This Row],[Range_km]]</f>
        <v>0.14179894179894181</v>
      </c>
      <c r="I2644">
        <v>567</v>
      </c>
      <c r="J2644" t="s">
        <v>48</v>
      </c>
      <c r="K2644">
        <v>5</v>
      </c>
      <c r="L2644" s="1">
        <v>117443.56</v>
      </c>
      <c r="M2644" s="1" t="str" cm="1">
        <f t="array" ref="M264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44" t="s">
        <v>100</v>
      </c>
      <c r="O2644" t="s">
        <v>93</v>
      </c>
      <c r="P2644" s="2" t="s">
        <v>389</v>
      </c>
      <c r="Q2644">
        <v>0</v>
      </c>
      <c r="R2644" t="s">
        <v>390</v>
      </c>
      <c r="S2644" s="1">
        <f>electric_vehicles_dataset[[#This Row],[Units_Sold_2024]]*electric_vehicles_dataset[[#This Row],[Price_USD]]</f>
        <v>256614178.59999999</v>
      </c>
      <c r="T2644">
        <v>3</v>
      </c>
      <c r="U2644">
        <v>2185</v>
      </c>
      <c r="V2644">
        <v>4</v>
      </c>
    </row>
    <row r="2645" spans="1:22" x14ac:dyDescent="0.35">
      <c r="A2645">
        <v>2644</v>
      </c>
      <c r="B2645" t="s">
        <v>220</v>
      </c>
      <c r="C2645" t="s">
        <v>282</v>
      </c>
      <c r="D2645">
        <v>2016</v>
      </c>
      <c r="E2645" t="s">
        <v>101</v>
      </c>
      <c r="F2645">
        <v>58.1</v>
      </c>
      <c r="G2645" t="s">
        <v>348</v>
      </c>
      <c r="H2645">
        <f>electric_vehicles_dataset[[#This Row],[Battery_Capacity_kWh]]/electric_vehicles_dataset[[#This Row],[Range_km]]</f>
        <v>0.1134765625</v>
      </c>
      <c r="I2645">
        <v>512</v>
      </c>
      <c r="J2645" t="s">
        <v>54</v>
      </c>
      <c r="K2645">
        <v>12</v>
      </c>
      <c r="L2645" s="1">
        <v>136420.35</v>
      </c>
      <c r="M2645" s="1" t="str" cm="1">
        <f t="array" ref="M264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45" t="s">
        <v>70</v>
      </c>
      <c r="O2645" t="s">
        <v>236</v>
      </c>
      <c r="P2645" s="2" t="s">
        <v>394</v>
      </c>
      <c r="Q2645">
        <v>5</v>
      </c>
      <c r="R2645" t="s">
        <v>392</v>
      </c>
      <c r="S2645" s="1">
        <f>electric_vehicles_dataset[[#This Row],[Units_Sold_2024]]*electric_vehicles_dataset[[#This Row],[Price_USD]]</f>
        <v>2100736969.6500001</v>
      </c>
      <c r="T2645">
        <v>5</v>
      </c>
      <c r="U2645">
        <v>15399</v>
      </c>
      <c r="V2645">
        <v>5</v>
      </c>
    </row>
    <row r="2646" spans="1:22" x14ac:dyDescent="0.35">
      <c r="A2646">
        <v>2645</v>
      </c>
      <c r="B2646" t="s">
        <v>180</v>
      </c>
      <c r="C2646" t="s">
        <v>285</v>
      </c>
      <c r="D2646">
        <v>2024</v>
      </c>
      <c r="E2646" t="s">
        <v>53</v>
      </c>
      <c r="F2646">
        <v>139.9</v>
      </c>
      <c r="G2646" t="s">
        <v>352</v>
      </c>
      <c r="H2646">
        <f>electric_vehicles_dataset[[#This Row],[Battery_Capacity_kWh]]/electric_vehicles_dataset[[#This Row],[Range_km]]</f>
        <v>0.31158129175946547</v>
      </c>
      <c r="I2646">
        <v>449</v>
      </c>
      <c r="J2646" t="s">
        <v>358</v>
      </c>
      <c r="K2646">
        <v>5</v>
      </c>
      <c r="L2646" s="1">
        <v>68541.17</v>
      </c>
      <c r="M2646" s="1" t="str" cm="1">
        <f t="array" ref="M26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46" t="s">
        <v>146</v>
      </c>
      <c r="O2646" t="s">
        <v>67</v>
      </c>
      <c r="P2646" s="2" t="s">
        <v>394</v>
      </c>
      <c r="Q2646">
        <v>3</v>
      </c>
      <c r="R2646" t="s">
        <v>397</v>
      </c>
      <c r="S2646" s="1">
        <f>electric_vehicles_dataset[[#This Row],[Units_Sold_2024]]*electric_vehicles_dataset[[#This Row],[Price_USD]]</f>
        <v>570810863.75999999</v>
      </c>
      <c r="T2646">
        <v>4</v>
      </c>
      <c r="U2646">
        <v>8328</v>
      </c>
      <c r="V2646">
        <v>3</v>
      </c>
    </row>
    <row r="2647" spans="1:22" x14ac:dyDescent="0.35">
      <c r="A2647">
        <v>2646</v>
      </c>
      <c r="B2647" t="s">
        <v>64</v>
      </c>
      <c r="C2647" t="s">
        <v>65</v>
      </c>
      <c r="D2647">
        <v>2022</v>
      </c>
      <c r="E2647" t="s">
        <v>42</v>
      </c>
      <c r="F2647">
        <v>134.80000000000001</v>
      </c>
      <c r="G2647" t="s">
        <v>352</v>
      </c>
      <c r="H2647">
        <f>electric_vehicles_dataset[[#This Row],[Battery_Capacity_kWh]]/electric_vehicles_dataset[[#This Row],[Range_km]]</f>
        <v>0.92965517241379314</v>
      </c>
      <c r="I2647">
        <v>145</v>
      </c>
      <c r="J2647" t="s">
        <v>345</v>
      </c>
      <c r="K2647">
        <v>1</v>
      </c>
      <c r="L2647" s="1">
        <v>42511.91</v>
      </c>
      <c r="M2647" s="1" t="str" cm="1">
        <f t="array" ref="M264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47" t="s">
        <v>39</v>
      </c>
      <c r="O2647" t="s">
        <v>95</v>
      </c>
      <c r="P2647" s="2" t="s">
        <v>394</v>
      </c>
      <c r="Q2647">
        <v>3</v>
      </c>
      <c r="R2647" t="s">
        <v>397</v>
      </c>
      <c r="S2647" s="1">
        <f>electric_vehicles_dataset[[#This Row],[Units_Sold_2024]]*electric_vehicles_dataset[[#This Row],[Price_USD]]</f>
        <v>308764002.33000004</v>
      </c>
      <c r="T2647">
        <v>5</v>
      </c>
      <c r="U2647">
        <v>7263</v>
      </c>
      <c r="V2647">
        <v>3</v>
      </c>
    </row>
    <row r="2648" spans="1:22" x14ac:dyDescent="0.35">
      <c r="A2648">
        <v>2647</v>
      </c>
      <c r="B2648" t="s">
        <v>68</v>
      </c>
      <c r="C2648" t="s">
        <v>289</v>
      </c>
      <c r="D2648">
        <v>2025</v>
      </c>
      <c r="E2648" t="s">
        <v>26</v>
      </c>
      <c r="F2648">
        <v>104.5</v>
      </c>
      <c r="G2648" t="s">
        <v>361</v>
      </c>
      <c r="H2648">
        <f>electric_vehicles_dataset[[#This Row],[Battery_Capacity_kWh]]/electric_vehicles_dataset[[#This Row],[Range_km]]</f>
        <v>0.31475903614457829</v>
      </c>
      <c r="I2648">
        <v>332</v>
      </c>
      <c r="J2648" t="s">
        <v>85</v>
      </c>
      <c r="K2648">
        <v>1</v>
      </c>
      <c r="L2648" s="1">
        <v>59326.879999999997</v>
      </c>
      <c r="M2648" s="1" t="str" cm="1">
        <f t="array" ref="M26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48" t="s">
        <v>146</v>
      </c>
      <c r="O2648" t="s">
        <v>226</v>
      </c>
      <c r="P2648" s="2" t="s">
        <v>395</v>
      </c>
      <c r="Q2648">
        <v>2</v>
      </c>
      <c r="R2648" t="s">
        <v>391</v>
      </c>
      <c r="S2648" s="1">
        <f>electric_vehicles_dataset[[#This Row],[Units_Sold_2024]]*electric_vehicles_dataset[[#This Row],[Price_USD]]</f>
        <v>59564187.519999996</v>
      </c>
      <c r="T2648">
        <v>3</v>
      </c>
      <c r="U2648">
        <v>1004</v>
      </c>
      <c r="V2648">
        <v>3</v>
      </c>
    </row>
    <row r="2649" spans="1:22" x14ac:dyDescent="0.35">
      <c r="A2649">
        <v>2648</v>
      </c>
      <c r="B2649" t="s">
        <v>261</v>
      </c>
      <c r="C2649" t="s">
        <v>372</v>
      </c>
      <c r="D2649">
        <v>2025</v>
      </c>
      <c r="E2649" t="s">
        <v>183</v>
      </c>
      <c r="F2649">
        <v>130.80000000000001</v>
      </c>
      <c r="G2649" t="s">
        <v>352</v>
      </c>
      <c r="H2649">
        <f>electric_vehicles_dataset[[#This Row],[Battery_Capacity_kWh]]/electric_vehicles_dataset[[#This Row],[Range_km]]</f>
        <v>0.22708333333333336</v>
      </c>
      <c r="I2649">
        <v>576</v>
      </c>
      <c r="J2649" t="s">
        <v>38</v>
      </c>
      <c r="K2649">
        <v>4</v>
      </c>
      <c r="L2649" s="1">
        <v>45585.63</v>
      </c>
      <c r="M2649" s="1" t="str" cm="1">
        <f t="array" ref="M264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49" t="s">
        <v>253</v>
      </c>
      <c r="O2649" t="s">
        <v>67</v>
      </c>
      <c r="P2649" s="2" t="s">
        <v>394</v>
      </c>
      <c r="Q2649">
        <v>3</v>
      </c>
      <c r="R2649" t="s">
        <v>397</v>
      </c>
      <c r="S2649" s="1">
        <f>electric_vehicles_dataset[[#This Row],[Units_Sold_2024]]*electric_vehicles_dataset[[#This Row],[Price_USD]]</f>
        <v>112186235.42999999</v>
      </c>
      <c r="T2649">
        <v>4</v>
      </c>
      <c r="U2649">
        <v>2461</v>
      </c>
      <c r="V2649">
        <v>3</v>
      </c>
    </row>
    <row r="2650" spans="1:22" x14ac:dyDescent="0.35">
      <c r="A2650">
        <v>2649</v>
      </c>
      <c r="B2650" t="s">
        <v>125</v>
      </c>
      <c r="C2650" t="s">
        <v>163</v>
      </c>
      <c r="D2650">
        <v>2018</v>
      </c>
      <c r="E2650" t="s">
        <v>133</v>
      </c>
      <c r="F2650">
        <v>119.1</v>
      </c>
      <c r="G2650" t="s">
        <v>361</v>
      </c>
      <c r="H2650">
        <f>electric_vehicles_dataset[[#This Row],[Battery_Capacity_kWh]]/electric_vehicles_dataset[[#This Row],[Range_km]]</f>
        <v>0.63351063829787235</v>
      </c>
      <c r="I2650">
        <v>188</v>
      </c>
      <c r="J2650" t="s">
        <v>54</v>
      </c>
      <c r="K2650">
        <v>12</v>
      </c>
      <c r="L2650" s="1">
        <v>114883.67</v>
      </c>
      <c r="M2650" s="1" t="str" cm="1">
        <f t="array" ref="M265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50" t="s">
        <v>142</v>
      </c>
      <c r="O2650" t="s">
        <v>92</v>
      </c>
      <c r="P2650" s="2" t="s">
        <v>394</v>
      </c>
      <c r="Q2650">
        <v>2</v>
      </c>
      <c r="R2650" t="s">
        <v>391</v>
      </c>
      <c r="S2650" s="1">
        <f>electric_vehicles_dataset[[#This Row],[Units_Sold_2024]]*electric_vehicles_dataset[[#This Row],[Price_USD]]</f>
        <v>1489811432.5599999</v>
      </c>
      <c r="T2650">
        <v>4</v>
      </c>
      <c r="U2650">
        <v>12968</v>
      </c>
      <c r="V2650">
        <v>4</v>
      </c>
    </row>
    <row r="2651" spans="1:22" x14ac:dyDescent="0.35">
      <c r="A2651">
        <v>2650</v>
      </c>
      <c r="B2651" t="s">
        <v>153</v>
      </c>
      <c r="C2651" t="s">
        <v>154</v>
      </c>
      <c r="D2651">
        <v>2023</v>
      </c>
      <c r="E2651" t="s">
        <v>101</v>
      </c>
      <c r="F2651">
        <v>36.5</v>
      </c>
      <c r="G2651" t="s">
        <v>357</v>
      </c>
      <c r="H2651">
        <f>electric_vehicles_dataset[[#This Row],[Battery_Capacity_kWh]]/electric_vehicles_dataset[[#This Row],[Range_km]]</f>
        <v>6.2180579216354344E-2</v>
      </c>
      <c r="I2651">
        <v>587</v>
      </c>
      <c r="J2651" t="s">
        <v>27</v>
      </c>
      <c r="K2651">
        <v>8</v>
      </c>
      <c r="L2651" s="1">
        <v>137346.69</v>
      </c>
      <c r="M2651" s="1" t="str" cm="1">
        <f t="array" ref="M265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51" t="s">
        <v>179</v>
      </c>
      <c r="O2651" t="s">
        <v>150</v>
      </c>
      <c r="P2651" s="2" t="s">
        <v>389</v>
      </c>
      <c r="Q2651">
        <v>0</v>
      </c>
      <c r="R2651" t="s">
        <v>390</v>
      </c>
      <c r="S2651" s="1">
        <f>electric_vehicles_dataset[[#This Row],[Units_Sold_2024]]*electric_vehicles_dataset[[#This Row],[Price_USD]]</f>
        <v>246674655.24000001</v>
      </c>
      <c r="T2651">
        <v>4</v>
      </c>
      <c r="U2651">
        <v>1796</v>
      </c>
      <c r="V2651">
        <v>3</v>
      </c>
    </row>
    <row r="2652" spans="1:22" x14ac:dyDescent="0.35">
      <c r="A2652">
        <v>2651</v>
      </c>
      <c r="B2652" t="s">
        <v>207</v>
      </c>
      <c r="C2652" t="s">
        <v>208</v>
      </c>
      <c r="D2652">
        <v>2020</v>
      </c>
      <c r="E2652" t="s">
        <v>58</v>
      </c>
      <c r="F2652">
        <v>101.6</v>
      </c>
      <c r="G2652" t="s">
        <v>361</v>
      </c>
      <c r="H2652">
        <f>electric_vehicles_dataset[[#This Row],[Battery_Capacity_kWh]]/electric_vehicles_dataset[[#This Row],[Range_km]]</f>
        <v>0.37216117216117212</v>
      </c>
      <c r="I2652">
        <v>273</v>
      </c>
      <c r="J2652" t="s">
        <v>18</v>
      </c>
      <c r="K2652">
        <v>3</v>
      </c>
      <c r="L2652" s="1">
        <v>140321.99</v>
      </c>
      <c r="M2652" s="1" t="str" cm="1">
        <f t="array" ref="M265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52" t="s">
        <v>196</v>
      </c>
      <c r="O2652" t="s">
        <v>164</v>
      </c>
      <c r="P2652" s="2" t="s">
        <v>394</v>
      </c>
      <c r="Q2652">
        <v>0</v>
      </c>
      <c r="R2652" t="s">
        <v>390</v>
      </c>
      <c r="S2652" s="1">
        <f>electric_vehicles_dataset[[#This Row],[Units_Sold_2024]]*electric_vehicles_dataset[[#This Row],[Price_USD]]</f>
        <v>1182212765.75</v>
      </c>
      <c r="T2652">
        <v>4</v>
      </c>
      <c r="U2652">
        <v>8425</v>
      </c>
      <c r="V2652">
        <v>4</v>
      </c>
    </row>
    <row r="2653" spans="1:22" x14ac:dyDescent="0.35">
      <c r="A2653">
        <v>2652</v>
      </c>
      <c r="B2653" t="s">
        <v>112</v>
      </c>
      <c r="C2653" t="s">
        <v>138</v>
      </c>
      <c r="D2653">
        <v>2016</v>
      </c>
      <c r="E2653" t="s">
        <v>42</v>
      </c>
      <c r="F2653">
        <v>117.8</v>
      </c>
      <c r="G2653" t="s">
        <v>361</v>
      </c>
      <c r="H2653">
        <f>electric_vehicles_dataset[[#This Row],[Battery_Capacity_kWh]]/electric_vehicles_dataset[[#This Row],[Range_km]]</f>
        <v>0.49495798319327727</v>
      </c>
      <c r="I2653">
        <v>238</v>
      </c>
      <c r="J2653" t="s">
        <v>38</v>
      </c>
      <c r="K2653">
        <v>1</v>
      </c>
      <c r="L2653" s="1">
        <v>34047.93</v>
      </c>
      <c r="M2653" s="1" t="str" cm="1">
        <f t="array" ref="M265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53" t="s">
        <v>146</v>
      </c>
      <c r="O2653" t="s">
        <v>265</v>
      </c>
      <c r="P2653" s="2" t="s">
        <v>389</v>
      </c>
      <c r="Q2653">
        <v>0</v>
      </c>
      <c r="R2653" t="s">
        <v>390</v>
      </c>
      <c r="S2653" s="1">
        <f>electric_vehicles_dataset[[#This Row],[Units_Sold_2024]]*electric_vehicles_dataset[[#This Row],[Price_USD]]</f>
        <v>116273680.95</v>
      </c>
      <c r="T2653">
        <v>5</v>
      </c>
      <c r="U2653">
        <v>3415</v>
      </c>
      <c r="V2653">
        <v>3</v>
      </c>
    </row>
    <row r="2654" spans="1:22" x14ac:dyDescent="0.35">
      <c r="A2654">
        <v>2653</v>
      </c>
      <c r="B2654" t="s">
        <v>224</v>
      </c>
      <c r="C2654" t="s">
        <v>225</v>
      </c>
      <c r="D2654">
        <v>2025</v>
      </c>
      <c r="E2654" t="s">
        <v>42</v>
      </c>
      <c r="F2654">
        <v>116.6</v>
      </c>
      <c r="G2654" t="s">
        <v>361</v>
      </c>
      <c r="H2654">
        <f>electric_vehicles_dataset[[#This Row],[Battery_Capacity_kWh]]/electric_vehicles_dataset[[#This Row],[Range_km]]</f>
        <v>0.23134920634920633</v>
      </c>
      <c r="I2654">
        <v>504</v>
      </c>
      <c r="J2654" t="s">
        <v>353</v>
      </c>
      <c r="K2654">
        <v>8</v>
      </c>
      <c r="L2654" s="1">
        <v>120829.71</v>
      </c>
      <c r="M2654" s="1" t="str" cm="1">
        <f t="array" ref="M265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54" t="s">
        <v>22</v>
      </c>
      <c r="O2654" t="s">
        <v>230</v>
      </c>
      <c r="P2654" s="2" t="s">
        <v>389</v>
      </c>
      <c r="Q2654">
        <v>5</v>
      </c>
      <c r="R2654" t="s">
        <v>392</v>
      </c>
      <c r="S2654" s="1">
        <f>electric_vehicles_dataset[[#This Row],[Units_Sold_2024]]*electric_vehicles_dataset[[#This Row],[Price_USD]]</f>
        <v>2282956540.7400002</v>
      </c>
      <c r="T2654">
        <v>4</v>
      </c>
      <c r="U2654">
        <v>18894</v>
      </c>
      <c r="V2654">
        <v>5</v>
      </c>
    </row>
    <row r="2655" spans="1:22" x14ac:dyDescent="0.35">
      <c r="A2655">
        <v>2654</v>
      </c>
      <c r="B2655" t="s">
        <v>269</v>
      </c>
      <c r="C2655" t="s">
        <v>270</v>
      </c>
      <c r="D2655">
        <v>2022</v>
      </c>
      <c r="E2655" t="s">
        <v>17</v>
      </c>
      <c r="F2655">
        <v>68.8</v>
      </c>
      <c r="G2655" t="s">
        <v>351</v>
      </c>
      <c r="H2655">
        <f>electric_vehicles_dataset[[#This Row],[Battery_Capacity_kWh]]/electric_vehicles_dataset[[#This Row],[Range_km]]</f>
        <v>0.4382165605095541</v>
      </c>
      <c r="I2655">
        <v>157</v>
      </c>
      <c r="J2655" t="s">
        <v>353</v>
      </c>
      <c r="K2655">
        <v>12</v>
      </c>
      <c r="L2655" s="1">
        <v>62914.74</v>
      </c>
      <c r="M2655" s="1" t="str" cm="1">
        <f t="array" ref="M265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55" t="s">
        <v>35</v>
      </c>
      <c r="O2655" t="s">
        <v>89</v>
      </c>
      <c r="P2655" s="2" t="s">
        <v>389</v>
      </c>
      <c r="Q2655">
        <v>2</v>
      </c>
      <c r="R2655" t="s">
        <v>391</v>
      </c>
      <c r="S2655" s="1">
        <f>electric_vehicles_dataset[[#This Row],[Units_Sold_2024]]*electric_vehicles_dataset[[#This Row],[Price_USD]]</f>
        <v>495642321.71999997</v>
      </c>
      <c r="T2655">
        <v>4</v>
      </c>
      <c r="U2655">
        <v>7878</v>
      </c>
      <c r="V2655">
        <v>3</v>
      </c>
    </row>
    <row r="2656" spans="1:22" x14ac:dyDescent="0.35">
      <c r="A2656">
        <v>2655</v>
      </c>
      <c r="B2656" t="s">
        <v>122</v>
      </c>
      <c r="C2656" t="s">
        <v>250</v>
      </c>
      <c r="D2656">
        <v>2018</v>
      </c>
      <c r="E2656" t="s">
        <v>104</v>
      </c>
      <c r="F2656">
        <v>148.1</v>
      </c>
      <c r="G2656" t="s">
        <v>386</v>
      </c>
      <c r="H2656">
        <f>electric_vehicles_dataset[[#This Row],[Battery_Capacity_kWh]]/electric_vehicles_dataset[[#This Row],[Range_km]]</f>
        <v>0.28263358778625952</v>
      </c>
      <c r="I2656">
        <v>524</v>
      </c>
      <c r="J2656" t="s">
        <v>356</v>
      </c>
      <c r="K2656">
        <v>3</v>
      </c>
      <c r="L2656" s="1">
        <v>121086.77</v>
      </c>
      <c r="M2656" s="1" t="str" cm="1">
        <f t="array" ref="M265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56" t="s">
        <v>152</v>
      </c>
      <c r="O2656" t="s">
        <v>95</v>
      </c>
      <c r="P2656" s="2" t="s">
        <v>394</v>
      </c>
      <c r="Q2656">
        <v>2</v>
      </c>
      <c r="R2656" t="s">
        <v>391</v>
      </c>
      <c r="S2656" s="1">
        <f>electric_vehicles_dataset[[#This Row],[Units_Sold_2024]]*electric_vehicles_dataset[[#This Row],[Price_USD]]</f>
        <v>1439479521.76</v>
      </c>
      <c r="T2656">
        <v>3</v>
      </c>
      <c r="U2656">
        <v>11888</v>
      </c>
      <c r="V2656">
        <v>3</v>
      </c>
    </row>
    <row r="2657" spans="1:22" x14ac:dyDescent="0.35">
      <c r="A2657">
        <v>2656</v>
      </c>
      <c r="B2657" t="s">
        <v>29</v>
      </c>
      <c r="C2657" t="s">
        <v>323</v>
      </c>
      <c r="D2657">
        <v>2020</v>
      </c>
      <c r="E2657" t="s">
        <v>84</v>
      </c>
      <c r="F2657">
        <v>53</v>
      </c>
      <c r="G2657" t="s">
        <v>348</v>
      </c>
      <c r="H2657">
        <f>electric_vehicles_dataset[[#This Row],[Battery_Capacity_kWh]]/electric_vehicles_dataset[[#This Row],[Range_km]]</f>
        <v>0.51960784313725494</v>
      </c>
      <c r="I2657">
        <v>102</v>
      </c>
      <c r="J2657" t="s">
        <v>359</v>
      </c>
      <c r="K2657">
        <v>6</v>
      </c>
      <c r="L2657" s="1">
        <v>39912.769999999997</v>
      </c>
      <c r="M2657" s="1" t="str" cm="1">
        <f t="array" ref="M265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57" t="s">
        <v>277</v>
      </c>
      <c r="O2657" t="s">
        <v>147</v>
      </c>
      <c r="P2657" s="2" t="s">
        <v>396</v>
      </c>
      <c r="Q2657">
        <v>4</v>
      </c>
      <c r="R2657" t="s">
        <v>392</v>
      </c>
      <c r="S2657" s="1">
        <f>electric_vehicles_dataset[[#This Row],[Units_Sold_2024]]*electric_vehicles_dataset[[#This Row],[Price_USD]]</f>
        <v>351352114.30999994</v>
      </c>
      <c r="T2657">
        <v>4</v>
      </c>
      <c r="U2657">
        <v>8803</v>
      </c>
      <c r="V2657">
        <v>5</v>
      </c>
    </row>
    <row r="2658" spans="1:22" x14ac:dyDescent="0.35">
      <c r="A2658">
        <v>2657</v>
      </c>
      <c r="B2658" t="s">
        <v>144</v>
      </c>
      <c r="C2658" t="s">
        <v>145</v>
      </c>
      <c r="D2658">
        <v>2017</v>
      </c>
      <c r="E2658" t="s">
        <v>90</v>
      </c>
      <c r="F2658">
        <v>22.8</v>
      </c>
      <c r="G2658" t="s">
        <v>357</v>
      </c>
      <c r="H2658">
        <f>electric_vehicles_dataset[[#This Row],[Battery_Capacity_kWh]]/electric_vehicles_dataset[[#This Row],[Range_km]]</f>
        <v>4.851063829787234E-2</v>
      </c>
      <c r="I2658">
        <v>470</v>
      </c>
      <c r="J2658" t="s">
        <v>149</v>
      </c>
      <c r="K2658">
        <v>1</v>
      </c>
      <c r="L2658" s="1">
        <v>72012.08</v>
      </c>
      <c r="M2658" s="1" t="str" cm="1">
        <f t="array" ref="M265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58" t="s">
        <v>59</v>
      </c>
      <c r="O2658" t="s">
        <v>44</v>
      </c>
      <c r="P2658" s="2" t="s">
        <v>389</v>
      </c>
      <c r="Q2658">
        <v>4</v>
      </c>
      <c r="R2658" t="s">
        <v>392</v>
      </c>
      <c r="S2658" s="1">
        <f>electric_vehicles_dataset[[#This Row],[Units_Sold_2024]]*electric_vehicles_dataset[[#This Row],[Price_USD]]</f>
        <v>939613619.84000003</v>
      </c>
      <c r="T2658">
        <v>4</v>
      </c>
      <c r="U2658">
        <v>13048</v>
      </c>
      <c r="V2658">
        <v>5</v>
      </c>
    </row>
    <row r="2659" spans="1:22" x14ac:dyDescent="0.35">
      <c r="A2659">
        <v>2658</v>
      </c>
      <c r="B2659" t="s">
        <v>71</v>
      </c>
      <c r="C2659" t="s">
        <v>321</v>
      </c>
      <c r="D2659">
        <v>2018</v>
      </c>
      <c r="E2659" t="s">
        <v>17</v>
      </c>
      <c r="F2659">
        <v>134.19999999999999</v>
      </c>
      <c r="G2659" t="s">
        <v>352</v>
      </c>
      <c r="H2659">
        <f>electric_vehicles_dataset[[#This Row],[Battery_Capacity_kWh]]/electric_vehicles_dataset[[#This Row],[Range_km]]</f>
        <v>0.32731707317073166</v>
      </c>
      <c r="I2659">
        <v>410</v>
      </c>
      <c r="J2659" t="s">
        <v>85</v>
      </c>
      <c r="K2659">
        <v>4</v>
      </c>
      <c r="L2659" s="1">
        <v>81122.490000000005</v>
      </c>
      <c r="M2659" s="1" t="str" cm="1">
        <f t="array" ref="M265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59" t="s">
        <v>238</v>
      </c>
      <c r="O2659" t="s">
        <v>93</v>
      </c>
      <c r="P2659" s="2" t="s">
        <v>389</v>
      </c>
      <c r="Q2659">
        <v>4</v>
      </c>
      <c r="R2659" t="s">
        <v>392</v>
      </c>
      <c r="S2659" s="1">
        <f>electric_vehicles_dataset[[#This Row],[Units_Sold_2024]]*electric_vehicles_dataset[[#This Row],[Price_USD]]</f>
        <v>1013382145.08</v>
      </c>
      <c r="T2659">
        <v>5</v>
      </c>
      <c r="U2659">
        <v>12492</v>
      </c>
      <c r="V2659">
        <v>3</v>
      </c>
    </row>
    <row r="2660" spans="1:22" x14ac:dyDescent="0.35">
      <c r="A2660">
        <v>2659</v>
      </c>
      <c r="B2660" t="s">
        <v>269</v>
      </c>
      <c r="C2660" t="s">
        <v>340</v>
      </c>
      <c r="D2660">
        <v>2023</v>
      </c>
      <c r="E2660" t="s">
        <v>73</v>
      </c>
      <c r="F2660">
        <v>136</v>
      </c>
      <c r="G2660" t="s">
        <v>352</v>
      </c>
      <c r="H2660">
        <f>electric_vehicles_dataset[[#This Row],[Battery_Capacity_kWh]]/electric_vehicles_dataset[[#This Row],[Range_km]]</f>
        <v>0.32929782082324455</v>
      </c>
      <c r="I2660">
        <v>413</v>
      </c>
      <c r="J2660" t="s">
        <v>76</v>
      </c>
      <c r="K2660">
        <v>6</v>
      </c>
      <c r="L2660" s="1">
        <v>93928.91</v>
      </c>
      <c r="M2660" s="1" t="str" cm="1">
        <f t="array" ref="M266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60" t="s">
        <v>277</v>
      </c>
      <c r="O2660" t="s">
        <v>67</v>
      </c>
      <c r="P2660" s="2" t="s">
        <v>394</v>
      </c>
      <c r="Q2660">
        <v>1</v>
      </c>
      <c r="R2660" t="s">
        <v>391</v>
      </c>
      <c r="S2660" s="1">
        <f>electric_vehicles_dataset[[#This Row],[Units_Sold_2024]]*electric_vehicles_dataset[[#This Row],[Price_USD]]</f>
        <v>362377734.78000003</v>
      </c>
      <c r="T2660">
        <v>5</v>
      </c>
      <c r="U2660">
        <v>3858</v>
      </c>
      <c r="V2660">
        <v>4</v>
      </c>
    </row>
    <row r="2661" spans="1:22" x14ac:dyDescent="0.35">
      <c r="A2661">
        <v>2660</v>
      </c>
      <c r="B2661" t="s">
        <v>41</v>
      </c>
      <c r="C2661" t="s">
        <v>148</v>
      </c>
      <c r="D2661">
        <v>2024</v>
      </c>
      <c r="E2661" t="s">
        <v>101</v>
      </c>
      <c r="F2661">
        <v>134.19999999999999</v>
      </c>
      <c r="G2661" t="s">
        <v>352</v>
      </c>
      <c r="H2661">
        <f>electric_vehicles_dataset[[#This Row],[Battery_Capacity_kWh]]/electric_vehicles_dataset[[#This Row],[Range_km]]</f>
        <v>0.76249999999999996</v>
      </c>
      <c r="I2661">
        <v>176</v>
      </c>
      <c r="J2661" t="s">
        <v>85</v>
      </c>
      <c r="K2661">
        <v>3</v>
      </c>
      <c r="L2661" s="1">
        <v>144668.51</v>
      </c>
      <c r="M2661" s="1" t="str" cm="1">
        <f t="array" ref="M266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61" t="s">
        <v>229</v>
      </c>
      <c r="O2661" t="s">
        <v>50</v>
      </c>
      <c r="P2661" s="2" t="s">
        <v>396</v>
      </c>
      <c r="Q2661">
        <v>3</v>
      </c>
      <c r="R2661" t="s">
        <v>397</v>
      </c>
      <c r="S2661" s="1">
        <f>electric_vehicles_dataset[[#This Row],[Units_Sold_2024]]*electric_vehicles_dataset[[#This Row],[Price_USD]]</f>
        <v>1015283603.1800001</v>
      </c>
      <c r="T2661">
        <v>4</v>
      </c>
      <c r="U2661">
        <v>7018</v>
      </c>
      <c r="V2661">
        <v>5</v>
      </c>
    </row>
    <row r="2662" spans="1:22" x14ac:dyDescent="0.35">
      <c r="A2662">
        <v>2661</v>
      </c>
      <c r="B2662" t="s">
        <v>243</v>
      </c>
      <c r="C2662" t="s">
        <v>371</v>
      </c>
      <c r="D2662">
        <v>2016</v>
      </c>
      <c r="E2662" t="s">
        <v>42</v>
      </c>
      <c r="F2662">
        <v>42.7</v>
      </c>
      <c r="G2662" t="s">
        <v>348</v>
      </c>
      <c r="H2662">
        <f>electric_vehicles_dataset[[#This Row],[Battery_Capacity_kWh]]/electric_vehicles_dataset[[#This Row],[Range_km]]</f>
        <v>0.1274626865671642</v>
      </c>
      <c r="I2662">
        <v>335</v>
      </c>
      <c r="J2662" t="s">
        <v>48</v>
      </c>
      <c r="K2662">
        <v>12</v>
      </c>
      <c r="L2662" s="1">
        <v>61344.68</v>
      </c>
      <c r="M2662" s="1" t="str" cm="1">
        <f t="array" ref="M266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62" t="s">
        <v>55</v>
      </c>
      <c r="O2662" t="s">
        <v>134</v>
      </c>
      <c r="P2662" s="2" t="s">
        <v>389</v>
      </c>
      <c r="Q2662">
        <v>3</v>
      </c>
      <c r="R2662" t="s">
        <v>397</v>
      </c>
      <c r="S2662" s="1">
        <f>electric_vehicles_dataset[[#This Row],[Units_Sold_2024]]*electric_vehicles_dataset[[#This Row],[Price_USD]]</f>
        <v>405120266.72000003</v>
      </c>
      <c r="T2662">
        <v>3</v>
      </c>
      <c r="U2662">
        <v>6604</v>
      </c>
      <c r="V2662">
        <v>4</v>
      </c>
    </row>
    <row r="2663" spans="1:22" x14ac:dyDescent="0.35">
      <c r="A2663">
        <v>2662</v>
      </c>
      <c r="B2663" t="s">
        <v>224</v>
      </c>
      <c r="C2663" t="s">
        <v>303</v>
      </c>
      <c r="D2663">
        <v>2018</v>
      </c>
      <c r="E2663" t="s">
        <v>17</v>
      </c>
      <c r="F2663">
        <v>83.7</v>
      </c>
      <c r="G2663" t="s">
        <v>350</v>
      </c>
      <c r="H2663">
        <f>electric_vehicles_dataset[[#This Row],[Battery_Capacity_kWh]]/electric_vehicles_dataset[[#This Row],[Range_km]]</f>
        <v>0.36391304347826087</v>
      </c>
      <c r="I2663">
        <v>230</v>
      </c>
      <c r="J2663" t="s">
        <v>85</v>
      </c>
      <c r="K2663">
        <v>11</v>
      </c>
      <c r="L2663" s="1">
        <v>42147.78</v>
      </c>
      <c r="M2663" s="1" t="str" cm="1">
        <f t="array" ref="M266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63" t="s">
        <v>127</v>
      </c>
      <c r="O2663" t="s">
        <v>44</v>
      </c>
      <c r="P2663" s="2" t="s">
        <v>389</v>
      </c>
      <c r="Q2663">
        <v>3</v>
      </c>
      <c r="R2663" t="s">
        <v>397</v>
      </c>
      <c r="S2663" s="1">
        <f>electric_vehicles_dataset[[#This Row],[Units_Sold_2024]]*electric_vehicles_dataset[[#This Row],[Price_USD]]</f>
        <v>820237946.57999992</v>
      </c>
      <c r="T2663">
        <v>4</v>
      </c>
      <c r="U2663">
        <v>19461</v>
      </c>
      <c r="V2663">
        <v>3</v>
      </c>
    </row>
    <row r="2664" spans="1:22" x14ac:dyDescent="0.35">
      <c r="A2664">
        <v>2663</v>
      </c>
      <c r="B2664" t="s">
        <v>173</v>
      </c>
      <c r="C2664" t="s">
        <v>174</v>
      </c>
      <c r="D2664">
        <v>2016</v>
      </c>
      <c r="E2664" t="s">
        <v>104</v>
      </c>
      <c r="F2664">
        <v>104.4</v>
      </c>
      <c r="G2664" t="s">
        <v>361</v>
      </c>
      <c r="H2664">
        <f>electric_vehicles_dataset[[#This Row],[Battery_Capacity_kWh]]/electric_vehicles_dataset[[#This Row],[Range_km]]</f>
        <v>0.31351351351351353</v>
      </c>
      <c r="I2664">
        <v>333</v>
      </c>
      <c r="J2664" t="s">
        <v>364</v>
      </c>
      <c r="K2664">
        <v>8</v>
      </c>
      <c r="L2664" s="1">
        <v>103973.21</v>
      </c>
      <c r="M2664" s="1" t="str" cm="1">
        <f t="array" ref="M266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64" t="s">
        <v>240</v>
      </c>
      <c r="O2664" t="s">
        <v>50</v>
      </c>
      <c r="P2664" s="2" t="s">
        <v>396</v>
      </c>
      <c r="Q2664">
        <v>3</v>
      </c>
      <c r="R2664" t="s">
        <v>397</v>
      </c>
      <c r="S2664" s="1">
        <f>electric_vehicles_dataset[[#This Row],[Units_Sold_2024]]*electric_vehicles_dataset[[#This Row],[Price_USD]]</f>
        <v>463096677.34000003</v>
      </c>
      <c r="T2664">
        <v>5</v>
      </c>
      <c r="U2664">
        <v>4454</v>
      </c>
      <c r="V2664">
        <v>5</v>
      </c>
    </row>
    <row r="2665" spans="1:22" x14ac:dyDescent="0.35">
      <c r="A2665">
        <v>2664</v>
      </c>
      <c r="B2665" t="s">
        <v>170</v>
      </c>
      <c r="C2665" t="s">
        <v>218</v>
      </c>
      <c r="D2665">
        <v>2018</v>
      </c>
      <c r="E2665" t="s">
        <v>26</v>
      </c>
      <c r="F2665">
        <v>137.5</v>
      </c>
      <c r="G2665" t="s">
        <v>352</v>
      </c>
      <c r="H2665">
        <f>electric_vehicles_dataset[[#This Row],[Battery_Capacity_kWh]]/electric_vehicles_dataset[[#This Row],[Range_km]]</f>
        <v>0.26803118908382068</v>
      </c>
      <c r="I2665">
        <v>513</v>
      </c>
      <c r="J2665" t="s">
        <v>76</v>
      </c>
      <c r="K2665">
        <v>10</v>
      </c>
      <c r="L2665" s="1">
        <v>98961.34</v>
      </c>
      <c r="M2665" s="1" t="str" cm="1">
        <f t="array" ref="M266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65" t="s">
        <v>91</v>
      </c>
      <c r="O2665" t="s">
        <v>354</v>
      </c>
      <c r="P2665" s="2" t="s">
        <v>394</v>
      </c>
      <c r="Q2665">
        <v>4</v>
      </c>
      <c r="R2665" t="s">
        <v>392</v>
      </c>
      <c r="S2665" s="1">
        <f>electric_vehicles_dataset[[#This Row],[Units_Sold_2024]]*electric_vehicles_dataset[[#This Row],[Price_USD]]</f>
        <v>1282044159.7</v>
      </c>
      <c r="T2665">
        <v>3</v>
      </c>
      <c r="U2665">
        <v>12955</v>
      </c>
      <c r="V2665">
        <v>4</v>
      </c>
    </row>
    <row r="2666" spans="1:22" x14ac:dyDescent="0.35">
      <c r="A2666">
        <v>2665</v>
      </c>
      <c r="B2666" t="s">
        <v>68</v>
      </c>
      <c r="C2666" t="s">
        <v>103</v>
      </c>
      <c r="D2666">
        <v>2022</v>
      </c>
      <c r="E2666" t="s">
        <v>31</v>
      </c>
      <c r="F2666">
        <v>79.8</v>
      </c>
      <c r="G2666" t="s">
        <v>351</v>
      </c>
      <c r="H2666">
        <f>electric_vehicles_dataset[[#This Row],[Battery_Capacity_kWh]]/electric_vehicles_dataset[[#This Row],[Range_km]]</f>
        <v>0.2870503597122302</v>
      </c>
      <c r="I2666">
        <v>278</v>
      </c>
      <c r="J2666" t="s">
        <v>345</v>
      </c>
      <c r="K2666">
        <v>2</v>
      </c>
      <c r="L2666" s="1">
        <v>92468.58</v>
      </c>
      <c r="M2666" s="1" t="str" cm="1">
        <f t="array" ref="M266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66" t="s">
        <v>238</v>
      </c>
      <c r="O2666" t="s">
        <v>93</v>
      </c>
      <c r="P2666" s="2" t="s">
        <v>389</v>
      </c>
      <c r="Q2666">
        <v>5</v>
      </c>
      <c r="R2666" t="s">
        <v>392</v>
      </c>
      <c r="S2666" s="1">
        <f>electric_vehicles_dataset[[#This Row],[Units_Sold_2024]]*electric_vehicles_dataset[[#This Row],[Price_USD]]</f>
        <v>1766427283.74</v>
      </c>
      <c r="T2666">
        <v>4</v>
      </c>
      <c r="U2666">
        <v>19103</v>
      </c>
      <c r="V2666">
        <v>3</v>
      </c>
    </row>
    <row r="2667" spans="1:22" x14ac:dyDescent="0.35">
      <c r="A2667">
        <v>2666</v>
      </c>
      <c r="B2667" t="s">
        <v>200</v>
      </c>
      <c r="C2667" t="s">
        <v>338</v>
      </c>
      <c r="D2667">
        <v>2020</v>
      </c>
      <c r="E2667" t="s">
        <v>58</v>
      </c>
      <c r="F2667">
        <v>33.299999999999997</v>
      </c>
      <c r="G2667" t="s">
        <v>357</v>
      </c>
      <c r="H2667">
        <f>electric_vehicles_dataset[[#This Row],[Battery_Capacity_kWh]]/electric_vehicles_dataset[[#This Row],[Range_km]]</f>
        <v>6.0108303249097467E-2</v>
      </c>
      <c r="I2667">
        <v>554</v>
      </c>
      <c r="J2667" t="s">
        <v>364</v>
      </c>
      <c r="K2667">
        <v>3</v>
      </c>
      <c r="L2667" s="1">
        <v>54897.26</v>
      </c>
      <c r="M2667" s="1" t="str" cm="1">
        <f t="array" ref="M266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67" t="s">
        <v>175</v>
      </c>
      <c r="O2667" t="s">
        <v>135</v>
      </c>
      <c r="P2667" s="2" t="s">
        <v>389</v>
      </c>
      <c r="Q2667">
        <v>1</v>
      </c>
      <c r="R2667" t="s">
        <v>391</v>
      </c>
      <c r="S2667" s="1">
        <f>electric_vehicles_dataset[[#This Row],[Units_Sold_2024]]*electric_vehicles_dataset[[#This Row],[Price_USD]]</f>
        <v>320380409.36000001</v>
      </c>
      <c r="T2667">
        <v>3</v>
      </c>
      <c r="U2667">
        <v>5836</v>
      </c>
      <c r="V2667">
        <v>4</v>
      </c>
    </row>
    <row r="2668" spans="1:22" x14ac:dyDescent="0.35">
      <c r="A2668">
        <v>2667</v>
      </c>
      <c r="B2668" t="s">
        <v>36</v>
      </c>
      <c r="C2668" t="s">
        <v>324</v>
      </c>
      <c r="D2668">
        <v>2019</v>
      </c>
      <c r="E2668" t="s">
        <v>47</v>
      </c>
      <c r="F2668">
        <v>128.19999999999999</v>
      </c>
      <c r="G2668" t="s">
        <v>352</v>
      </c>
      <c r="H2668">
        <f>electric_vehicles_dataset[[#This Row],[Battery_Capacity_kWh]]/electric_vehicles_dataset[[#This Row],[Range_km]]</f>
        <v>0.24844961240310076</v>
      </c>
      <c r="I2668">
        <v>516</v>
      </c>
      <c r="J2668" t="s">
        <v>54</v>
      </c>
      <c r="K2668">
        <v>9</v>
      </c>
      <c r="L2668" s="1">
        <v>135222.82</v>
      </c>
      <c r="M2668" s="1" t="str" cm="1">
        <f t="array" ref="M266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68" t="s">
        <v>177</v>
      </c>
      <c r="O2668" t="s">
        <v>124</v>
      </c>
      <c r="P2668" s="2" t="s">
        <v>389</v>
      </c>
      <c r="Q2668">
        <v>1</v>
      </c>
      <c r="R2668" t="s">
        <v>391</v>
      </c>
      <c r="S2668" s="1">
        <f>electric_vehicles_dataset[[#This Row],[Units_Sold_2024]]*electric_vehicles_dataset[[#This Row],[Price_USD]]</f>
        <v>147798542.26000002</v>
      </c>
      <c r="T2668">
        <v>3</v>
      </c>
      <c r="U2668">
        <v>1093</v>
      </c>
      <c r="V2668">
        <v>5</v>
      </c>
    </row>
    <row r="2669" spans="1:22" x14ac:dyDescent="0.35">
      <c r="A2669">
        <v>2668</v>
      </c>
      <c r="B2669" t="s">
        <v>173</v>
      </c>
      <c r="C2669" t="s">
        <v>249</v>
      </c>
      <c r="D2669">
        <v>2023</v>
      </c>
      <c r="E2669" t="s">
        <v>183</v>
      </c>
      <c r="F2669">
        <v>61.8</v>
      </c>
      <c r="G2669" t="s">
        <v>351</v>
      </c>
      <c r="H2669">
        <f>electric_vehicles_dataset[[#This Row],[Battery_Capacity_kWh]]/electric_vehicles_dataset[[#This Row],[Range_km]]</f>
        <v>0.13434782608695653</v>
      </c>
      <c r="I2669">
        <v>460</v>
      </c>
      <c r="J2669" t="s">
        <v>356</v>
      </c>
      <c r="K2669">
        <v>1</v>
      </c>
      <c r="L2669" s="1">
        <v>122176.3</v>
      </c>
      <c r="M2669" s="1" t="str" cm="1">
        <f t="array" ref="M266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69" t="s">
        <v>62</v>
      </c>
      <c r="O2669" t="s">
        <v>182</v>
      </c>
      <c r="P2669" s="2" t="s">
        <v>394</v>
      </c>
      <c r="Q2669">
        <v>4</v>
      </c>
      <c r="R2669" t="s">
        <v>392</v>
      </c>
      <c r="S2669" s="1">
        <f>electric_vehicles_dataset[[#This Row],[Units_Sold_2024]]*electric_vehicles_dataset[[#This Row],[Price_USD]]</f>
        <v>47770933.300000004</v>
      </c>
      <c r="T2669">
        <v>4</v>
      </c>
      <c r="U2669">
        <v>391</v>
      </c>
      <c r="V2669">
        <v>5</v>
      </c>
    </row>
    <row r="2670" spans="1:22" x14ac:dyDescent="0.35">
      <c r="A2670">
        <v>2669</v>
      </c>
      <c r="B2670" t="s">
        <v>243</v>
      </c>
      <c r="C2670" t="s">
        <v>371</v>
      </c>
      <c r="D2670">
        <v>2023</v>
      </c>
      <c r="E2670" t="s">
        <v>31</v>
      </c>
      <c r="F2670">
        <v>82.4</v>
      </c>
      <c r="G2670" t="s">
        <v>350</v>
      </c>
      <c r="H2670">
        <f>electric_vehicles_dataset[[#This Row],[Battery_Capacity_kWh]]/electric_vehicles_dataset[[#This Row],[Range_km]]</f>
        <v>0.44301075268817208</v>
      </c>
      <c r="I2670">
        <v>186</v>
      </c>
      <c r="J2670" t="s">
        <v>48</v>
      </c>
      <c r="K2670">
        <v>3</v>
      </c>
      <c r="L2670" s="1">
        <v>148492.54</v>
      </c>
      <c r="M2670" s="1" t="str" cm="1">
        <f t="array" ref="M267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70" t="s">
        <v>196</v>
      </c>
      <c r="O2670" t="s">
        <v>354</v>
      </c>
      <c r="P2670" s="2" t="s">
        <v>394</v>
      </c>
      <c r="Q2670">
        <v>3</v>
      </c>
      <c r="R2670" t="s">
        <v>397</v>
      </c>
      <c r="S2670" s="1">
        <f>electric_vehicles_dataset[[#This Row],[Units_Sold_2024]]*electric_vehicles_dataset[[#This Row],[Price_USD]]</f>
        <v>2900207798.7400002</v>
      </c>
      <c r="T2670">
        <v>5</v>
      </c>
      <c r="U2670">
        <v>19531</v>
      </c>
      <c r="V2670">
        <v>3</v>
      </c>
    </row>
    <row r="2671" spans="1:22" x14ac:dyDescent="0.35">
      <c r="A2671">
        <v>2670</v>
      </c>
      <c r="B2671" t="s">
        <v>96</v>
      </c>
      <c r="C2671" t="s">
        <v>292</v>
      </c>
      <c r="D2671">
        <v>2020</v>
      </c>
      <c r="E2671" t="s">
        <v>58</v>
      </c>
      <c r="F2671">
        <v>101.2</v>
      </c>
      <c r="G2671" t="s">
        <v>361</v>
      </c>
      <c r="H2671">
        <f>electric_vehicles_dataset[[#This Row],[Battery_Capacity_kWh]]/electric_vehicles_dataset[[#This Row],[Range_km]]</f>
        <v>0.73333333333333339</v>
      </c>
      <c r="I2671">
        <v>138</v>
      </c>
      <c r="J2671" t="s">
        <v>345</v>
      </c>
      <c r="K2671">
        <v>10</v>
      </c>
      <c r="L2671" s="1">
        <v>66191.53</v>
      </c>
      <c r="M2671" s="1" t="str" cm="1">
        <f t="array" ref="M267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71" t="s">
        <v>66</v>
      </c>
      <c r="O2671" t="s">
        <v>139</v>
      </c>
      <c r="P2671" s="2" t="s">
        <v>389</v>
      </c>
      <c r="Q2671">
        <v>1</v>
      </c>
      <c r="R2671" t="s">
        <v>391</v>
      </c>
      <c r="S2671" s="1">
        <f>electric_vehicles_dataset[[#This Row],[Units_Sold_2024]]*electric_vehicles_dataset[[#This Row],[Price_USD]]</f>
        <v>603600562.06999993</v>
      </c>
      <c r="T2671">
        <v>5</v>
      </c>
      <c r="U2671">
        <v>9119</v>
      </c>
      <c r="V2671">
        <v>5</v>
      </c>
    </row>
    <row r="2672" spans="1:22" x14ac:dyDescent="0.35">
      <c r="A2672">
        <v>2671</v>
      </c>
      <c r="B2672" t="s">
        <v>96</v>
      </c>
      <c r="C2672" t="s">
        <v>97</v>
      </c>
      <c r="D2672">
        <v>2018</v>
      </c>
      <c r="E2672" t="s">
        <v>47</v>
      </c>
      <c r="F2672">
        <v>36</v>
      </c>
      <c r="G2672" t="s">
        <v>357</v>
      </c>
      <c r="H2672">
        <f>electric_vehicles_dataset[[#This Row],[Battery_Capacity_kWh]]/electric_vehicles_dataset[[#This Row],[Range_km]]</f>
        <v>0.16822429906542055</v>
      </c>
      <c r="I2672">
        <v>214</v>
      </c>
      <c r="J2672" t="s">
        <v>359</v>
      </c>
      <c r="K2672">
        <v>6</v>
      </c>
      <c r="L2672" s="1">
        <v>110537.2</v>
      </c>
      <c r="M2672" s="1" t="str" cm="1">
        <f t="array" ref="M267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72" t="s">
        <v>59</v>
      </c>
      <c r="O2672" t="s">
        <v>134</v>
      </c>
      <c r="P2672" s="2" t="s">
        <v>389</v>
      </c>
      <c r="Q2672">
        <v>2</v>
      </c>
      <c r="R2672" t="s">
        <v>391</v>
      </c>
      <c r="S2672" s="1">
        <f>electric_vehicles_dataset[[#This Row],[Units_Sold_2024]]*electric_vehicles_dataset[[#This Row],[Price_USD]]</f>
        <v>1592288366</v>
      </c>
      <c r="T2672">
        <v>3</v>
      </c>
      <c r="U2672">
        <v>14405</v>
      </c>
      <c r="V2672">
        <v>4</v>
      </c>
    </row>
    <row r="2673" spans="1:22" x14ac:dyDescent="0.35">
      <c r="A2673">
        <v>2672</v>
      </c>
      <c r="B2673" t="s">
        <v>79</v>
      </c>
      <c r="C2673" t="s">
        <v>267</v>
      </c>
      <c r="D2673">
        <v>2020</v>
      </c>
      <c r="E2673" t="s">
        <v>53</v>
      </c>
      <c r="F2673">
        <v>50.2</v>
      </c>
      <c r="G2673" t="s">
        <v>348</v>
      </c>
      <c r="H2673">
        <f>electric_vehicles_dataset[[#This Row],[Battery_Capacity_kWh]]/electric_vehicles_dataset[[#This Row],[Range_km]]</f>
        <v>0.17801418439716313</v>
      </c>
      <c r="I2673">
        <v>282</v>
      </c>
      <c r="J2673" t="s">
        <v>38</v>
      </c>
      <c r="K2673">
        <v>8</v>
      </c>
      <c r="L2673" s="1">
        <v>90924.66</v>
      </c>
      <c r="M2673" s="1" t="str" cm="1">
        <f t="array" ref="M267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73" t="s">
        <v>131</v>
      </c>
      <c r="O2673" t="s">
        <v>124</v>
      </c>
      <c r="P2673" s="2" t="s">
        <v>389</v>
      </c>
      <c r="Q2673">
        <v>4</v>
      </c>
      <c r="R2673" t="s">
        <v>392</v>
      </c>
      <c r="S2673" s="1">
        <f>electric_vehicles_dataset[[#This Row],[Units_Sold_2024]]*electric_vehicles_dataset[[#This Row],[Price_USD]]</f>
        <v>81650344.680000007</v>
      </c>
      <c r="T2673">
        <v>5</v>
      </c>
      <c r="U2673">
        <v>898</v>
      </c>
      <c r="V2673">
        <v>5</v>
      </c>
    </row>
    <row r="2674" spans="1:22" x14ac:dyDescent="0.35">
      <c r="A2674">
        <v>2673</v>
      </c>
      <c r="B2674" t="s">
        <v>21</v>
      </c>
      <c r="C2674" t="s">
        <v>349</v>
      </c>
      <c r="D2674">
        <v>2024</v>
      </c>
      <c r="E2674" t="s">
        <v>73</v>
      </c>
      <c r="F2674">
        <v>117</v>
      </c>
      <c r="G2674" t="s">
        <v>361</v>
      </c>
      <c r="H2674">
        <f>electric_vehicles_dataset[[#This Row],[Battery_Capacity_kWh]]/electric_vehicles_dataset[[#This Row],[Range_km]]</f>
        <v>0.32142857142857145</v>
      </c>
      <c r="I2674">
        <v>364</v>
      </c>
      <c r="J2674" t="s">
        <v>38</v>
      </c>
      <c r="K2674">
        <v>1</v>
      </c>
      <c r="L2674" s="1">
        <v>141657.62</v>
      </c>
      <c r="M2674" s="1" t="str" cm="1">
        <f t="array" ref="M267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74" t="s">
        <v>254</v>
      </c>
      <c r="O2674" t="s">
        <v>107</v>
      </c>
      <c r="P2674" s="2" t="s">
        <v>394</v>
      </c>
      <c r="Q2674">
        <v>3</v>
      </c>
      <c r="R2674" t="s">
        <v>397</v>
      </c>
      <c r="S2674" s="1">
        <f>electric_vehicles_dataset[[#This Row],[Units_Sold_2024]]*electric_vehicles_dataset[[#This Row],[Price_USD]]</f>
        <v>1581040696.8199999</v>
      </c>
      <c r="T2674">
        <v>3</v>
      </c>
      <c r="U2674">
        <v>11161</v>
      </c>
      <c r="V2674">
        <v>5</v>
      </c>
    </row>
    <row r="2675" spans="1:22" x14ac:dyDescent="0.35">
      <c r="A2675">
        <v>2674</v>
      </c>
      <c r="B2675" t="s">
        <v>262</v>
      </c>
      <c r="C2675" t="s">
        <v>373</v>
      </c>
      <c r="D2675">
        <v>2018</v>
      </c>
      <c r="E2675" t="s">
        <v>130</v>
      </c>
      <c r="F2675">
        <v>29.1</v>
      </c>
      <c r="G2675" t="s">
        <v>357</v>
      </c>
      <c r="H2675">
        <f>electric_vehicles_dataset[[#This Row],[Battery_Capacity_kWh]]/electric_vehicles_dataset[[#This Row],[Range_km]]</f>
        <v>0.1003448275862069</v>
      </c>
      <c r="I2675">
        <v>290</v>
      </c>
      <c r="J2675" t="s">
        <v>358</v>
      </c>
      <c r="K2675">
        <v>9</v>
      </c>
      <c r="L2675" s="1">
        <v>42037.78</v>
      </c>
      <c r="M2675" s="1" t="str" cm="1">
        <f t="array" ref="M267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75" t="s">
        <v>77</v>
      </c>
      <c r="O2675" t="s">
        <v>78</v>
      </c>
      <c r="P2675" s="2" t="s">
        <v>389</v>
      </c>
      <c r="Q2675">
        <v>0</v>
      </c>
      <c r="R2675" t="s">
        <v>390</v>
      </c>
      <c r="S2675" s="1">
        <f>electric_vehicles_dataset[[#This Row],[Units_Sold_2024]]*electric_vehicles_dataset[[#This Row],[Price_USD]]</f>
        <v>566080745.48000002</v>
      </c>
      <c r="T2675">
        <v>4</v>
      </c>
      <c r="U2675">
        <v>13466</v>
      </c>
      <c r="V2675">
        <v>4</v>
      </c>
    </row>
    <row r="2676" spans="1:22" x14ac:dyDescent="0.35">
      <c r="A2676">
        <v>2675</v>
      </c>
      <c r="B2676" t="s">
        <v>94</v>
      </c>
      <c r="C2676" t="s">
        <v>294</v>
      </c>
      <c r="D2676">
        <v>2015</v>
      </c>
      <c r="E2676" t="s">
        <v>73</v>
      </c>
      <c r="F2676">
        <v>135.69999999999999</v>
      </c>
      <c r="G2676" t="s">
        <v>352</v>
      </c>
      <c r="H2676">
        <f>electric_vehicles_dataset[[#This Row],[Battery_Capacity_kWh]]/electric_vehicles_dataset[[#This Row],[Range_km]]</f>
        <v>0.29693654266958425</v>
      </c>
      <c r="I2676">
        <v>457</v>
      </c>
      <c r="J2676" t="s">
        <v>34</v>
      </c>
      <c r="K2676">
        <v>3</v>
      </c>
      <c r="L2676" s="1">
        <v>138650.57</v>
      </c>
      <c r="M2676" s="1" t="str" cm="1">
        <f t="array" ref="M267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76" t="s">
        <v>143</v>
      </c>
      <c r="O2676" t="s">
        <v>93</v>
      </c>
      <c r="P2676" s="2" t="s">
        <v>389</v>
      </c>
      <c r="Q2676">
        <v>0</v>
      </c>
      <c r="R2676" t="s">
        <v>390</v>
      </c>
      <c r="S2676" s="1">
        <f>electric_vehicles_dataset[[#This Row],[Units_Sold_2024]]*electric_vehicles_dataset[[#This Row],[Price_USD]]</f>
        <v>2681779324.9400001</v>
      </c>
      <c r="T2676">
        <v>3</v>
      </c>
      <c r="U2676">
        <v>19342</v>
      </c>
      <c r="V2676">
        <v>4</v>
      </c>
    </row>
    <row r="2677" spans="1:22" x14ac:dyDescent="0.35">
      <c r="A2677">
        <v>2676</v>
      </c>
      <c r="B2677" t="s">
        <v>313</v>
      </c>
      <c r="C2677" t="s">
        <v>314</v>
      </c>
      <c r="D2677">
        <v>2015</v>
      </c>
      <c r="E2677" t="s">
        <v>90</v>
      </c>
      <c r="F2677">
        <v>51.8</v>
      </c>
      <c r="G2677" t="s">
        <v>348</v>
      </c>
      <c r="H2677">
        <f>electric_vehicles_dataset[[#This Row],[Battery_Capacity_kWh]]/electric_vehicles_dataset[[#This Row],[Range_km]]</f>
        <v>0.2526829268292683</v>
      </c>
      <c r="I2677">
        <v>205</v>
      </c>
      <c r="J2677" t="s">
        <v>48</v>
      </c>
      <c r="K2677">
        <v>10</v>
      </c>
      <c r="L2677" s="1">
        <v>60676.04</v>
      </c>
      <c r="M2677" s="1" t="str" cm="1">
        <f t="array" ref="M267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77" t="s">
        <v>279</v>
      </c>
      <c r="O2677" t="s">
        <v>159</v>
      </c>
      <c r="P2677" s="2" t="s">
        <v>389</v>
      </c>
      <c r="Q2677">
        <v>4</v>
      </c>
      <c r="R2677" t="s">
        <v>392</v>
      </c>
      <c r="S2677" s="1">
        <f>electric_vehicles_dataset[[#This Row],[Units_Sold_2024]]*electric_vehicles_dataset[[#This Row],[Price_USD]]</f>
        <v>965537824.51999998</v>
      </c>
      <c r="T2677">
        <v>3</v>
      </c>
      <c r="U2677">
        <v>15913</v>
      </c>
      <c r="V2677">
        <v>5</v>
      </c>
    </row>
    <row r="2678" spans="1:22" x14ac:dyDescent="0.35">
      <c r="A2678">
        <v>2677</v>
      </c>
      <c r="B2678" t="s">
        <v>16</v>
      </c>
      <c r="C2678" t="s">
        <v>347</v>
      </c>
      <c r="D2678">
        <v>2015</v>
      </c>
      <c r="E2678" t="s">
        <v>42</v>
      </c>
      <c r="F2678">
        <v>32.700000000000003</v>
      </c>
      <c r="G2678" t="s">
        <v>357</v>
      </c>
      <c r="H2678">
        <f>electric_vehicles_dataset[[#This Row],[Battery_Capacity_kWh]]/electric_vehicles_dataset[[#This Row],[Range_km]]</f>
        <v>8.7200000000000014E-2</v>
      </c>
      <c r="I2678">
        <v>375</v>
      </c>
      <c r="J2678" t="s">
        <v>18</v>
      </c>
      <c r="K2678">
        <v>11</v>
      </c>
      <c r="L2678" s="1">
        <v>137538.74</v>
      </c>
      <c r="M2678" s="1" t="str" cm="1">
        <f t="array" ref="M26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78" t="s">
        <v>179</v>
      </c>
      <c r="O2678" t="s">
        <v>33</v>
      </c>
      <c r="P2678" s="2" t="s">
        <v>393</v>
      </c>
      <c r="Q2678">
        <v>0</v>
      </c>
      <c r="R2678" t="s">
        <v>390</v>
      </c>
      <c r="S2678" s="1">
        <f>electric_vehicles_dataset[[#This Row],[Units_Sold_2024]]*electric_vehicles_dataset[[#This Row],[Price_USD]]</f>
        <v>822481665.19999993</v>
      </c>
      <c r="T2678">
        <v>4</v>
      </c>
      <c r="U2678">
        <v>5980</v>
      </c>
      <c r="V2678">
        <v>4</v>
      </c>
    </row>
    <row r="2679" spans="1:22" x14ac:dyDescent="0.35">
      <c r="A2679">
        <v>2678</v>
      </c>
      <c r="B2679" t="s">
        <v>96</v>
      </c>
      <c r="C2679" t="s">
        <v>97</v>
      </c>
      <c r="D2679">
        <v>2019</v>
      </c>
      <c r="E2679" t="s">
        <v>101</v>
      </c>
      <c r="F2679">
        <v>58.8</v>
      </c>
      <c r="G2679" t="s">
        <v>348</v>
      </c>
      <c r="H2679">
        <f>electric_vehicles_dataset[[#This Row],[Battery_Capacity_kWh]]/electric_vehicles_dataset[[#This Row],[Range_km]]</f>
        <v>0.15233160621761657</v>
      </c>
      <c r="I2679">
        <v>386</v>
      </c>
      <c r="J2679" t="s">
        <v>105</v>
      </c>
      <c r="K2679">
        <v>11</v>
      </c>
      <c r="L2679" s="1">
        <v>59260.13</v>
      </c>
      <c r="M2679" s="1" t="str" cm="1">
        <f t="array" ref="M267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79" t="s">
        <v>165</v>
      </c>
      <c r="O2679" t="s">
        <v>89</v>
      </c>
      <c r="P2679" s="2" t="s">
        <v>389</v>
      </c>
      <c r="Q2679">
        <v>0</v>
      </c>
      <c r="R2679" t="s">
        <v>390</v>
      </c>
      <c r="S2679" s="1">
        <f>electric_vehicles_dataset[[#This Row],[Units_Sold_2024]]*electric_vehicles_dataset[[#This Row],[Price_USD]]</f>
        <v>1117586791.6699998</v>
      </c>
      <c r="T2679">
        <v>3</v>
      </c>
      <c r="U2679">
        <v>18859</v>
      </c>
      <c r="V2679">
        <v>5</v>
      </c>
    </row>
    <row r="2680" spans="1:22" x14ac:dyDescent="0.35">
      <c r="A2680">
        <v>2679</v>
      </c>
      <c r="B2680" t="s">
        <v>157</v>
      </c>
      <c r="C2680" t="s">
        <v>296</v>
      </c>
      <c r="D2680">
        <v>2020</v>
      </c>
      <c r="E2680" t="s">
        <v>17</v>
      </c>
      <c r="F2680">
        <v>135.80000000000001</v>
      </c>
      <c r="G2680" t="s">
        <v>352</v>
      </c>
      <c r="H2680">
        <f>electric_vehicles_dataset[[#This Row],[Battery_Capacity_kWh]]/electric_vehicles_dataset[[#This Row],[Range_km]]</f>
        <v>0.45878378378378382</v>
      </c>
      <c r="I2680">
        <v>296</v>
      </c>
      <c r="J2680" t="s">
        <v>345</v>
      </c>
      <c r="K2680">
        <v>8</v>
      </c>
      <c r="L2680" s="1">
        <v>44357.65</v>
      </c>
      <c r="M2680" s="1" t="str" cm="1">
        <f t="array" ref="M26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80" t="s">
        <v>301</v>
      </c>
      <c r="O2680" t="s">
        <v>236</v>
      </c>
      <c r="P2680" s="2" t="s">
        <v>394</v>
      </c>
      <c r="Q2680">
        <v>5</v>
      </c>
      <c r="R2680" t="s">
        <v>392</v>
      </c>
      <c r="S2680" s="1">
        <f>electric_vehicles_dataset[[#This Row],[Units_Sold_2024]]*electric_vehicles_dataset[[#This Row],[Price_USD]]</f>
        <v>797550547</v>
      </c>
      <c r="T2680">
        <v>4</v>
      </c>
      <c r="U2680">
        <v>17980</v>
      </c>
      <c r="V2680">
        <v>5</v>
      </c>
    </row>
    <row r="2681" spans="1:22" x14ac:dyDescent="0.35">
      <c r="A2681">
        <v>2680</v>
      </c>
      <c r="B2681" t="s">
        <v>157</v>
      </c>
      <c r="C2681" t="s">
        <v>296</v>
      </c>
      <c r="D2681">
        <v>2018</v>
      </c>
      <c r="E2681" t="s">
        <v>104</v>
      </c>
      <c r="F2681">
        <v>110.4</v>
      </c>
      <c r="G2681" t="s">
        <v>361</v>
      </c>
      <c r="H2681">
        <f>electric_vehicles_dataset[[#This Row],[Battery_Capacity_kWh]]/electric_vehicles_dataset[[#This Row],[Range_km]]</f>
        <v>0.24052287581699347</v>
      </c>
      <c r="I2681">
        <v>459</v>
      </c>
      <c r="J2681" t="s">
        <v>38</v>
      </c>
      <c r="K2681">
        <v>1</v>
      </c>
      <c r="L2681" s="1">
        <v>147420.89000000001</v>
      </c>
      <c r="M2681" s="1" t="str" cm="1">
        <f t="array" ref="M268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81" t="s">
        <v>175</v>
      </c>
      <c r="O2681" t="s">
        <v>182</v>
      </c>
      <c r="P2681" s="2" t="s">
        <v>394</v>
      </c>
      <c r="Q2681">
        <v>3</v>
      </c>
      <c r="R2681" t="s">
        <v>397</v>
      </c>
      <c r="S2681" s="1">
        <f>electric_vehicles_dataset[[#This Row],[Units_Sold_2024]]*electric_vehicles_dataset[[#This Row],[Price_USD]]</f>
        <v>1270620650.9100001</v>
      </c>
      <c r="T2681">
        <v>5</v>
      </c>
      <c r="U2681">
        <v>8619</v>
      </c>
      <c r="V2681">
        <v>4</v>
      </c>
    </row>
    <row r="2682" spans="1:22" x14ac:dyDescent="0.35">
      <c r="A2682">
        <v>2681</v>
      </c>
      <c r="B2682" t="s">
        <v>56</v>
      </c>
      <c r="C2682" t="s">
        <v>57</v>
      </c>
      <c r="D2682">
        <v>2020</v>
      </c>
      <c r="E2682" t="s">
        <v>17</v>
      </c>
      <c r="F2682">
        <v>78.099999999999994</v>
      </c>
      <c r="G2682" t="s">
        <v>351</v>
      </c>
      <c r="H2682">
        <f>electric_vehicles_dataset[[#This Row],[Battery_Capacity_kWh]]/electric_vehicles_dataset[[#This Row],[Range_km]]</f>
        <v>0.16270833333333332</v>
      </c>
      <c r="I2682">
        <v>480</v>
      </c>
      <c r="J2682" t="s">
        <v>364</v>
      </c>
      <c r="K2682">
        <v>10</v>
      </c>
      <c r="L2682" s="1">
        <v>83671.520000000004</v>
      </c>
      <c r="M2682" s="1" t="str" cm="1">
        <f t="array" ref="M268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82" t="s">
        <v>179</v>
      </c>
      <c r="O2682" t="s">
        <v>86</v>
      </c>
      <c r="P2682" s="2" t="s">
        <v>389</v>
      </c>
      <c r="Q2682">
        <v>3</v>
      </c>
      <c r="R2682" t="s">
        <v>397</v>
      </c>
      <c r="S2682" s="1">
        <f>electric_vehicles_dataset[[#This Row],[Units_Sold_2024]]*electric_vehicles_dataset[[#This Row],[Price_USD]]</f>
        <v>991256497.44000006</v>
      </c>
      <c r="T2682">
        <v>4</v>
      </c>
      <c r="U2682">
        <v>11847</v>
      </c>
      <c r="V2682">
        <v>3</v>
      </c>
    </row>
    <row r="2683" spans="1:22" x14ac:dyDescent="0.35">
      <c r="A2683">
        <v>2682</v>
      </c>
      <c r="B2683" t="s">
        <v>187</v>
      </c>
      <c r="C2683" t="s">
        <v>320</v>
      </c>
      <c r="D2683">
        <v>2025</v>
      </c>
      <c r="E2683" t="s">
        <v>104</v>
      </c>
      <c r="F2683">
        <v>74.599999999999994</v>
      </c>
      <c r="G2683" t="s">
        <v>351</v>
      </c>
      <c r="H2683">
        <f>electric_vehicles_dataset[[#This Row],[Battery_Capacity_kWh]]/electric_vehicles_dataset[[#This Row],[Range_km]]</f>
        <v>0.1468503937007874</v>
      </c>
      <c r="I2683">
        <v>508</v>
      </c>
      <c r="J2683" t="s">
        <v>105</v>
      </c>
      <c r="K2683">
        <v>1</v>
      </c>
      <c r="L2683" s="1">
        <v>124447.66</v>
      </c>
      <c r="M2683" s="1" t="str" cm="1">
        <f t="array" ref="M268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83" t="s">
        <v>279</v>
      </c>
      <c r="O2683" t="s">
        <v>147</v>
      </c>
      <c r="P2683" s="2" t="s">
        <v>396</v>
      </c>
      <c r="Q2683">
        <v>5</v>
      </c>
      <c r="R2683" t="s">
        <v>392</v>
      </c>
      <c r="S2683" s="1">
        <f>electric_vehicles_dataset[[#This Row],[Units_Sold_2024]]*electric_vehicles_dataset[[#This Row],[Price_USD]]</f>
        <v>2433449543.6399999</v>
      </c>
      <c r="T2683">
        <v>5</v>
      </c>
      <c r="U2683">
        <v>19554</v>
      </c>
      <c r="V2683">
        <v>5</v>
      </c>
    </row>
    <row r="2684" spans="1:22" x14ac:dyDescent="0.35">
      <c r="A2684">
        <v>2683</v>
      </c>
      <c r="B2684" t="s">
        <v>87</v>
      </c>
      <c r="C2684" t="s">
        <v>88</v>
      </c>
      <c r="D2684">
        <v>2015</v>
      </c>
      <c r="E2684" t="s">
        <v>58</v>
      </c>
      <c r="F2684">
        <v>49.1</v>
      </c>
      <c r="G2684" t="s">
        <v>348</v>
      </c>
      <c r="H2684">
        <f>electric_vehicles_dataset[[#This Row],[Battery_Capacity_kWh]]/electric_vehicles_dataset[[#This Row],[Range_km]]</f>
        <v>0.21255411255411255</v>
      </c>
      <c r="I2684">
        <v>231</v>
      </c>
      <c r="J2684" t="s">
        <v>364</v>
      </c>
      <c r="K2684">
        <v>4</v>
      </c>
      <c r="L2684" s="1">
        <v>33992.300000000003</v>
      </c>
      <c r="M2684" s="1" t="str" cm="1">
        <f t="array" ref="M268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84" t="s">
        <v>277</v>
      </c>
      <c r="O2684" t="s">
        <v>107</v>
      </c>
      <c r="P2684" s="2" t="s">
        <v>394</v>
      </c>
      <c r="Q2684">
        <v>5</v>
      </c>
      <c r="R2684" t="s">
        <v>392</v>
      </c>
      <c r="S2684" s="1">
        <f>electric_vehicles_dataset[[#This Row],[Units_Sold_2024]]*electric_vehicles_dataset[[#This Row],[Price_USD]]</f>
        <v>80357797.200000003</v>
      </c>
      <c r="T2684">
        <v>4</v>
      </c>
      <c r="U2684">
        <v>2364</v>
      </c>
      <c r="V2684">
        <v>4</v>
      </c>
    </row>
    <row r="2685" spans="1:22" x14ac:dyDescent="0.35">
      <c r="A2685">
        <v>2684</v>
      </c>
      <c r="B2685" t="s">
        <v>170</v>
      </c>
      <c r="C2685" t="s">
        <v>218</v>
      </c>
      <c r="D2685">
        <v>2021</v>
      </c>
      <c r="E2685" t="s">
        <v>104</v>
      </c>
      <c r="F2685">
        <v>60.2</v>
      </c>
      <c r="G2685" t="s">
        <v>351</v>
      </c>
      <c r="H2685">
        <f>electric_vehicles_dataset[[#This Row],[Battery_Capacity_kWh]]/electric_vehicles_dataset[[#This Row],[Range_km]]</f>
        <v>0.26060606060606062</v>
      </c>
      <c r="I2685">
        <v>231</v>
      </c>
      <c r="J2685" t="s">
        <v>76</v>
      </c>
      <c r="K2685">
        <v>12</v>
      </c>
      <c r="L2685" s="1">
        <v>31626.18</v>
      </c>
      <c r="M2685" s="1" t="str" cm="1">
        <f t="array" ref="M268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85" t="s">
        <v>179</v>
      </c>
      <c r="O2685" t="s">
        <v>95</v>
      </c>
      <c r="P2685" s="2" t="s">
        <v>394</v>
      </c>
      <c r="Q2685">
        <v>5</v>
      </c>
      <c r="R2685" t="s">
        <v>392</v>
      </c>
      <c r="S2685" s="1">
        <f>electric_vehicles_dataset[[#This Row],[Units_Sold_2024]]*electric_vehicles_dataset[[#This Row],[Price_USD]]</f>
        <v>261042489.72</v>
      </c>
      <c r="T2685">
        <v>4</v>
      </c>
      <c r="U2685">
        <v>8254</v>
      </c>
      <c r="V2685">
        <v>5</v>
      </c>
    </row>
    <row r="2686" spans="1:22" x14ac:dyDescent="0.35">
      <c r="A2686">
        <v>2685</v>
      </c>
      <c r="B2686" t="s">
        <v>45</v>
      </c>
      <c r="C2686" t="s">
        <v>283</v>
      </c>
      <c r="D2686">
        <v>2023</v>
      </c>
      <c r="E2686" t="s">
        <v>183</v>
      </c>
      <c r="F2686">
        <v>47.4</v>
      </c>
      <c r="G2686" t="s">
        <v>348</v>
      </c>
      <c r="H2686">
        <f>electric_vehicles_dataset[[#This Row],[Battery_Capacity_kWh]]/electric_vehicles_dataset[[#This Row],[Range_km]]</f>
        <v>9.9999999999999992E-2</v>
      </c>
      <c r="I2686">
        <v>474</v>
      </c>
      <c r="J2686" t="s">
        <v>345</v>
      </c>
      <c r="K2686">
        <v>5</v>
      </c>
      <c r="L2686" s="1">
        <v>73353.789999999994</v>
      </c>
      <c r="M2686" s="1" t="str" cm="1">
        <f t="array" ref="M268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86" t="s">
        <v>301</v>
      </c>
      <c r="O2686" t="s">
        <v>265</v>
      </c>
      <c r="P2686" s="2" t="s">
        <v>389</v>
      </c>
      <c r="Q2686">
        <v>4</v>
      </c>
      <c r="R2686" t="s">
        <v>392</v>
      </c>
      <c r="S2686" s="1">
        <f>electric_vehicles_dataset[[#This Row],[Units_Sold_2024]]*electric_vehicles_dataset[[#This Row],[Price_USD]]</f>
        <v>952572316.93999994</v>
      </c>
      <c r="T2686">
        <v>4</v>
      </c>
      <c r="U2686">
        <v>12986</v>
      </c>
      <c r="V2686">
        <v>4</v>
      </c>
    </row>
    <row r="2687" spans="1:22" x14ac:dyDescent="0.35">
      <c r="A2687">
        <v>2686</v>
      </c>
      <c r="B2687" t="s">
        <v>60</v>
      </c>
      <c r="C2687" t="s">
        <v>166</v>
      </c>
      <c r="D2687">
        <v>2022</v>
      </c>
      <c r="E2687" t="s">
        <v>42</v>
      </c>
      <c r="F2687">
        <v>27.9</v>
      </c>
      <c r="G2687" t="s">
        <v>357</v>
      </c>
      <c r="H2687">
        <f>electric_vehicles_dataset[[#This Row],[Battery_Capacity_kWh]]/electric_vehicles_dataset[[#This Row],[Range_km]]</f>
        <v>4.6969696969696967E-2</v>
      </c>
      <c r="I2687">
        <v>594</v>
      </c>
      <c r="J2687" t="s">
        <v>359</v>
      </c>
      <c r="K2687">
        <v>7</v>
      </c>
      <c r="L2687" s="1">
        <v>113601.64</v>
      </c>
      <c r="M2687" s="1" t="str" cm="1">
        <f t="array" ref="M268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87" t="s">
        <v>160</v>
      </c>
      <c r="O2687" t="s">
        <v>50</v>
      </c>
      <c r="P2687" s="2" t="s">
        <v>396</v>
      </c>
      <c r="Q2687">
        <v>0</v>
      </c>
      <c r="R2687" t="s">
        <v>390</v>
      </c>
      <c r="S2687" s="1">
        <f>electric_vehicles_dataset[[#This Row],[Units_Sold_2024]]*electric_vehicles_dataset[[#This Row],[Price_USD]]</f>
        <v>397378536.71999997</v>
      </c>
      <c r="T2687">
        <v>5</v>
      </c>
      <c r="U2687">
        <v>3498</v>
      </c>
      <c r="V2687">
        <v>4</v>
      </c>
    </row>
    <row r="2688" spans="1:22" x14ac:dyDescent="0.35">
      <c r="A2688">
        <v>2687</v>
      </c>
      <c r="B2688" t="s">
        <v>243</v>
      </c>
      <c r="C2688" t="s">
        <v>244</v>
      </c>
      <c r="D2688">
        <v>2025</v>
      </c>
      <c r="E2688" t="s">
        <v>73</v>
      </c>
      <c r="F2688">
        <v>68.5</v>
      </c>
      <c r="G2688" t="s">
        <v>351</v>
      </c>
      <c r="H2688">
        <f>electric_vehicles_dataset[[#This Row],[Battery_Capacity_kWh]]/electric_vehicles_dataset[[#This Row],[Range_km]]</f>
        <v>0.17792207792207793</v>
      </c>
      <c r="I2688">
        <v>385</v>
      </c>
      <c r="J2688" t="s">
        <v>48</v>
      </c>
      <c r="K2688">
        <v>5</v>
      </c>
      <c r="L2688" s="1">
        <v>69588.13</v>
      </c>
      <c r="M2688" s="1" t="str" cm="1">
        <f t="array" ref="M26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88" t="s">
        <v>301</v>
      </c>
      <c r="O2688" t="s">
        <v>111</v>
      </c>
      <c r="P2688" s="2" t="s">
        <v>389</v>
      </c>
      <c r="Q2688">
        <v>2</v>
      </c>
      <c r="R2688" t="s">
        <v>391</v>
      </c>
      <c r="S2688" s="1">
        <f>electric_vehicles_dataset[[#This Row],[Units_Sold_2024]]*electric_vehicles_dataset[[#This Row],[Price_USD]]</f>
        <v>1133868990.22</v>
      </c>
      <c r="T2688">
        <v>3</v>
      </c>
      <c r="U2688">
        <v>16294</v>
      </c>
      <c r="V2688">
        <v>4</v>
      </c>
    </row>
    <row r="2689" spans="1:22" x14ac:dyDescent="0.35">
      <c r="A2689">
        <v>2688</v>
      </c>
      <c r="B2689" t="s">
        <v>29</v>
      </c>
      <c r="C2689" t="s">
        <v>323</v>
      </c>
      <c r="D2689">
        <v>2025</v>
      </c>
      <c r="E2689" t="s">
        <v>133</v>
      </c>
      <c r="F2689">
        <v>82.5</v>
      </c>
      <c r="G2689" t="s">
        <v>350</v>
      </c>
      <c r="H2689">
        <f>electric_vehicles_dataset[[#This Row],[Battery_Capacity_kWh]]/electric_vehicles_dataset[[#This Row],[Range_km]]</f>
        <v>0.16144814090019569</v>
      </c>
      <c r="I2689">
        <v>511</v>
      </c>
      <c r="J2689" t="s">
        <v>356</v>
      </c>
      <c r="K2689">
        <v>10</v>
      </c>
      <c r="L2689" s="1">
        <v>146476.35999999999</v>
      </c>
      <c r="M2689" s="1" t="str" cm="1">
        <f t="array" ref="M268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89" t="s">
        <v>117</v>
      </c>
      <c r="O2689" t="s">
        <v>110</v>
      </c>
      <c r="P2689" s="2" t="s">
        <v>394</v>
      </c>
      <c r="Q2689">
        <v>0</v>
      </c>
      <c r="R2689" t="s">
        <v>390</v>
      </c>
      <c r="S2689" s="1">
        <f>electric_vehicles_dataset[[#This Row],[Units_Sold_2024]]*electric_vehicles_dataset[[#This Row],[Price_USD]]</f>
        <v>750105439.55999994</v>
      </c>
      <c r="T2689">
        <v>3</v>
      </c>
      <c r="U2689">
        <v>5121</v>
      </c>
      <c r="V2689">
        <v>5</v>
      </c>
    </row>
    <row r="2690" spans="1:22" x14ac:dyDescent="0.35">
      <c r="A2690">
        <v>2689</v>
      </c>
      <c r="B2690" t="s">
        <v>87</v>
      </c>
      <c r="C2690" t="s">
        <v>88</v>
      </c>
      <c r="D2690">
        <v>2024</v>
      </c>
      <c r="E2690" t="s">
        <v>130</v>
      </c>
      <c r="F2690">
        <v>72.3</v>
      </c>
      <c r="G2690" t="s">
        <v>351</v>
      </c>
      <c r="H2690">
        <f>electric_vehicles_dataset[[#This Row],[Battery_Capacity_kWh]]/electric_vehicles_dataset[[#This Row],[Range_km]]</f>
        <v>0.5604651162790697</v>
      </c>
      <c r="I2690">
        <v>129</v>
      </c>
      <c r="J2690" t="s">
        <v>85</v>
      </c>
      <c r="K2690">
        <v>5</v>
      </c>
      <c r="L2690" s="1">
        <v>145609.07</v>
      </c>
      <c r="M2690" s="1" t="str" cm="1">
        <f t="array" ref="M269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90" t="s">
        <v>175</v>
      </c>
      <c r="O2690" t="s">
        <v>169</v>
      </c>
      <c r="P2690" s="2" t="s">
        <v>394</v>
      </c>
      <c r="Q2690">
        <v>2</v>
      </c>
      <c r="R2690" t="s">
        <v>391</v>
      </c>
      <c r="S2690" s="1">
        <f>electric_vehicles_dataset[[#This Row],[Units_Sold_2024]]*electric_vehicles_dataset[[#This Row],[Price_USD]]</f>
        <v>1743668613.25</v>
      </c>
      <c r="T2690">
        <v>4</v>
      </c>
      <c r="U2690">
        <v>11975</v>
      </c>
      <c r="V2690">
        <v>5</v>
      </c>
    </row>
    <row r="2691" spans="1:22" x14ac:dyDescent="0.35">
      <c r="A2691">
        <v>2690</v>
      </c>
      <c r="B2691" t="s">
        <v>140</v>
      </c>
      <c r="C2691" t="s">
        <v>227</v>
      </c>
      <c r="D2691">
        <v>2019</v>
      </c>
      <c r="E2691" t="s">
        <v>73</v>
      </c>
      <c r="F2691">
        <v>60.1</v>
      </c>
      <c r="G2691" t="s">
        <v>351</v>
      </c>
      <c r="H2691">
        <f>electric_vehicles_dataset[[#This Row],[Battery_Capacity_kWh]]/electric_vehicles_dataset[[#This Row],[Range_km]]</f>
        <v>0.10326460481099657</v>
      </c>
      <c r="I2691">
        <v>582</v>
      </c>
      <c r="J2691" t="s">
        <v>353</v>
      </c>
      <c r="K2691">
        <v>3</v>
      </c>
      <c r="L2691" s="1">
        <v>137367.82999999999</v>
      </c>
      <c r="M2691" s="1" t="str" cm="1">
        <f t="array" ref="M269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91" t="s">
        <v>228</v>
      </c>
      <c r="O2691" t="s">
        <v>20</v>
      </c>
      <c r="P2691" s="2" t="s">
        <v>389</v>
      </c>
      <c r="Q2691">
        <v>1</v>
      </c>
      <c r="R2691" t="s">
        <v>391</v>
      </c>
      <c r="S2691" s="1">
        <f>electric_vehicles_dataset[[#This Row],[Units_Sold_2024]]*electric_vehicles_dataset[[#This Row],[Price_USD]]</f>
        <v>1255954069.6899998</v>
      </c>
      <c r="T2691">
        <v>4</v>
      </c>
      <c r="U2691">
        <v>9143</v>
      </c>
      <c r="V2691">
        <v>4</v>
      </c>
    </row>
    <row r="2692" spans="1:22" x14ac:dyDescent="0.35">
      <c r="A2692">
        <v>2691</v>
      </c>
      <c r="B2692" t="s">
        <v>215</v>
      </c>
      <c r="C2692" t="s">
        <v>216</v>
      </c>
      <c r="D2692">
        <v>2024</v>
      </c>
      <c r="E2692" t="s">
        <v>130</v>
      </c>
      <c r="F2692">
        <v>117.3</v>
      </c>
      <c r="G2692" t="s">
        <v>361</v>
      </c>
      <c r="H2692">
        <f>electric_vehicles_dataset[[#This Row],[Battery_Capacity_kWh]]/electric_vehicles_dataset[[#This Row],[Range_km]]</f>
        <v>0.44097744360902252</v>
      </c>
      <c r="I2692">
        <v>266</v>
      </c>
      <c r="J2692" t="s">
        <v>364</v>
      </c>
      <c r="K2692">
        <v>9</v>
      </c>
      <c r="L2692" s="1">
        <v>61938.57</v>
      </c>
      <c r="M2692" s="1" t="str" cm="1">
        <f t="array" ref="M269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92" t="s">
        <v>142</v>
      </c>
      <c r="O2692" t="s">
        <v>111</v>
      </c>
      <c r="P2692" s="2" t="s">
        <v>389</v>
      </c>
      <c r="Q2692">
        <v>4</v>
      </c>
      <c r="R2692" t="s">
        <v>392</v>
      </c>
      <c r="S2692" s="1">
        <f>electric_vehicles_dataset[[#This Row],[Units_Sold_2024]]*electric_vehicles_dataset[[#This Row],[Price_USD]]</f>
        <v>10034048.34</v>
      </c>
      <c r="T2692">
        <v>4</v>
      </c>
      <c r="U2692">
        <v>162</v>
      </c>
      <c r="V2692">
        <v>5</v>
      </c>
    </row>
    <row r="2693" spans="1:22" x14ac:dyDescent="0.35">
      <c r="A2693">
        <v>2692</v>
      </c>
      <c r="B2693" t="s">
        <v>68</v>
      </c>
      <c r="C2693" t="s">
        <v>69</v>
      </c>
      <c r="D2693">
        <v>2021</v>
      </c>
      <c r="E2693" t="s">
        <v>104</v>
      </c>
      <c r="F2693">
        <v>130.6</v>
      </c>
      <c r="G2693" t="s">
        <v>352</v>
      </c>
      <c r="H2693">
        <f>electric_vehicles_dataset[[#This Row],[Battery_Capacity_kWh]]/electric_vehicles_dataset[[#This Row],[Range_km]]</f>
        <v>0.24095940959409592</v>
      </c>
      <c r="I2693">
        <v>542</v>
      </c>
      <c r="J2693" t="s">
        <v>105</v>
      </c>
      <c r="K2693">
        <v>11</v>
      </c>
      <c r="L2693" s="1">
        <v>58155.3</v>
      </c>
      <c r="M2693" s="1" t="str" cm="1">
        <f t="array" ref="M269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93" t="s">
        <v>81</v>
      </c>
      <c r="O2693" t="s">
        <v>167</v>
      </c>
      <c r="P2693" s="2" t="s">
        <v>394</v>
      </c>
      <c r="Q2693">
        <v>5</v>
      </c>
      <c r="R2693" t="s">
        <v>392</v>
      </c>
      <c r="S2693" s="1">
        <f>electric_vehicles_dataset[[#This Row],[Units_Sold_2024]]*electric_vehicles_dataset[[#This Row],[Price_USD]]</f>
        <v>941999549.4000001</v>
      </c>
      <c r="T2693">
        <v>5</v>
      </c>
      <c r="U2693">
        <v>16198</v>
      </c>
      <c r="V2693">
        <v>5</v>
      </c>
    </row>
    <row r="2694" spans="1:22" x14ac:dyDescent="0.35">
      <c r="A2694">
        <v>2693</v>
      </c>
      <c r="B2694" t="s">
        <v>144</v>
      </c>
      <c r="C2694" t="s">
        <v>145</v>
      </c>
      <c r="D2694">
        <v>2018</v>
      </c>
      <c r="E2694" t="s">
        <v>130</v>
      </c>
      <c r="F2694">
        <v>71.599999999999994</v>
      </c>
      <c r="G2694" t="s">
        <v>351</v>
      </c>
      <c r="H2694">
        <f>electric_vehicles_dataset[[#This Row],[Battery_Capacity_kWh]]/electric_vehicles_dataset[[#This Row],[Range_km]]</f>
        <v>0.16807511737089201</v>
      </c>
      <c r="I2694">
        <v>426</v>
      </c>
      <c r="J2694" t="s">
        <v>356</v>
      </c>
      <c r="K2694">
        <v>5</v>
      </c>
      <c r="L2694" s="1">
        <v>60557.2</v>
      </c>
      <c r="M2694" s="1" t="str" cm="1">
        <f t="array" ref="M269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94" t="s">
        <v>59</v>
      </c>
      <c r="O2694" t="s">
        <v>226</v>
      </c>
      <c r="P2694" s="2" t="s">
        <v>395</v>
      </c>
      <c r="Q2694">
        <v>3</v>
      </c>
      <c r="R2694" t="s">
        <v>397</v>
      </c>
      <c r="S2694" s="1">
        <f>electric_vehicles_dataset[[#This Row],[Units_Sold_2024]]*electric_vehicles_dataset[[#This Row],[Price_USD]]</f>
        <v>293702420</v>
      </c>
      <c r="T2694">
        <v>4</v>
      </c>
      <c r="U2694">
        <v>4850</v>
      </c>
      <c r="V2694">
        <v>4</v>
      </c>
    </row>
    <row r="2695" spans="1:22" x14ac:dyDescent="0.35">
      <c r="A2695">
        <v>2694</v>
      </c>
      <c r="B2695" t="s">
        <v>64</v>
      </c>
      <c r="C2695" t="s">
        <v>65</v>
      </c>
      <c r="D2695">
        <v>2023</v>
      </c>
      <c r="E2695" t="s">
        <v>130</v>
      </c>
      <c r="F2695">
        <v>35.9</v>
      </c>
      <c r="G2695" t="s">
        <v>357</v>
      </c>
      <c r="H2695">
        <f>electric_vehicles_dataset[[#This Row],[Battery_Capacity_kWh]]/electric_vehicles_dataset[[#This Row],[Range_km]]</f>
        <v>0.21890243902439024</v>
      </c>
      <c r="I2695">
        <v>164</v>
      </c>
      <c r="J2695" t="s">
        <v>345</v>
      </c>
      <c r="K2695">
        <v>4</v>
      </c>
      <c r="L2695" s="1">
        <v>82226.05</v>
      </c>
      <c r="M2695" s="1" t="str" cm="1">
        <f t="array" ref="M269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95" t="s">
        <v>32</v>
      </c>
      <c r="O2695" t="s">
        <v>199</v>
      </c>
      <c r="P2695" s="2" t="s">
        <v>394</v>
      </c>
      <c r="Q2695">
        <v>3</v>
      </c>
      <c r="R2695" t="s">
        <v>397</v>
      </c>
      <c r="S2695" s="1">
        <f>electric_vehicles_dataset[[#This Row],[Units_Sold_2024]]*electric_vehicles_dataset[[#This Row],[Price_USD]]</f>
        <v>1585153791.9000001</v>
      </c>
      <c r="T2695">
        <v>3</v>
      </c>
      <c r="U2695">
        <v>19278</v>
      </c>
      <c r="V2695">
        <v>3</v>
      </c>
    </row>
    <row r="2696" spans="1:22" x14ac:dyDescent="0.35">
      <c r="A2696">
        <v>2695</v>
      </c>
      <c r="B2696" t="s">
        <v>157</v>
      </c>
      <c r="C2696" t="s">
        <v>296</v>
      </c>
      <c r="D2696">
        <v>2020</v>
      </c>
      <c r="E2696" t="s">
        <v>101</v>
      </c>
      <c r="F2696">
        <v>69.5</v>
      </c>
      <c r="G2696" t="s">
        <v>351</v>
      </c>
      <c r="H2696">
        <f>electric_vehicles_dataset[[#This Row],[Battery_Capacity_kWh]]/electric_vehicles_dataset[[#This Row],[Range_km]]</f>
        <v>0.30349344978165937</v>
      </c>
      <c r="I2696">
        <v>229</v>
      </c>
      <c r="J2696" t="s">
        <v>18</v>
      </c>
      <c r="K2696">
        <v>4</v>
      </c>
      <c r="L2696" s="1">
        <v>108938.53</v>
      </c>
      <c r="M2696" s="1" t="str" cm="1">
        <f t="array" ref="M269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96" t="s">
        <v>217</v>
      </c>
      <c r="O2696" t="s">
        <v>124</v>
      </c>
      <c r="P2696" s="2" t="s">
        <v>389</v>
      </c>
      <c r="Q2696">
        <v>3</v>
      </c>
      <c r="R2696" t="s">
        <v>397</v>
      </c>
      <c r="S2696" s="1">
        <f>electric_vehicles_dataset[[#This Row],[Units_Sold_2024]]*electric_vehicles_dataset[[#This Row],[Price_USD]]</f>
        <v>1895312544.9400001</v>
      </c>
      <c r="T2696">
        <v>3</v>
      </c>
      <c r="U2696">
        <v>17398</v>
      </c>
      <c r="V2696">
        <v>4</v>
      </c>
    </row>
    <row r="2697" spans="1:22" x14ac:dyDescent="0.35">
      <c r="A2697">
        <v>2696</v>
      </c>
      <c r="B2697" t="s">
        <v>125</v>
      </c>
      <c r="C2697" t="s">
        <v>126</v>
      </c>
      <c r="D2697">
        <v>2020</v>
      </c>
      <c r="E2697" t="s">
        <v>90</v>
      </c>
      <c r="F2697">
        <v>35.200000000000003</v>
      </c>
      <c r="G2697" t="s">
        <v>357</v>
      </c>
      <c r="H2697">
        <f>electric_vehicles_dataset[[#This Row],[Battery_Capacity_kWh]]/electric_vehicles_dataset[[#This Row],[Range_km]]</f>
        <v>8.3610451306413314E-2</v>
      </c>
      <c r="I2697">
        <v>421</v>
      </c>
      <c r="J2697" t="s">
        <v>149</v>
      </c>
      <c r="K2697">
        <v>10</v>
      </c>
      <c r="L2697" s="1">
        <v>82328.55</v>
      </c>
      <c r="M2697" s="1" t="str" cm="1">
        <f t="array" ref="M269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697" t="s">
        <v>81</v>
      </c>
      <c r="O2697" t="s">
        <v>124</v>
      </c>
      <c r="P2697" s="2" t="s">
        <v>389</v>
      </c>
      <c r="Q2697">
        <v>5</v>
      </c>
      <c r="R2697" t="s">
        <v>392</v>
      </c>
      <c r="S2697" s="1">
        <f>electric_vehicles_dataset[[#This Row],[Units_Sold_2024]]*electric_vehicles_dataset[[#This Row],[Price_USD]]</f>
        <v>1308200659.5</v>
      </c>
      <c r="T2697">
        <v>4</v>
      </c>
      <c r="U2697">
        <v>15890</v>
      </c>
      <c r="V2697">
        <v>3</v>
      </c>
    </row>
    <row r="2698" spans="1:22" x14ac:dyDescent="0.35">
      <c r="A2698">
        <v>2697</v>
      </c>
      <c r="B2698" t="s">
        <v>68</v>
      </c>
      <c r="C2698" t="s">
        <v>69</v>
      </c>
      <c r="D2698">
        <v>2019</v>
      </c>
      <c r="E2698" t="s">
        <v>183</v>
      </c>
      <c r="F2698">
        <v>77.900000000000006</v>
      </c>
      <c r="G2698" t="s">
        <v>351</v>
      </c>
      <c r="H2698">
        <f>electric_vehicles_dataset[[#This Row],[Battery_Capacity_kWh]]/electric_vehicles_dataset[[#This Row],[Range_km]]</f>
        <v>0.13114478114478115</v>
      </c>
      <c r="I2698">
        <v>594</v>
      </c>
      <c r="J2698" t="s">
        <v>356</v>
      </c>
      <c r="K2698">
        <v>11</v>
      </c>
      <c r="L2698" s="1">
        <v>149322.93</v>
      </c>
      <c r="M2698" s="1" t="str" cm="1">
        <f t="array" ref="M269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698" t="s">
        <v>49</v>
      </c>
      <c r="O2698" t="s">
        <v>95</v>
      </c>
      <c r="P2698" s="2" t="s">
        <v>394</v>
      </c>
      <c r="Q2698">
        <v>3</v>
      </c>
      <c r="R2698" t="s">
        <v>397</v>
      </c>
      <c r="S2698" s="1">
        <f>electric_vehicles_dataset[[#This Row],[Units_Sold_2024]]*electric_vehicles_dataset[[#This Row],[Price_USD]]</f>
        <v>659410058.88</v>
      </c>
      <c r="T2698">
        <v>3</v>
      </c>
      <c r="U2698">
        <v>4416</v>
      </c>
      <c r="V2698">
        <v>4</v>
      </c>
    </row>
    <row r="2699" spans="1:22" x14ac:dyDescent="0.35">
      <c r="A2699">
        <v>2698</v>
      </c>
      <c r="B2699" t="s">
        <v>269</v>
      </c>
      <c r="C2699" t="s">
        <v>307</v>
      </c>
      <c r="D2699">
        <v>2016</v>
      </c>
      <c r="E2699" t="s">
        <v>104</v>
      </c>
      <c r="F2699">
        <v>67.900000000000006</v>
      </c>
      <c r="G2699" t="s">
        <v>351</v>
      </c>
      <c r="H2699">
        <f>electric_vehicles_dataset[[#This Row],[Battery_Capacity_kWh]]/electric_vehicles_dataset[[#This Row],[Range_km]]</f>
        <v>0.2782786885245902</v>
      </c>
      <c r="I2699">
        <v>244</v>
      </c>
      <c r="J2699" t="s">
        <v>105</v>
      </c>
      <c r="K2699">
        <v>8</v>
      </c>
      <c r="L2699" s="1">
        <v>34293.730000000003</v>
      </c>
      <c r="M2699" s="1" t="str" cm="1">
        <f t="array" ref="M26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699" t="s">
        <v>142</v>
      </c>
      <c r="O2699" t="s">
        <v>118</v>
      </c>
      <c r="P2699" s="2" t="s">
        <v>389</v>
      </c>
      <c r="Q2699">
        <v>4</v>
      </c>
      <c r="R2699" t="s">
        <v>392</v>
      </c>
      <c r="S2699" s="1">
        <f>electric_vehicles_dataset[[#This Row],[Units_Sold_2024]]*electric_vehicles_dataset[[#This Row],[Price_USD]]</f>
        <v>415982944.90000004</v>
      </c>
      <c r="T2699">
        <v>3</v>
      </c>
      <c r="U2699">
        <v>12130</v>
      </c>
      <c r="V2699">
        <v>4</v>
      </c>
    </row>
    <row r="2700" spans="1:22" x14ac:dyDescent="0.35">
      <c r="A2700">
        <v>2699</v>
      </c>
      <c r="B2700" t="s">
        <v>16</v>
      </c>
      <c r="C2700" t="s">
        <v>347</v>
      </c>
      <c r="D2700">
        <v>2022</v>
      </c>
      <c r="E2700" t="s">
        <v>133</v>
      </c>
      <c r="F2700">
        <v>143.5</v>
      </c>
      <c r="G2700" t="s">
        <v>386</v>
      </c>
      <c r="H2700">
        <f>electric_vehicles_dataset[[#This Row],[Battery_Capacity_kWh]]/electric_vehicles_dataset[[#This Row],[Range_km]]</f>
        <v>0.60805084745762716</v>
      </c>
      <c r="I2700">
        <v>236</v>
      </c>
      <c r="J2700" t="s">
        <v>105</v>
      </c>
      <c r="K2700">
        <v>5</v>
      </c>
      <c r="L2700" s="1">
        <v>117907.54</v>
      </c>
      <c r="M2700" s="1" t="str" cm="1">
        <f t="array" ref="M270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00" t="s">
        <v>66</v>
      </c>
      <c r="O2700" t="s">
        <v>226</v>
      </c>
      <c r="P2700" s="2" t="s">
        <v>395</v>
      </c>
      <c r="Q2700">
        <v>5</v>
      </c>
      <c r="R2700" t="s">
        <v>392</v>
      </c>
      <c r="S2700" s="1">
        <f>electric_vehicles_dataset[[#This Row],[Units_Sold_2024]]*electric_vehicles_dataset[[#This Row],[Price_USD]]</f>
        <v>1048905475.8399999</v>
      </c>
      <c r="T2700">
        <v>4</v>
      </c>
      <c r="U2700">
        <v>8896</v>
      </c>
      <c r="V2700">
        <v>3</v>
      </c>
    </row>
    <row r="2701" spans="1:22" x14ac:dyDescent="0.35">
      <c r="A2701">
        <v>2700</v>
      </c>
      <c r="B2701" t="s">
        <v>79</v>
      </c>
      <c r="C2701" t="s">
        <v>376</v>
      </c>
      <c r="D2701">
        <v>2020</v>
      </c>
      <c r="E2701" t="s">
        <v>84</v>
      </c>
      <c r="F2701">
        <v>150</v>
      </c>
      <c r="G2701" t="s">
        <v>386</v>
      </c>
      <c r="H2701">
        <f>electric_vehicles_dataset[[#This Row],[Battery_Capacity_kWh]]/electric_vehicles_dataset[[#This Row],[Range_km]]</f>
        <v>0.26785714285714285</v>
      </c>
      <c r="I2701">
        <v>560</v>
      </c>
      <c r="J2701" t="s">
        <v>38</v>
      </c>
      <c r="K2701">
        <v>11</v>
      </c>
      <c r="L2701" s="1">
        <v>123641.63</v>
      </c>
      <c r="M2701" s="1" t="str" cm="1">
        <f t="array" ref="M27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01" t="s">
        <v>106</v>
      </c>
      <c r="O2701" t="s">
        <v>236</v>
      </c>
      <c r="P2701" s="2" t="s">
        <v>394</v>
      </c>
      <c r="Q2701">
        <v>5</v>
      </c>
      <c r="R2701" t="s">
        <v>392</v>
      </c>
      <c r="S2701" s="1">
        <f>electric_vehicles_dataset[[#This Row],[Units_Sold_2024]]*electric_vehicles_dataset[[#This Row],[Price_USD]]</f>
        <v>578890111.65999997</v>
      </c>
      <c r="T2701">
        <v>5</v>
      </c>
      <c r="U2701">
        <v>4682</v>
      </c>
      <c r="V2701">
        <v>4</v>
      </c>
    </row>
    <row r="2702" spans="1:22" x14ac:dyDescent="0.35">
      <c r="A2702">
        <v>2701</v>
      </c>
      <c r="B2702" t="s">
        <v>24</v>
      </c>
      <c r="C2702" t="s">
        <v>272</v>
      </c>
      <c r="D2702">
        <v>2025</v>
      </c>
      <c r="E2702" t="s">
        <v>47</v>
      </c>
      <c r="F2702">
        <v>134.5</v>
      </c>
      <c r="G2702" t="s">
        <v>352</v>
      </c>
      <c r="H2702">
        <f>electric_vehicles_dataset[[#This Row],[Battery_Capacity_kWh]]/electric_vehicles_dataset[[#This Row],[Range_km]]</f>
        <v>0.37994350282485878</v>
      </c>
      <c r="I2702">
        <v>354</v>
      </c>
      <c r="J2702" t="s">
        <v>27</v>
      </c>
      <c r="K2702">
        <v>11</v>
      </c>
      <c r="L2702" s="1">
        <v>96638.7</v>
      </c>
      <c r="M2702" s="1" t="str" cm="1">
        <f t="array" ref="M27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02" t="s">
        <v>49</v>
      </c>
      <c r="O2702" t="s">
        <v>23</v>
      </c>
      <c r="P2702" s="2" t="s">
        <v>389</v>
      </c>
      <c r="Q2702">
        <v>5</v>
      </c>
      <c r="R2702" t="s">
        <v>392</v>
      </c>
      <c r="S2702" s="1">
        <f>electric_vehicles_dataset[[#This Row],[Units_Sold_2024]]*electric_vehicles_dataset[[#This Row],[Price_USD]]</f>
        <v>743344880.39999998</v>
      </c>
      <c r="T2702">
        <v>3</v>
      </c>
      <c r="U2702">
        <v>7692</v>
      </c>
      <c r="V2702">
        <v>4</v>
      </c>
    </row>
    <row r="2703" spans="1:22" x14ac:dyDescent="0.35">
      <c r="A2703">
        <v>2702</v>
      </c>
      <c r="B2703" t="s">
        <v>222</v>
      </c>
      <c r="C2703" t="s">
        <v>223</v>
      </c>
      <c r="D2703">
        <v>2025</v>
      </c>
      <c r="E2703" t="s">
        <v>101</v>
      </c>
      <c r="F2703">
        <v>121.1</v>
      </c>
      <c r="G2703" t="s">
        <v>352</v>
      </c>
      <c r="H2703">
        <f>electric_vehicles_dataset[[#This Row],[Battery_Capacity_kWh]]/electric_vehicles_dataset[[#This Row],[Range_km]]</f>
        <v>0.37608695652173912</v>
      </c>
      <c r="I2703">
        <v>322</v>
      </c>
      <c r="J2703" t="s">
        <v>54</v>
      </c>
      <c r="K2703">
        <v>4</v>
      </c>
      <c r="L2703" s="1">
        <v>50697.52</v>
      </c>
      <c r="M2703" s="1" t="str" cm="1">
        <f t="array" ref="M270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03" t="s">
        <v>168</v>
      </c>
      <c r="O2703" t="s">
        <v>139</v>
      </c>
      <c r="P2703" s="2" t="s">
        <v>389</v>
      </c>
      <c r="Q2703">
        <v>2</v>
      </c>
      <c r="R2703" t="s">
        <v>391</v>
      </c>
      <c r="S2703" s="1">
        <f>electric_vehicles_dataset[[#This Row],[Units_Sold_2024]]*electric_vehicles_dataset[[#This Row],[Price_USD]]</f>
        <v>800615235.83999991</v>
      </c>
      <c r="T2703">
        <v>3</v>
      </c>
      <c r="U2703">
        <v>15792</v>
      </c>
      <c r="V2703">
        <v>5</v>
      </c>
    </row>
    <row r="2704" spans="1:22" x14ac:dyDescent="0.35">
      <c r="A2704">
        <v>2703</v>
      </c>
      <c r="B2704" t="s">
        <v>36</v>
      </c>
      <c r="C2704" t="s">
        <v>245</v>
      </c>
      <c r="D2704">
        <v>2021</v>
      </c>
      <c r="E2704" t="s">
        <v>104</v>
      </c>
      <c r="F2704">
        <v>49.1</v>
      </c>
      <c r="G2704" t="s">
        <v>348</v>
      </c>
      <c r="H2704">
        <f>electric_vehicles_dataset[[#This Row],[Battery_Capacity_kWh]]/electric_vehicles_dataset[[#This Row],[Range_km]]</f>
        <v>0.13909348441926345</v>
      </c>
      <c r="I2704">
        <v>353</v>
      </c>
      <c r="J2704" t="s">
        <v>345</v>
      </c>
      <c r="K2704">
        <v>8</v>
      </c>
      <c r="L2704" s="1">
        <v>60725.82</v>
      </c>
      <c r="M2704" s="1" t="str" cm="1">
        <f t="array" ref="M270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04" t="s">
        <v>49</v>
      </c>
      <c r="O2704" t="s">
        <v>230</v>
      </c>
      <c r="P2704" s="2" t="s">
        <v>389</v>
      </c>
      <c r="Q2704">
        <v>2</v>
      </c>
      <c r="R2704" t="s">
        <v>391</v>
      </c>
      <c r="S2704" s="1">
        <f>electric_vehicles_dataset[[#This Row],[Units_Sold_2024]]*electric_vehicles_dataset[[#This Row],[Price_USD]]</f>
        <v>1166846631.3</v>
      </c>
      <c r="T2704">
        <v>3</v>
      </c>
      <c r="U2704">
        <v>19215</v>
      </c>
      <c r="V2704">
        <v>3</v>
      </c>
    </row>
    <row r="2705" spans="1:22" x14ac:dyDescent="0.35">
      <c r="A2705">
        <v>2704</v>
      </c>
      <c r="B2705" t="s">
        <v>24</v>
      </c>
      <c r="C2705" t="s">
        <v>341</v>
      </c>
      <c r="D2705">
        <v>2025</v>
      </c>
      <c r="E2705" t="s">
        <v>42</v>
      </c>
      <c r="F2705">
        <v>95.7</v>
      </c>
      <c r="G2705" t="s">
        <v>350</v>
      </c>
      <c r="H2705">
        <f>electric_vehicles_dataset[[#This Row],[Battery_Capacity_kWh]]/electric_vehicles_dataset[[#This Row],[Range_km]]</f>
        <v>0.86216216216216224</v>
      </c>
      <c r="I2705">
        <v>111</v>
      </c>
      <c r="J2705" t="s">
        <v>356</v>
      </c>
      <c r="K2705">
        <v>10</v>
      </c>
      <c r="L2705" s="1">
        <v>71172.88</v>
      </c>
      <c r="M2705" s="1" t="str" cm="1">
        <f t="array" ref="M270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05" t="s">
        <v>229</v>
      </c>
      <c r="O2705" t="s">
        <v>202</v>
      </c>
      <c r="P2705" s="2" t="s">
        <v>393</v>
      </c>
      <c r="Q2705">
        <v>2</v>
      </c>
      <c r="R2705" t="s">
        <v>391</v>
      </c>
      <c r="S2705" s="1">
        <f>electric_vehicles_dataset[[#This Row],[Units_Sold_2024]]*electric_vehicles_dataset[[#This Row],[Price_USD]]</f>
        <v>995993282.72000003</v>
      </c>
      <c r="T2705">
        <v>4</v>
      </c>
      <c r="U2705">
        <v>13994</v>
      </c>
      <c r="V2705">
        <v>5</v>
      </c>
    </row>
    <row r="2706" spans="1:22" x14ac:dyDescent="0.35">
      <c r="A2706">
        <v>2705</v>
      </c>
      <c r="B2706" t="s">
        <v>173</v>
      </c>
      <c r="C2706" t="s">
        <v>306</v>
      </c>
      <c r="D2706">
        <v>2015</v>
      </c>
      <c r="E2706" t="s">
        <v>130</v>
      </c>
      <c r="F2706">
        <v>101.2</v>
      </c>
      <c r="G2706" t="s">
        <v>361</v>
      </c>
      <c r="H2706">
        <f>electric_vehicles_dataset[[#This Row],[Battery_Capacity_kWh]]/electric_vehicles_dataset[[#This Row],[Range_km]]</f>
        <v>0.58837209302325588</v>
      </c>
      <c r="I2706">
        <v>172</v>
      </c>
      <c r="J2706" t="s">
        <v>359</v>
      </c>
      <c r="K2706">
        <v>1</v>
      </c>
      <c r="L2706" s="1">
        <v>110386.88</v>
      </c>
      <c r="M2706" s="1" t="str" cm="1">
        <f t="array" ref="M270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06" t="s">
        <v>301</v>
      </c>
      <c r="O2706" t="s">
        <v>121</v>
      </c>
      <c r="P2706" s="2" t="s">
        <v>398</v>
      </c>
      <c r="Q2706">
        <v>2</v>
      </c>
      <c r="R2706" t="s">
        <v>391</v>
      </c>
      <c r="S2706" s="1">
        <f>electric_vehicles_dataset[[#This Row],[Units_Sold_2024]]*electric_vehicles_dataset[[#This Row],[Price_USD]]</f>
        <v>2096136464.3200002</v>
      </c>
      <c r="T2706">
        <v>4</v>
      </c>
      <c r="U2706">
        <v>18989</v>
      </c>
      <c r="V2706">
        <v>3</v>
      </c>
    </row>
    <row r="2707" spans="1:22" x14ac:dyDescent="0.35">
      <c r="A2707">
        <v>2706</v>
      </c>
      <c r="B2707" t="s">
        <v>153</v>
      </c>
      <c r="C2707" t="s">
        <v>178</v>
      </c>
      <c r="D2707">
        <v>2022</v>
      </c>
      <c r="E2707" t="s">
        <v>133</v>
      </c>
      <c r="F2707">
        <v>50.1</v>
      </c>
      <c r="G2707" t="s">
        <v>348</v>
      </c>
      <c r="H2707">
        <f>electric_vehicles_dataset[[#This Row],[Battery_Capacity_kWh]]/electric_vehicles_dataset[[#This Row],[Range_km]]</f>
        <v>9.5428571428571432E-2</v>
      </c>
      <c r="I2707">
        <v>525</v>
      </c>
      <c r="J2707" t="s">
        <v>358</v>
      </c>
      <c r="K2707">
        <v>7</v>
      </c>
      <c r="L2707" s="1">
        <v>115933.09</v>
      </c>
      <c r="M2707" s="1" t="str" cm="1">
        <f t="array" ref="M270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07" t="s">
        <v>62</v>
      </c>
      <c r="O2707" t="s">
        <v>134</v>
      </c>
      <c r="P2707" s="2" t="s">
        <v>389</v>
      </c>
      <c r="Q2707">
        <v>0</v>
      </c>
      <c r="R2707" t="s">
        <v>390</v>
      </c>
      <c r="S2707" s="1">
        <f>electric_vehicles_dataset[[#This Row],[Units_Sold_2024]]*electric_vehicles_dataset[[#This Row],[Price_USD]]</f>
        <v>1441048308.7</v>
      </c>
      <c r="T2707">
        <v>4</v>
      </c>
      <c r="U2707">
        <v>12430</v>
      </c>
      <c r="V2707">
        <v>5</v>
      </c>
    </row>
    <row r="2708" spans="1:22" x14ac:dyDescent="0.35">
      <c r="A2708">
        <v>2707</v>
      </c>
      <c r="B2708" t="s">
        <v>261</v>
      </c>
      <c r="C2708" t="s">
        <v>370</v>
      </c>
      <c r="D2708">
        <v>2020</v>
      </c>
      <c r="E2708" t="s">
        <v>53</v>
      </c>
      <c r="F2708">
        <v>99.4</v>
      </c>
      <c r="G2708" t="s">
        <v>350</v>
      </c>
      <c r="H2708">
        <f>electric_vehicles_dataset[[#This Row],[Battery_Capacity_kWh]]/electric_vehicles_dataset[[#This Row],[Range_km]]</f>
        <v>0.62125000000000008</v>
      </c>
      <c r="I2708">
        <v>160</v>
      </c>
      <c r="J2708" t="s">
        <v>48</v>
      </c>
      <c r="K2708">
        <v>8</v>
      </c>
      <c r="L2708" s="1">
        <v>50945.32</v>
      </c>
      <c r="M2708" s="1" t="str" cm="1">
        <f t="array" ref="M270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08" t="s">
        <v>77</v>
      </c>
      <c r="O2708" t="s">
        <v>111</v>
      </c>
      <c r="P2708" s="2" t="s">
        <v>389</v>
      </c>
      <c r="Q2708">
        <v>2</v>
      </c>
      <c r="R2708" t="s">
        <v>391</v>
      </c>
      <c r="S2708" s="1">
        <f>electric_vehicles_dataset[[#This Row],[Units_Sold_2024]]*electric_vehicles_dataset[[#This Row],[Price_USD]]</f>
        <v>178563346.59999999</v>
      </c>
      <c r="T2708">
        <v>4</v>
      </c>
      <c r="U2708">
        <v>3505</v>
      </c>
      <c r="V2708">
        <v>5</v>
      </c>
    </row>
    <row r="2709" spans="1:22" x14ac:dyDescent="0.35">
      <c r="A2709">
        <v>2708</v>
      </c>
      <c r="B2709" t="s">
        <v>153</v>
      </c>
      <c r="C2709" t="s">
        <v>310</v>
      </c>
      <c r="D2709">
        <v>2024</v>
      </c>
      <c r="E2709" t="s">
        <v>53</v>
      </c>
      <c r="F2709">
        <v>32.299999999999997</v>
      </c>
      <c r="G2709" t="s">
        <v>357</v>
      </c>
      <c r="H2709">
        <f>electric_vehicles_dataset[[#This Row],[Battery_Capacity_kWh]]/electric_vehicles_dataset[[#This Row],[Range_km]]</f>
        <v>0.10031055900621118</v>
      </c>
      <c r="I2709">
        <v>322</v>
      </c>
      <c r="J2709" t="s">
        <v>149</v>
      </c>
      <c r="K2709">
        <v>7</v>
      </c>
      <c r="L2709" s="1">
        <v>41506.589999999997</v>
      </c>
      <c r="M2709" s="1" t="str" cm="1">
        <f t="array" ref="M270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09" t="s">
        <v>143</v>
      </c>
      <c r="O2709" t="s">
        <v>44</v>
      </c>
      <c r="P2709" s="2" t="s">
        <v>389</v>
      </c>
      <c r="Q2709">
        <v>2</v>
      </c>
      <c r="R2709" t="s">
        <v>391</v>
      </c>
      <c r="S2709" s="1">
        <f>electric_vehicles_dataset[[#This Row],[Units_Sold_2024]]*electric_vehicles_dataset[[#This Row],[Price_USD]]</f>
        <v>80979357.089999989</v>
      </c>
      <c r="T2709">
        <v>5</v>
      </c>
      <c r="U2709">
        <v>1951</v>
      </c>
      <c r="V2709">
        <v>4</v>
      </c>
    </row>
    <row r="2710" spans="1:22" x14ac:dyDescent="0.35">
      <c r="A2710">
        <v>2709</v>
      </c>
      <c r="B2710" t="s">
        <v>157</v>
      </c>
      <c r="C2710" t="s">
        <v>158</v>
      </c>
      <c r="D2710">
        <v>2021</v>
      </c>
      <c r="E2710" t="s">
        <v>73</v>
      </c>
      <c r="F2710">
        <v>76.3</v>
      </c>
      <c r="G2710" t="s">
        <v>351</v>
      </c>
      <c r="H2710">
        <f>electric_vehicles_dataset[[#This Row],[Battery_Capacity_kWh]]/electric_vehicles_dataset[[#This Row],[Range_km]]</f>
        <v>0.19267676767676767</v>
      </c>
      <c r="I2710">
        <v>396</v>
      </c>
      <c r="J2710" t="s">
        <v>105</v>
      </c>
      <c r="K2710">
        <v>2</v>
      </c>
      <c r="L2710" s="1">
        <v>98874.99</v>
      </c>
      <c r="M2710" s="1" t="str" cm="1">
        <f t="array" ref="M271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10" t="s">
        <v>179</v>
      </c>
      <c r="O2710" t="s">
        <v>63</v>
      </c>
      <c r="P2710" s="2" t="s">
        <v>389</v>
      </c>
      <c r="Q2710">
        <v>1</v>
      </c>
      <c r="R2710" t="s">
        <v>391</v>
      </c>
      <c r="S2710" s="1">
        <f>electric_vehicles_dataset[[#This Row],[Units_Sold_2024]]*electric_vehicles_dataset[[#This Row],[Price_USD]]</f>
        <v>929820405.96000004</v>
      </c>
      <c r="T2710">
        <v>5</v>
      </c>
      <c r="U2710">
        <v>9404</v>
      </c>
      <c r="V2710">
        <v>3</v>
      </c>
    </row>
    <row r="2711" spans="1:22" x14ac:dyDescent="0.35">
      <c r="A2711">
        <v>2710</v>
      </c>
      <c r="B2711" t="s">
        <v>207</v>
      </c>
      <c r="C2711" t="s">
        <v>208</v>
      </c>
      <c r="D2711">
        <v>2019</v>
      </c>
      <c r="E2711" t="s">
        <v>42</v>
      </c>
      <c r="F2711">
        <v>51.5</v>
      </c>
      <c r="G2711" t="s">
        <v>348</v>
      </c>
      <c r="H2711">
        <f>electric_vehicles_dataset[[#This Row],[Battery_Capacity_kWh]]/electric_vehicles_dataset[[#This Row],[Range_km]]</f>
        <v>0.11004273504273504</v>
      </c>
      <c r="I2711">
        <v>468</v>
      </c>
      <c r="J2711" t="s">
        <v>356</v>
      </c>
      <c r="K2711">
        <v>3</v>
      </c>
      <c r="L2711" s="1">
        <v>105337</v>
      </c>
      <c r="M2711" s="1" t="str" cm="1">
        <f t="array" ref="M27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11" t="s">
        <v>238</v>
      </c>
      <c r="O2711" t="s">
        <v>89</v>
      </c>
      <c r="P2711" s="2" t="s">
        <v>389</v>
      </c>
      <c r="Q2711">
        <v>1</v>
      </c>
      <c r="R2711" t="s">
        <v>391</v>
      </c>
      <c r="S2711" s="1">
        <f>electric_vehicles_dataset[[#This Row],[Units_Sold_2024]]*electric_vehicles_dataset[[#This Row],[Price_USD]]</f>
        <v>618854875</v>
      </c>
      <c r="T2711">
        <v>5</v>
      </c>
      <c r="U2711">
        <v>5875</v>
      </c>
      <c r="V2711">
        <v>4</v>
      </c>
    </row>
    <row r="2712" spans="1:22" x14ac:dyDescent="0.35">
      <c r="A2712">
        <v>2711</v>
      </c>
      <c r="B2712" t="s">
        <v>173</v>
      </c>
      <c r="C2712" t="s">
        <v>249</v>
      </c>
      <c r="D2712">
        <v>2025</v>
      </c>
      <c r="E2712" t="s">
        <v>183</v>
      </c>
      <c r="F2712">
        <v>30.3</v>
      </c>
      <c r="G2712" t="s">
        <v>357</v>
      </c>
      <c r="H2712">
        <f>electric_vehicles_dataset[[#This Row],[Battery_Capacity_kWh]]/electric_vehicles_dataset[[#This Row],[Range_km]]</f>
        <v>9.1265060240963855E-2</v>
      </c>
      <c r="I2712">
        <v>332</v>
      </c>
      <c r="J2712" t="s">
        <v>359</v>
      </c>
      <c r="K2712">
        <v>10</v>
      </c>
      <c r="L2712" s="1">
        <v>78123.740000000005</v>
      </c>
      <c r="M2712" s="1" t="str" cm="1">
        <f t="array" ref="M271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12" t="s">
        <v>91</v>
      </c>
      <c r="O2712" t="s">
        <v>95</v>
      </c>
      <c r="P2712" s="2" t="s">
        <v>394</v>
      </c>
      <c r="Q2712">
        <v>2</v>
      </c>
      <c r="R2712" t="s">
        <v>391</v>
      </c>
      <c r="S2712" s="1">
        <f>electric_vehicles_dataset[[#This Row],[Units_Sold_2024]]*electric_vehicles_dataset[[#This Row],[Price_USD]]</f>
        <v>1552162466.3200002</v>
      </c>
      <c r="T2712">
        <v>4</v>
      </c>
      <c r="U2712">
        <v>19868</v>
      </c>
      <c r="V2712">
        <v>3</v>
      </c>
    </row>
    <row r="2713" spans="1:22" x14ac:dyDescent="0.35">
      <c r="A2713">
        <v>2712</v>
      </c>
      <c r="B2713" t="s">
        <v>122</v>
      </c>
      <c r="C2713" t="s">
        <v>250</v>
      </c>
      <c r="D2713">
        <v>2025</v>
      </c>
      <c r="E2713" t="s">
        <v>133</v>
      </c>
      <c r="F2713">
        <v>107.8</v>
      </c>
      <c r="G2713" t="s">
        <v>361</v>
      </c>
      <c r="H2713">
        <f>electric_vehicles_dataset[[#This Row],[Battery_Capacity_kWh]]/electric_vehicles_dataset[[#This Row],[Range_km]]</f>
        <v>0.23485838779956428</v>
      </c>
      <c r="I2713">
        <v>459</v>
      </c>
      <c r="J2713" t="s">
        <v>353</v>
      </c>
      <c r="K2713">
        <v>8</v>
      </c>
      <c r="L2713" s="1">
        <v>47229.96</v>
      </c>
      <c r="M2713" s="1" t="str" cm="1">
        <f t="array" ref="M27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13" t="s">
        <v>114</v>
      </c>
      <c r="O2713" t="s">
        <v>40</v>
      </c>
      <c r="P2713" s="2" t="s">
        <v>395</v>
      </c>
      <c r="Q2713">
        <v>3</v>
      </c>
      <c r="R2713" t="s">
        <v>397</v>
      </c>
      <c r="S2713" s="1">
        <f>electric_vehicles_dataset[[#This Row],[Units_Sold_2024]]*electric_vehicles_dataset[[#This Row],[Price_USD]]</f>
        <v>814811269.91999996</v>
      </c>
      <c r="T2713">
        <v>5</v>
      </c>
      <c r="U2713">
        <v>17252</v>
      </c>
      <c r="V2713">
        <v>5</v>
      </c>
    </row>
    <row r="2714" spans="1:22" x14ac:dyDescent="0.35">
      <c r="A2714">
        <v>2713</v>
      </c>
      <c r="B2714" t="s">
        <v>122</v>
      </c>
      <c r="C2714" t="s">
        <v>250</v>
      </c>
      <c r="D2714">
        <v>2016</v>
      </c>
      <c r="E2714" t="s">
        <v>183</v>
      </c>
      <c r="F2714">
        <v>42.3</v>
      </c>
      <c r="G2714" t="s">
        <v>348</v>
      </c>
      <c r="H2714">
        <f>electric_vehicles_dataset[[#This Row],[Battery_Capacity_kWh]]/electric_vehicles_dataset[[#This Row],[Range_km]]</f>
        <v>0.11463414634146341</v>
      </c>
      <c r="I2714">
        <v>369</v>
      </c>
      <c r="J2714" t="s">
        <v>358</v>
      </c>
      <c r="K2714">
        <v>6</v>
      </c>
      <c r="L2714" s="1">
        <v>90771.06</v>
      </c>
      <c r="M2714" s="1" t="str" cm="1">
        <f t="array" ref="M271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14" t="s">
        <v>152</v>
      </c>
      <c r="O2714" t="s">
        <v>161</v>
      </c>
      <c r="P2714" s="2" t="s">
        <v>389</v>
      </c>
      <c r="Q2714">
        <v>4</v>
      </c>
      <c r="R2714" t="s">
        <v>392</v>
      </c>
      <c r="S2714" s="1">
        <f>electric_vehicles_dataset[[#This Row],[Units_Sold_2024]]*electric_vehicles_dataset[[#This Row],[Price_USD]]</f>
        <v>876122271.12</v>
      </c>
      <c r="T2714">
        <v>3</v>
      </c>
      <c r="U2714">
        <v>9652</v>
      </c>
      <c r="V2714">
        <v>3</v>
      </c>
    </row>
    <row r="2715" spans="1:22" x14ac:dyDescent="0.35">
      <c r="A2715">
        <v>2714</v>
      </c>
      <c r="B2715" t="s">
        <v>96</v>
      </c>
      <c r="C2715" t="s">
        <v>116</v>
      </c>
      <c r="D2715">
        <v>2017</v>
      </c>
      <c r="E2715" t="s">
        <v>90</v>
      </c>
      <c r="F2715">
        <v>69</v>
      </c>
      <c r="G2715" t="s">
        <v>351</v>
      </c>
      <c r="H2715">
        <f>electric_vehicles_dataset[[#This Row],[Battery_Capacity_kWh]]/electric_vehicles_dataset[[#This Row],[Range_km]]</f>
        <v>0.16546762589928057</v>
      </c>
      <c r="I2715">
        <v>417</v>
      </c>
      <c r="J2715" t="s">
        <v>34</v>
      </c>
      <c r="K2715">
        <v>4</v>
      </c>
      <c r="L2715" s="1">
        <v>130182.07</v>
      </c>
      <c r="M2715" s="1" t="str" cm="1">
        <f t="array" ref="M271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15" t="s">
        <v>179</v>
      </c>
      <c r="O2715" t="s">
        <v>93</v>
      </c>
      <c r="P2715" s="2" t="s">
        <v>389</v>
      </c>
      <c r="Q2715">
        <v>3</v>
      </c>
      <c r="R2715" t="s">
        <v>397</v>
      </c>
      <c r="S2715" s="1">
        <f>electric_vehicles_dataset[[#This Row],[Units_Sold_2024]]*electric_vehicles_dataset[[#This Row],[Price_USD]]</f>
        <v>600269524.76999998</v>
      </c>
      <c r="T2715">
        <v>3</v>
      </c>
      <c r="U2715">
        <v>4611</v>
      </c>
      <c r="V2715">
        <v>3</v>
      </c>
    </row>
    <row r="2716" spans="1:22" x14ac:dyDescent="0.35">
      <c r="A2716">
        <v>2715</v>
      </c>
      <c r="B2716" t="s">
        <v>176</v>
      </c>
      <c r="C2716" t="s">
        <v>326</v>
      </c>
      <c r="D2716">
        <v>2019</v>
      </c>
      <c r="E2716" t="s">
        <v>58</v>
      </c>
      <c r="F2716">
        <v>111.6</v>
      </c>
      <c r="G2716" t="s">
        <v>361</v>
      </c>
      <c r="H2716">
        <f>electric_vehicles_dataset[[#This Row],[Battery_Capacity_kWh]]/electric_vehicles_dataset[[#This Row],[Range_km]]</f>
        <v>1.073076923076923</v>
      </c>
      <c r="I2716">
        <v>104</v>
      </c>
      <c r="J2716" t="s">
        <v>345</v>
      </c>
      <c r="K2716">
        <v>10</v>
      </c>
      <c r="L2716" s="1">
        <v>98013.46</v>
      </c>
      <c r="M2716" s="1" t="str" cm="1">
        <f t="array" ref="M271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16" t="s">
        <v>131</v>
      </c>
      <c r="O2716" t="s">
        <v>139</v>
      </c>
      <c r="P2716" s="2" t="s">
        <v>389</v>
      </c>
      <c r="Q2716">
        <v>2</v>
      </c>
      <c r="R2716" t="s">
        <v>391</v>
      </c>
      <c r="S2716" s="1">
        <f>electric_vehicles_dataset[[#This Row],[Units_Sold_2024]]*electric_vehicles_dataset[[#This Row],[Price_USD]]</f>
        <v>180540793.32000002</v>
      </c>
      <c r="T2716">
        <v>4</v>
      </c>
      <c r="U2716">
        <v>1842</v>
      </c>
      <c r="V2716">
        <v>3</v>
      </c>
    </row>
    <row r="2717" spans="1:22" x14ac:dyDescent="0.35">
      <c r="A2717">
        <v>2716</v>
      </c>
      <c r="B2717" t="s">
        <v>222</v>
      </c>
      <c r="C2717" t="s">
        <v>232</v>
      </c>
      <c r="D2717">
        <v>2022</v>
      </c>
      <c r="E2717" t="s">
        <v>47</v>
      </c>
      <c r="F2717">
        <v>140</v>
      </c>
      <c r="G2717" t="s">
        <v>352</v>
      </c>
      <c r="H2717">
        <f>electric_vehicles_dataset[[#This Row],[Battery_Capacity_kWh]]/electric_vehicles_dataset[[#This Row],[Range_km]]</f>
        <v>0.56224899598393574</v>
      </c>
      <c r="I2717">
        <v>249</v>
      </c>
      <c r="J2717" t="s">
        <v>34</v>
      </c>
      <c r="K2717">
        <v>3</v>
      </c>
      <c r="L2717" s="1">
        <v>72912.539999999994</v>
      </c>
      <c r="M2717" s="1" t="str" cm="1">
        <f t="array" ref="M27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17" t="s">
        <v>301</v>
      </c>
      <c r="O2717" t="s">
        <v>20</v>
      </c>
      <c r="P2717" s="2" t="s">
        <v>389</v>
      </c>
      <c r="Q2717">
        <v>2</v>
      </c>
      <c r="R2717" t="s">
        <v>391</v>
      </c>
      <c r="S2717" s="1">
        <f>electric_vehicles_dataset[[#This Row],[Units_Sold_2024]]*electric_vehicles_dataset[[#This Row],[Price_USD]]</f>
        <v>189791341.61999997</v>
      </c>
      <c r="T2717">
        <v>4</v>
      </c>
      <c r="U2717">
        <v>2603</v>
      </c>
      <c r="V2717">
        <v>3</v>
      </c>
    </row>
    <row r="2718" spans="1:22" x14ac:dyDescent="0.35">
      <c r="A2718">
        <v>2717</v>
      </c>
      <c r="B2718" t="s">
        <v>64</v>
      </c>
      <c r="C2718" t="s">
        <v>65</v>
      </c>
      <c r="D2718">
        <v>2023</v>
      </c>
      <c r="E2718" t="s">
        <v>133</v>
      </c>
      <c r="F2718">
        <v>68</v>
      </c>
      <c r="G2718" t="s">
        <v>351</v>
      </c>
      <c r="H2718">
        <f>electric_vehicles_dataset[[#This Row],[Battery_Capacity_kWh]]/electric_vehicles_dataset[[#This Row],[Range_km]]</f>
        <v>0.20858895705521471</v>
      </c>
      <c r="I2718">
        <v>326</v>
      </c>
      <c r="J2718" t="s">
        <v>353</v>
      </c>
      <c r="K2718">
        <v>12</v>
      </c>
      <c r="L2718" s="1">
        <v>40995.43</v>
      </c>
      <c r="M2718" s="1" t="str" cm="1">
        <f t="array" ref="M271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18" t="s">
        <v>102</v>
      </c>
      <c r="O2718" t="s">
        <v>226</v>
      </c>
      <c r="P2718" s="2" t="s">
        <v>395</v>
      </c>
      <c r="Q2718">
        <v>2</v>
      </c>
      <c r="R2718" t="s">
        <v>391</v>
      </c>
      <c r="S2718" s="1">
        <f>electric_vehicles_dataset[[#This Row],[Units_Sold_2024]]*electric_vehicles_dataset[[#This Row],[Price_USD]]</f>
        <v>619481942.73000002</v>
      </c>
      <c r="T2718">
        <v>3</v>
      </c>
      <c r="U2718">
        <v>15111</v>
      </c>
      <c r="V2718">
        <v>4</v>
      </c>
    </row>
    <row r="2719" spans="1:22" x14ac:dyDescent="0.35">
      <c r="A2719">
        <v>2718</v>
      </c>
      <c r="B2719" t="s">
        <v>261</v>
      </c>
      <c r="C2719" t="s">
        <v>372</v>
      </c>
      <c r="D2719">
        <v>2016</v>
      </c>
      <c r="E2719" t="s">
        <v>53</v>
      </c>
      <c r="F2719">
        <v>143.6</v>
      </c>
      <c r="G2719" t="s">
        <v>386</v>
      </c>
      <c r="H2719">
        <f>electric_vehicles_dataset[[#This Row],[Battery_Capacity_kWh]]/electric_vehicles_dataset[[#This Row],[Range_km]]</f>
        <v>0.5056338028169014</v>
      </c>
      <c r="I2719">
        <v>284</v>
      </c>
      <c r="J2719" t="s">
        <v>358</v>
      </c>
      <c r="K2719">
        <v>11</v>
      </c>
      <c r="L2719" s="1">
        <v>126229.16</v>
      </c>
      <c r="M2719" s="1" t="str" cm="1">
        <f t="array" ref="M271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19" t="s">
        <v>102</v>
      </c>
      <c r="O2719" t="s">
        <v>115</v>
      </c>
      <c r="P2719" s="2" t="s">
        <v>396</v>
      </c>
      <c r="Q2719">
        <v>0</v>
      </c>
      <c r="R2719" t="s">
        <v>390</v>
      </c>
      <c r="S2719" s="1">
        <f>electric_vehicles_dataset[[#This Row],[Units_Sold_2024]]*electric_vehicles_dataset[[#This Row],[Price_USD]]</f>
        <v>881458224.27999997</v>
      </c>
      <c r="T2719">
        <v>4</v>
      </c>
      <c r="U2719">
        <v>6983</v>
      </c>
      <c r="V2719">
        <v>4</v>
      </c>
    </row>
    <row r="2720" spans="1:22" x14ac:dyDescent="0.35">
      <c r="A2720">
        <v>2719</v>
      </c>
      <c r="B2720" t="s">
        <v>192</v>
      </c>
      <c r="C2720" t="s">
        <v>316</v>
      </c>
      <c r="D2720">
        <v>2024</v>
      </c>
      <c r="E2720" t="s">
        <v>130</v>
      </c>
      <c r="F2720">
        <v>125.5</v>
      </c>
      <c r="G2720" t="s">
        <v>352</v>
      </c>
      <c r="H2720">
        <f>electric_vehicles_dataset[[#This Row],[Battery_Capacity_kWh]]/electric_vehicles_dataset[[#This Row],[Range_km]]</f>
        <v>0.28718535469107553</v>
      </c>
      <c r="I2720">
        <v>437</v>
      </c>
      <c r="J2720" t="s">
        <v>27</v>
      </c>
      <c r="K2720">
        <v>2</v>
      </c>
      <c r="L2720" s="1">
        <v>136277.20000000001</v>
      </c>
      <c r="M2720" s="1" t="str" cm="1">
        <f t="array" ref="M272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20" t="s">
        <v>22</v>
      </c>
      <c r="O2720" t="s">
        <v>93</v>
      </c>
      <c r="P2720" s="2" t="s">
        <v>389</v>
      </c>
      <c r="Q2720">
        <v>2</v>
      </c>
      <c r="R2720" t="s">
        <v>391</v>
      </c>
      <c r="S2720" s="1">
        <f>electric_vehicles_dataset[[#This Row],[Units_Sold_2024]]*electric_vehicles_dataset[[#This Row],[Price_USD]]</f>
        <v>2463074112.8000002</v>
      </c>
      <c r="T2720">
        <v>3</v>
      </c>
      <c r="U2720">
        <v>18074</v>
      </c>
      <c r="V2720">
        <v>5</v>
      </c>
    </row>
    <row r="2721" spans="1:22" x14ac:dyDescent="0.35">
      <c r="A2721">
        <v>2720</v>
      </c>
      <c r="B2721" t="s">
        <v>220</v>
      </c>
      <c r="C2721" t="s">
        <v>337</v>
      </c>
      <c r="D2721">
        <v>2025</v>
      </c>
      <c r="E2721" t="s">
        <v>53</v>
      </c>
      <c r="F2721">
        <v>53.9</v>
      </c>
      <c r="G2721" t="s">
        <v>348</v>
      </c>
      <c r="H2721">
        <f>electric_vehicles_dataset[[#This Row],[Battery_Capacity_kWh]]/electric_vehicles_dataset[[#This Row],[Range_km]]</f>
        <v>0.53900000000000003</v>
      </c>
      <c r="I2721">
        <v>100</v>
      </c>
      <c r="J2721" t="s">
        <v>358</v>
      </c>
      <c r="K2721">
        <v>1</v>
      </c>
      <c r="L2721" s="1">
        <v>92906.18</v>
      </c>
      <c r="M2721" s="1" t="str" cm="1">
        <f t="array" ref="M272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21" t="s">
        <v>219</v>
      </c>
      <c r="O2721" t="s">
        <v>134</v>
      </c>
      <c r="P2721" s="2" t="s">
        <v>389</v>
      </c>
      <c r="Q2721">
        <v>4</v>
      </c>
      <c r="R2721" t="s">
        <v>392</v>
      </c>
      <c r="S2721" s="1">
        <f>electric_vehicles_dataset[[#This Row],[Units_Sold_2024]]*electric_vehicles_dataset[[#This Row],[Price_USD]]</f>
        <v>953124500.61999989</v>
      </c>
      <c r="T2721">
        <v>3</v>
      </c>
      <c r="U2721">
        <v>10259</v>
      </c>
      <c r="V2721">
        <v>3</v>
      </c>
    </row>
    <row r="2722" spans="1:22" x14ac:dyDescent="0.35">
      <c r="A2722">
        <v>2721</v>
      </c>
      <c r="B2722" t="s">
        <v>122</v>
      </c>
      <c r="C2722" t="s">
        <v>186</v>
      </c>
      <c r="D2722">
        <v>2020</v>
      </c>
      <c r="E2722" t="s">
        <v>47</v>
      </c>
      <c r="F2722">
        <v>113.8</v>
      </c>
      <c r="G2722" t="s">
        <v>361</v>
      </c>
      <c r="H2722">
        <f>electric_vehicles_dataset[[#This Row],[Battery_Capacity_kWh]]/electric_vehicles_dataset[[#This Row],[Range_km]]</f>
        <v>0.21593927893738141</v>
      </c>
      <c r="I2722">
        <v>527</v>
      </c>
      <c r="J2722" t="s">
        <v>105</v>
      </c>
      <c r="K2722">
        <v>10</v>
      </c>
      <c r="L2722" s="1">
        <v>40015.25</v>
      </c>
      <c r="M2722" s="1" t="str" cm="1">
        <f t="array" ref="M272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22" t="s">
        <v>142</v>
      </c>
      <c r="O2722" t="s">
        <v>354</v>
      </c>
      <c r="P2722" s="2" t="s">
        <v>394</v>
      </c>
      <c r="Q2722">
        <v>0</v>
      </c>
      <c r="R2722" t="s">
        <v>390</v>
      </c>
      <c r="S2722" s="1">
        <f>electric_vehicles_dataset[[#This Row],[Units_Sold_2024]]*electric_vehicles_dataset[[#This Row],[Price_USD]]</f>
        <v>397071325.75</v>
      </c>
      <c r="T2722">
        <v>4</v>
      </c>
      <c r="U2722">
        <v>9923</v>
      </c>
      <c r="V2722">
        <v>4</v>
      </c>
    </row>
    <row r="2723" spans="1:22" x14ac:dyDescent="0.35">
      <c r="A2723">
        <v>2722</v>
      </c>
      <c r="B2723" t="s">
        <v>71</v>
      </c>
      <c r="C2723" t="s">
        <v>258</v>
      </c>
      <c r="D2723">
        <v>2020</v>
      </c>
      <c r="E2723" t="s">
        <v>17</v>
      </c>
      <c r="F2723">
        <v>51.5</v>
      </c>
      <c r="G2723" t="s">
        <v>348</v>
      </c>
      <c r="H2723">
        <f>electric_vehicles_dataset[[#This Row],[Battery_Capacity_kWh]]/electric_vehicles_dataset[[#This Row],[Range_km]]</f>
        <v>0.38148148148148148</v>
      </c>
      <c r="I2723">
        <v>135</v>
      </c>
      <c r="J2723" t="s">
        <v>48</v>
      </c>
      <c r="K2723">
        <v>7</v>
      </c>
      <c r="L2723" s="1">
        <v>69357.36</v>
      </c>
      <c r="M2723" s="1" t="str" cm="1">
        <f t="array" ref="M272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23" t="s">
        <v>257</v>
      </c>
      <c r="O2723" t="s">
        <v>169</v>
      </c>
      <c r="P2723" s="2" t="s">
        <v>394</v>
      </c>
      <c r="Q2723">
        <v>0</v>
      </c>
      <c r="R2723" t="s">
        <v>390</v>
      </c>
      <c r="S2723" s="1">
        <f>electric_vehicles_dataset[[#This Row],[Units_Sold_2024]]*electric_vehicles_dataset[[#This Row],[Price_USD]]</f>
        <v>432997998.48000002</v>
      </c>
      <c r="T2723">
        <v>5</v>
      </c>
      <c r="U2723">
        <v>6243</v>
      </c>
      <c r="V2723">
        <v>5</v>
      </c>
    </row>
    <row r="2724" spans="1:22" x14ac:dyDescent="0.35">
      <c r="A2724">
        <v>2723</v>
      </c>
      <c r="B2724" t="s">
        <v>122</v>
      </c>
      <c r="C2724" t="s">
        <v>123</v>
      </c>
      <c r="D2724">
        <v>2022</v>
      </c>
      <c r="E2724" t="s">
        <v>90</v>
      </c>
      <c r="F2724">
        <v>76.8</v>
      </c>
      <c r="G2724" t="s">
        <v>351</v>
      </c>
      <c r="H2724">
        <f>electric_vehicles_dataset[[#This Row],[Battery_Capacity_kWh]]/electric_vehicles_dataset[[#This Row],[Range_km]]</f>
        <v>0.61439999999999995</v>
      </c>
      <c r="I2724">
        <v>125</v>
      </c>
      <c r="J2724" t="s">
        <v>38</v>
      </c>
      <c r="K2724">
        <v>4</v>
      </c>
      <c r="L2724" s="1">
        <v>90291.01</v>
      </c>
      <c r="M2724" s="1" t="str" cm="1">
        <f t="array" ref="M272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24" t="s">
        <v>219</v>
      </c>
      <c r="O2724" t="s">
        <v>110</v>
      </c>
      <c r="P2724" s="2" t="s">
        <v>394</v>
      </c>
      <c r="Q2724">
        <v>0</v>
      </c>
      <c r="R2724" t="s">
        <v>390</v>
      </c>
      <c r="S2724" s="1">
        <f>electric_vehicles_dataset[[#This Row],[Units_Sold_2024]]*electric_vehicles_dataset[[#This Row],[Price_USD]]</f>
        <v>808736576.56999993</v>
      </c>
      <c r="T2724">
        <v>4</v>
      </c>
      <c r="U2724">
        <v>8957</v>
      </c>
      <c r="V2724">
        <v>3</v>
      </c>
    </row>
    <row r="2725" spans="1:22" x14ac:dyDescent="0.35">
      <c r="A2725">
        <v>2724</v>
      </c>
      <c r="B2725" t="s">
        <v>120</v>
      </c>
      <c r="C2725" t="s">
        <v>195</v>
      </c>
      <c r="D2725">
        <v>2021</v>
      </c>
      <c r="E2725" t="s">
        <v>26</v>
      </c>
      <c r="F2725">
        <v>53.9</v>
      </c>
      <c r="G2725" t="s">
        <v>348</v>
      </c>
      <c r="H2725">
        <f>electric_vehicles_dataset[[#This Row],[Battery_Capacity_kWh]]/electric_vehicles_dataset[[#This Row],[Range_km]]</f>
        <v>0.41782945736434107</v>
      </c>
      <c r="I2725">
        <v>129</v>
      </c>
      <c r="J2725" t="s">
        <v>34</v>
      </c>
      <c r="K2725">
        <v>7</v>
      </c>
      <c r="L2725" s="1">
        <v>61614.23</v>
      </c>
      <c r="M2725" s="1" t="str" cm="1">
        <f t="array" ref="M272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25" t="s">
        <v>277</v>
      </c>
      <c r="O2725" t="s">
        <v>206</v>
      </c>
      <c r="P2725" s="2" t="s">
        <v>394</v>
      </c>
      <c r="Q2725">
        <v>0</v>
      </c>
      <c r="R2725" t="s">
        <v>390</v>
      </c>
      <c r="S2725" s="1">
        <f>electric_vehicles_dataset[[#This Row],[Units_Sold_2024]]*electric_vehicles_dataset[[#This Row],[Price_USD]]</f>
        <v>520578629.27000004</v>
      </c>
      <c r="T2725">
        <v>4</v>
      </c>
      <c r="U2725">
        <v>8449</v>
      </c>
      <c r="V2725">
        <v>3</v>
      </c>
    </row>
    <row r="2726" spans="1:22" x14ac:dyDescent="0.35">
      <c r="A2726">
        <v>2725</v>
      </c>
      <c r="B2726" t="s">
        <v>269</v>
      </c>
      <c r="C2726" t="s">
        <v>329</v>
      </c>
      <c r="D2726">
        <v>2022</v>
      </c>
      <c r="E2726" t="s">
        <v>183</v>
      </c>
      <c r="F2726">
        <v>84.9</v>
      </c>
      <c r="G2726" t="s">
        <v>350</v>
      </c>
      <c r="H2726">
        <f>electric_vehicles_dataset[[#This Row],[Battery_Capacity_kWh]]/electric_vehicles_dataset[[#This Row],[Range_km]]</f>
        <v>0.16778656126482214</v>
      </c>
      <c r="I2726">
        <v>506</v>
      </c>
      <c r="J2726" t="s">
        <v>48</v>
      </c>
      <c r="K2726">
        <v>4</v>
      </c>
      <c r="L2726" s="1">
        <v>96969.01</v>
      </c>
      <c r="M2726" s="1" t="str" cm="1">
        <f t="array" ref="M272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26" t="s">
        <v>81</v>
      </c>
      <c r="O2726" t="s">
        <v>93</v>
      </c>
      <c r="P2726" s="2" t="s">
        <v>389</v>
      </c>
      <c r="Q2726">
        <v>2</v>
      </c>
      <c r="R2726" t="s">
        <v>391</v>
      </c>
      <c r="S2726" s="1">
        <f>electric_vehicles_dataset[[#This Row],[Units_Sold_2024]]*electric_vehicles_dataset[[#This Row],[Price_USD]]</f>
        <v>240289206.78</v>
      </c>
      <c r="T2726">
        <v>4</v>
      </c>
      <c r="U2726">
        <v>2478</v>
      </c>
      <c r="V2726">
        <v>5</v>
      </c>
    </row>
    <row r="2727" spans="1:22" x14ac:dyDescent="0.35">
      <c r="A2727">
        <v>2726</v>
      </c>
      <c r="B2727" t="s">
        <v>262</v>
      </c>
      <c r="C2727" t="s">
        <v>373</v>
      </c>
      <c r="D2727">
        <v>2020</v>
      </c>
      <c r="E2727" t="s">
        <v>53</v>
      </c>
      <c r="F2727">
        <v>83.7</v>
      </c>
      <c r="G2727" t="s">
        <v>350</v>
      </c>
      <c r="H2727">
        <f>electric_vehicles_dataset[[#This Row],[Battery_Capacity_kWh]]/electric_vehicles_dataset[[#This Row],[Range_km]]</f>
        <v>0.2174025974025974</v>
      </c>
      <c r="I2727">
        <v>385</v>
      </c>
      <c r="J2727" t="s">
        <v>85</v>
      </c>
      <c r="K2727">
        <v>5</v>
      </c>
      <c r="L2727" s="1">
        <v>118562.03</v>
      </c>
      <c r="M2727" s="1" t="str" cm="1">
        <f t="array" ref="M272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27" t="s">
        <v>28</v>
      </c>
      <c r="O2727" t="s">
        <v>89</v>
      </c>
      <c r="P2727" s="2" t="s">
        <v>389</v>
      </c>
      <c r="Q2727">
        <v>2</v>
      </c>
      <c r="R2727" t="s">
        <v>391</v>
      </c>
      <c r="S2727" s="1">
        <f>electric_vehicles_dataset[[#This Row],[Units_Sold_2024]]*electric_vehicles_dataset[[#This Row],[Price_USD]]</f>
        <v>1083894078.26</v>
      </c>
      <c r="T2727">
        <v>4</v>
      </c>
      <c r="U2727">
        <v>9142</v>
      </c>
      <c r="V2727">
        <v>5</v>
      </c>
    </row>
    <row r="2728" spans="1:22" x14ac:dyDescent="0.35">
      <c r="A2728">
        <v>2727</v>
      </c>
      <c r="B2728" t="s">
        <v>60</v>
      </c>
      <c r="C2728" t="s">
        <v>248</v>
      </c>
      <c r="D2728">
        <v>2019</v>
      </c>
      <c r="E2728" t="s">
        <v>183</v>
      </c>
      <c r="F2728">
        <v>38.799999999999997</v>
      </c>
      <c r="G2728" t="s">
        <v>357</v>
      </c>
      <c r="H2728">
        <f>electric_vehicles_dataset[[#This Row],[Battery_Capacity_kWh]]/electric_vehicles_dataset[[#This Row],[Range_km]]</f>
        <v>0.12638436482084689</v>
      </c>
      <c r="I2728">
        <v>307</v>
      </c>
      <c r="J2728" t="s">
        <v>356</v>
      </c>
      <c r="K2728">
        <v>10</v>
      </c>
      <c r="L2728" s="1">
        <v>32253.88</v>
      </c>
      <c r="M2728" s="1" t="str" cm="1">
        <f t="array" ref="M272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28" t="s">
        <v>19</v>
      </c>
      <c r="O2728" t="s">
        <v>67</v>
      </c>
      <c r="P2728" s="2" t="s">
        <v>394</v>
      </c>
      <c r="Q2728">
        <v>0</v>
      </c>
      <c r="R2728" t="s">
        <v>390</v>
      </c>
      <c r="S2728" s="1">
        <f>electric_vehicles_dataset[[#This Row],[Units_Sold_2024]]*electric_vehicles_dataset[[#This Row],[Price_USD]]</f>
        <v>463165716.80000001</v>
      </c>
      <c r="T2728">
        <v>3</v>
      </c>
      <c r="U2728">
        <v>14360</v>
      </c>
      <c r="V2728">
        <v>5</v>
      </c>
    </row>
    <row r="2729" spans="1:22" x14ac:dyDescent="0.35">
      <c r="A2729">
        <v>2728</v>
      </c>
      <c r="B2729" t="s">
        <v>140</v>
      </c>
      <c r="C2729" t="s">
        <v>256</v>
      </c>
      <c r="D2729">
        <v>2017</v>
      </c>
      <c r="E2729" t="s">
        <v>42</v>
      </c>
      <c r="F2729">
        <v>86.3</v>
      </c>
      <c r="G2729" t="s">
        <v>350</v>
      </c>
      <c r="H2729">
        <f>electric_vehicles_dataset[[#This Row],[Battery_Capacity_kWh]]/electric_vehicles_dataset[[#This Row],[Range_km]]</f>
        <v>0.15719489981785062</v>
      </c>
      <c r="I2729">
        <v>549</v>
      </c>
      <c r="J2729" t="s">
        <v>345</v>
      </c>
      <c r="K2729">
        <v>1</v>
      </c>
      <c r="L2729" s="1">
        <v>47157.55</v>
      </c>
      <c r="M2729" s="1" t="str" cm="1">
        <f t="array" ref="M27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29" t="s">
        <v>228</v>
      </c>
      <c r="O2729" t="s">
        <v>169</v>
      </c>
      <c r="P2729" s="2" t="s">
        <v>394</v>
      </c>
      <c r="Q2729">
        <v>5</v>
      </c>
      <c r="R2729" t="s">
        <v>392</v>
      </c>
      <c r="S2729" s="1">
        <f>electric_vehicles_dataset[[#This Row],[Units_Sold_2024]]*electric_vehicles_dataset[[#This Row],[Price_USD]]</f>
        <v>688075812.05000007</v>
      </c>
      <c r="T2729">
        <v>3</v>
      </c>
      <c r="U2729">
        <v>14591</v>
      </c>
      <c r="V2729">
        <v>4</v>
      </c>
    </row>
    <row r="2730" spans="1:22" x14ac:dyDescent="0.35">
      <c r="A2730">
        <v>2729</v>
      </c>
      <c r="B2730" t="s">
        <v>68</v>
      </c>
      <c r="C2730" t="s">
        <v>289</v>
      </c>
      <c r="D2730">
        <v>2016</v>
      </c>
      <c r="E2730" t="s">
        <v>130</v>
      </c>
      <c r="F2730">
        <v>104.9</v>
      </c>
      <c r="G2730" t="s">
        <v>361</v>
      </c>
      <c r="H2730">
        <f>electric_vehicles_dataset[[#This Row],[Battery_Capacity_kWh]]/electric_vehicles_dataset[[#This Row],[Range_km]]</f>
        <v>0.85983606557377057</v>
      </c>
      <c r="I2730">
        <v>122</v>
      </c>
      <c r="J2730" t="s">
        <v>358</v>
      </c>
      <c r="K2730">
        <v>7</v>
      </c>
      <c r="L2730" s="1">
        <v>138200.85999999999</v>
      </c>
      <c r="M2730" s="1" t="str" cm="1">
        <f t="array" ref="M27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30" t="s">
        <v>102</v>
      </c>
      <c r="O2730" t="s">
        <v>199</v>
      </c>
      <c r="P2730" s="2" t="s">
        <v>394</v>
      </c>
      <c r="Q2730">
        <v>3</v>
      </c>
      <c r="R2730" t="s">
        <v>397</v>
      </c>
      <c r="S2730" s="1">
        <f>electric_vehicles_dataset[[#This Row],[Units_Sold_2024]]*electric_vehicles_dataset[[#This Row],[Price_USD]]</f>
        <v>2117098974.3399997</v>
      </c>
      <c r="T2730">
        <v>5</v>
      </c>
      <c r="U2730">
        <v>15319</v>
      </c>
      <c r="V2730">
        <v>4</v>
      </c>
    </row>
    <row r="2731" spans="1:22" x14ac:dyDescent="0.35">
      <c r="A2731">
        <v>2730</v>
      </c>
      <c r="B2731" t="s">
        <v>125</v>
      </c>
      <c r="C2731" t="s">
        <v>276</v>
      </c>
      <c r="D2731">
        <v>2025</v>
      </c>
      <c r="E2731" t="s">
        <v>84</v>
      </c>
      <c r="F2731">
        <v>60.7</v>
      </c>
      <c r="G2731" t="s">
        <v>351</v>
      </c>
      <c r="H2731">
        <f>electric_vehicles_dataset[[#This Row],[Battery_Capacity_kWh]]/electric_vehicles_dataset[[#This Row],[Range_km]]</f>
        <v>0.37469135802469139</v>
      </c>
      <c r="I2731">
        <v>162</v>
      </c>
      <c r="J2731" t="s">
        <v>345</v>
      </c>
      <c r="K2731">
        <v>10</v>
      </c>
      <c r="L2731" s="1">
        <v>68693.52</v>
      </c>
      <c r="M2731" s="1" t="str" cm="1">
        <f t="array" ref="M273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31" t="s">
        <v>301</v>
      </c>
      <c r="O2731" t="s">
        <v>230</v>
      </c>
      <c r="P2731" s="2" t="s">
        <v>389</v>
      </c>
      <c r="Q2731">
        <v>0</v>
      </c>
      <c r="R2731" t="s">
        <v>390</v>
      </c>
      <c r="S2731" s="1">
        <f>electric_vehicles_dataset[[#This Row],[Units_Sold_2024]]*electric_vehicles_dataset[[#This Row],[Price_USD]]</f>
        <v>249563558.16000003</v>
      </c>
      <c r="T2731">
        <v>4</v>
      </c>
      <c r="U2731">
        <v>3633</v>
      </c>
      <c r="V2731">
        <v>5</v>
      </c>
    </row>
    <row r="2732" spans="1:22" x14ac:dyDescent="0.35">
      <c r="A2732">
        <v>2731</v>
      </c>
      <c r="B2732" t="s">
        <v>269</v>
      </c>
      <c r="C2732" t="s">
        <v>307</v>
      </c>
      <c r="D2732">
        <v>2015</v>
      </c>
      <c r="E2732" t="s">
        <v>53</v>
      </c>
      <c r="F2732">
        <v>78.3</v>
      </c>
      <c r="G2732" t="s">
        <v>351</v>
      </c>
      <c r="H2732">
        <f>electric_vehicles_dataset[[#This Row],[Battery_Capacity_kWh]]/electric_vehicles_dataset[[#This Row],[Range_km]]</f>
        <v>0.22894736842105262</v>
      </c>
      <c r="I2732">
        <v>342</v>
      </c>
      <c r="J2732" t="s">
        <v>105</v>
      </c>
      <c r="K2732">
        <v>3</v>
      </c>
      <c r="L2732" s="1">
        <v>64073.81</v>
      </c>
      <c r="M2732" s="1" t="str" cm="1">
        <f t="array" ref="M273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32" t="s">
        <v>165</v>
      </c>
      <c r="O2732" t="s">
        <v>33</v>
      </c>
      <c r="P2732" s="2" t="s">
        <v>393</v>
      </c>
      <c r="Q2732">
        <v>0</v>
      </c>
      <c r="R2732" t="s">
        <v>390</v>
      </c>
      <c r="S2732" s="1">
        <f>electric_vehicles_dataset[[#This Row],[Units_Sold_2024]]*electric_vehicles_dataset[[#This Row],[Price_USD]]</f>
        <v>1012430271.8099999</v>
      </c>
      <c r="T2732">
        <v>4</v>
      </c>
      <c r="U2732">
        <v>15801</v>
      </c>
      <c r="V2732">
        <v>3</v>
      </c>
    </row>
    <row r="2733" spans="1:22" x14ac:dyDescent="0.35">
      <c r="A2733">
        <v>2732</v>
      </c>
      <c r="B2733" t="s">
        <v>222</v>
      </c>
      <c r="C2733" t="s">
        <v>295</v>
      </c>
      <c r="D2733">
        <v>2022</v>
      </c>
      <c r="E2733" t="s">
        <v>101</v>
      </c>
      <c r="F2733">
        <v>109.4</v>
      </c>
      <c r="G2733" t="s">
        <v>361</v>
      </c>
      <c r="H2733">
        <f>electric_vehicles_dataset[[#This Row],[Battery_Capacity_kWh]]/electric_vehicles_dataset[[#This Row],[Range_km]]</f>
        <v>0.26748166259168704</v>
      </c>
      <c r="I2733">
        <v>409</v>
      </c>
      <c r="J2733" t="s">
        <v>85</v>
      </c>
      <c r="K2733">
        <v>10</v>
      </c>
      <c r="L2733" s="1">
        <v>51225.19</v>
      </c>
      <c r="M2733" s="1" t="str" cm="1">
        <f t="array" ref="M273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33" t="s">
        <v>62</v>
      </c>
      <c r="O2733" t="s">
        <v>159</v>
      </c>
      <c r="P2733" s="2" t="s">
        <v>389</v>
      </c>
      <c r="Q2733">
        <v>0</v>
      </c>
      <c r="R2733" t="s">
        <v>390</v>
      </c>
      <c r="S2733" s="1">
        <f>electric_vehicles_dataset[[#This Row],[Units_Sold_2024]]*electric_vehicles_dataset[[#This Row],[Price_USD]]</f>
        <v>993461334.86000001</v>
      </c>
      <c r="T2733">
        <v>4</v>
      </c>
      <c r="U2733">
        <v>19394</v>
      </c>
      <c r="V2733">
        <v>3</v>
      </c>
    </row>
    <row r="2734" spans="1:22" x14ac:dyDescent="0.35">
      <c r="A2734">
        <v>2733</v>
      </c>
      <c r="B2734" t="s">
        <v>64</v>
      </c>
      <c r="C2734" t="s">
        <v>65</v>
      </c>
      <c r="D2734">
        <v>2017</v>
      </c>
      <c r="E2734" t="s">
        <v>130</v>
      </c>
      <c r="F2734">
        <v>143.80000000000001</v>
      </c>
      <c r="G2734" t="s">
        <v>386</v>
      </c>
      <c r="H2734">
        <f>electric_vehicles_dataset[[#This Row],[Battery_Capacity_kWh]]/electric_vehicles_dataset[[#This Row],[Range_km]]</f>
        <v>0.29896049896049898</v>
      </c>
      <c r="I2734">
        <v>481</v>
      </c>
      <c r="J2734" t="s">
        <v>149</v>
      </c>
      <c r="K2734">
        <v>8</v>
      </c>
      <c r="L2734" s="1">
        <v>94168.34</v>
      </c>
      <c r="M2734" s="1" t="str" cm="1">
        <f t="array" ref="M27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34" t="s">
        <v>55</v>
      </c>
      <c r="O2734" t="s">
        <v>199</v>
      </c>
      <c r="P2734" s="2" t="s">
        <v>394</v>
      </c>
      <c r="Q2734">
        <v>3</v>
      </c>
      <c r="R2734" t="s">
        <v>397</v>
      </c>
      <c r="S2734" s="1">
        <f>electric_vehicles_dataset[[#This Row],[Units_Sold_2024]]*electric_vehicles_dataset[[#This Row],[Price_USD]]</f>
        <v>167807981.88</v>
      </c>
      <c r="T2734">
        <v>5</v>
      </c>
      <c r="U2734">
        <v>1782</v>
      </c>
      <c r="V2734">
        <v>5</v>
      </c>
    </row>
    <row r="2735" spans="1:22" x14ac:dyDescent="0.35">
      <c r="A2735">
        <v>2734</v>
      </c>
      <c r="B2735" t="s">
        <v>94</v>
      </c>
      <c r="C2735" t="s">
        <v>360</v>
      </c>
      <c r="D2735">
        <v>2016</v>
      </c>
      <c r="E2735" t="s">
        <v>101</v>
      </c>
      <c r="F2735">
        <v>109.3</v>
      </c>
      <c r="G2735" t="s">
        <v>361</v>
      </c>
      <c r="H2735">
        <f>electric_vehicles_dataset[[#This Row],[Battery_Capacity_kWh]]/electric_vehicles_dataset[[#This Row],[Range_km]]</f>
        <v>0.88861788617886173</v>
      </c>
      <c r="I2735">
        <v>123</v>
      </c>
      <c r="J2735" t="s">
        <v>149</v>
      </c>
      <c r="K2735">
        <v>7</v>
      </c>
      <c r="L2735" s="1">
        <v>127009.04</v>
      </c>
      <c r="M2735" s="1" t="str" cm="1">
        <f t="array" ref="M273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35" t="s">
        <v>271</v>
      </c>
      <c r="O2735" t="s">
        <v>265</v>
      </c>
      <c r="P2735" s="2" t="s">
        <v>389</v>
      </c>
      <c r="Q2735">
        <v>5</v>
      </c>
      <c r="R2735" t="s">
        <v>392</v>
      </c>
      <c r="S2735" s="1">
        <f>electric_vehicles_dataset[[#This Row],[Units_Sold_2024]]*electric_vehicles_dataset[[#This Row],[Price_USD]]</f>
        <v>2219864001.1199999</v>
      </c>
      <c r="T2735">
        <v>5</v>
      </c>
      <c r="U2735">
        <v>17478</v>
      </c>
      <c r="V2735">
        <v>5</v>
      </c>
    </row>
    <row r="2736" spans="1:22" x14ac:dyDescent="0.35">
      <c r="A2736">
        <v>2735</v>
      </c>
      <c r="B2736" t="s">
        <v>144</v>
      </c>
      <c r="C2736" t="s">
        <v>273</v>
      </c>
      <c r="D2736">
        <v>2017</v>
      </c>
      <c r="E2736" t="s">
        <v>73</v>
      </c>
      <c r="F2736">
        <v>120.6</v>
      </c>
      <c r="G2736" t="s">
        <v>352</v>
      </c>
      <c r="H2736">
        <f>electric_vehicles_dataset[[#This Row],[Battery_Capacity_kWh]]/electric_vehicles_dataset[[#This Row],[Range_km]]</f>
        <v>0.43854545454545452</v>
      </c>
      <c r="I2736">
        <v>275</v>
      </c>
      <c r="J2736" t="s">
        <v>34</v>
      </c>
      <c r="K2736">
        <v>10</v>
      </c>
      <c r="L2736" s="1">
        <v>37299.379999999997</v>
      </c>
      <c r="M2736" s="1" t="str" cm="1">
        <f t="array" ref="M27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36" t="s">
        <v>205</v>
      </c>
      <c r="O2736" t="s">
        <v>169</v>
      </c>
      <c r="P2736" s="2" t="s">
        <v>394</v>
      </c>
      <c r="Q2736">
        <v>5</v>
      </c>
      <c r="R2736" t="s">
        <v>392</v>
      </c>
      <c r="S2736" s="1">
        <f>electric_vehicles_dataset[[#This Row],[Units_Sold_2024]]*electric_vehicles_dataset[[#This Row],[Price_USD]]</f>
        <v>181759878.73999998</v>
      </c>
      <c r="T2736">
        <v>3</v>
      </c>
      <c r="U2736">
        <v>4873</v>
      </c>
      <c r="V2736">
        <v>4</v>
      </c>
    </row>
    <row r="2737" spans="1:22" x14ac:dyDescent="0.35">
      <c r="A2737">
        <v>2736</v>
      </c>
      <c r="B2737" t="s">
        <v>262</v>
      </c>
      <c r="C2737" t="s">
        <v>263</v>
      </c>
      <c r="D2737">
        <v>2016</v>
      </c>
      <c r="E2737" t="s">
        <v>26</v>
      </c>
      <c r="F2737">
        <v>72.400000000000006</v>
      </c>
      <c r="G2737" t="s">
        <v>351</v>
      </c>
      <c r="H2737">
        <f>electric_vehicles_dataset[[#This Row],[Battery_Capacity_kWh]]/electric_vehicles_dataset[[#This Row],[Range_km]]</f>
        <v>0.1675925925925926</v>
      </c>
      <c r="I2737">
        <v>432</v>
      </c>
      <c r="J2737" t="s">
        <v>85</v>
      </c>
      <c r="K2737">
        <v>9</v>
      </c>
      <c r="L2737" s="1">
        <v>118226.92</v>
      </c>
      <c r="M2737" s="1" t="str" cm="1">
        <f t="array" ref="M273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37" t="s">
        <v>253</v>
      </c>
      <c r="O2737" t="s">
        <v>78</v>
      </c>
      <c r="P2737" s="2" t="s">
        <v>389</v>
      </c>
      <c r="Q2737">
        <v>1</v>
      </c>
      <c r="R2737" t="s">
        <v>391</v>
      </c>
      <c r="S2737" s="1">
        <f>electric_vehicles_dataset[[#This Row],[Units_Sold_2024]]*electric_vehicles_dataset[[#This Row],[Price_USD]]</f>
        <v>1362565253</v>
      </c>
      <c r="T2737">
        <v>5</v>
      </c>
      <c r="U2737">
        <v>11525</v>
      </c>
      <c r="V2737">
        <v>5</v>
      </c>
    </row>
    <row r="2738" spans="1:22" x14ac:dyDescent="0.35">
      <c r="A2738">
        <v>2737</v>
      </c>
      <c r="B2738" t="s">
        <v>184</v>
      </c>
      <c r="C2738" t="s">
        <v>251</v>
      </c>
      <c r="D2738">
        <v>2016</v>
      </c>
      <c r="E2738" t="s">
        <v>42</v>
      </c>
      <c r="F2738">
        <v>77</v>
      </c>
      <c r="G2738" t="s">
        <v>351</v>
      </c>
      <c r="H2738">
        <f>electric_vehicles_dataset[[#This Row],[Battery_Capacity_kWh]]/electric_vehicles_dataset[[#This Row],[Range_km]]</f>
        <v>0.26279863481228671</v>
      </c>
      <c r="I2738">
        <v>293</v>
      </c>
      <c r="J2738" t="s">
        <v>364</v>
      </c>
      <c r="K2738">
        <v>6</v>
      </c>
      <c r="L2738" s="1">
        <v>79602.02</v>
      </c>
      <c r="M2738" s="1" t="str" cm="1">
        <f t="array" ref="M273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38" t="s">
        <v>59</v>
      </c>
      <c r="O2738" t="s">
        <v>164</v>
      </c>
      <c r="P2738" s="2" t="s">
        <v>394</v>
      </c>
      <c r="Q2738">
        <v>2</v>
      </c>
      <c r="R2738" t="s">
        <v>391</v>
      </c>
      <c r="S2738" s="1">
        <f>electric_vehicles_dataset[[#This Row],[Units_Sold_2024]]*electric_vehicles_dataset[[#This Row],[Price_USD]]</f>
        <v>503005164.38000005</v>
      </c>
      <c r="T2738">
        <v>5</v>
      </c>
      <c r="U2738">
        <v>6319</v>
      </c>
      <c r="V2738">
        <v>4</v>
      </c>
    </row>
    <row r="2739" spans="1:22" x14ac:dyDescent="0.35">
      <c r="A2739">
        <v>2738</v>
      </c>
      <c r="B2739" t="s">
        <v>71</v>
      </c>
      <c r="C2739" t="s">
        <v>315</v>
      </c>
      <c r="D2739">
        <v>2020</v>
      </c>
      <c r="E2739" t="s">
        <v>31</v>
      </c>
      <c r="F2739">
        <v>147.5</v>
      </c>
      <c r="G2739" t="s">
        <v>386</v>
      </c>
      <c r="H2739">
        <f>electric_vehicles_dataset[[#This Row],[Battery_Capacity_kWh]]/electric_vehicles_dataset[[#This Row],[Range_km]]</f>
        <v>0.50513698630136983</v>
      </c>
      <c r="I2739">
        <v>292</v>
      </c>
      <c r="J2739" t="s">
        <v>356</v>
      </c>
      <c r="K2739">
        <v>3</v>
      </c>
      <c r="L2739" s="1">
        <v>47315.21</v>
      </c>
      <c r="M2739" s="1" t="str" cm="1">
        <f t="array" ref="M273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39" t="s">
        <v>279</v>
      </c>
      <c r="O2739" t="s">
        <v>118</v>
      </c>
      <c r="P2739" s="2" t="s">
        <v>389</v>
      </c>
      <c r="Q2739">
        <v>2</v>
      </c>
      <c r="R2739" t="s">
        <v>391</v>
      </c>
      <c r="S2739" s="1">
        <f>electric_vehicles_dataset[[#This Row],[Units_Sold_2024]]*electric_vehicles_dataset[[#This Row],[Price_USD]]</f>
        <v>852052301.67999995</v>
      </c>
      <c r="T2739">
        <v>3</v>
      </c>
      <c r="U2739">
        <v>18008</v>
      </c>
      <c r="V2739">
        <v>3</v>
      </c>
    </row>
    <row r="2740" spans="1:22" x14ac:dyDescent="0.35">
      <c r="A2740">
        <v>2739</v>
      </c>
      <c r="B2740" t="s">
        <v>24</v>
      </c>
      <c r="C2740" t="s">
        <v>300</v>
      </c>
      <c r="D2740">
        <v>2015</v>
      </c>
      <c r="E2740" t="s">
        <v>90</v>
      </c>
      <c r="F2740">
        <v>77.099999999999994</v>
      </c>
      <c r="G2740" t="s">
        <v>351</v>
      </c>
      <c r="H2740">
        <f>electric_vehicles_dataset[[#This Row],[Battery_Capacity_kWh]]/electric_vehicles_dataset[[#This Row],[Range_km]]</f>
        <v>0.15147347740667974</v>
      </c>
      <c r="I2740">
        <v>509</v>
      </c>
      <c r="J2740" t="s">
        <v>345</v>
      </c>
      <c r="K2740">
        <v>10</v>
      </c>
      <c r="L2740" s="1">
        <v>128682.82</v>
      </c>
      <c r="M2740" s="1" t="str" cm="1">
        <f t="array" ref="M274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40" t="s">
        <v>39</v>
      </c>
      <c r="O2740" t="s">
        <v>354</v>
      </c>
      <c r="P2740" s="2" t="s">
        <v>394</v>
      </c>
      <c r="Q2740">
        <v>0</v>
      </c>
      <c r="R2740" t="s">
        <v>390</v>
      </c>
      <c r="S2740" s="1">
        <f>electric_vehicles_dataset[[#This Row],[Units_Sold_2024]]*electric_vehicles_dataset[[#This Row],[Price_USD]]</f>
        <v>1212320847.22</v>
      </c>
      <c r="T2740">
        <v>3</v>
      </c>
      <c r="U2740">
        <v>9421</v>
      </c>
      <c r="V2740">
        <v>3</v>
      </c>
    </row>
    <row r="2741" spans="1:22" x14ac:dyDescent="0.35">
      <c r="A2741">
        <v>2740</v>
      </c>
      <c r="B2741" t="s">
        <v>51</v>
      </c>
      <c r="C2741" t="s">
        <v>52</v>
      </c>
      <c r="D2741">
        <v>2015</v>
      </c>
      <c r="E2741" t="s">
        <v>73</v>
      </c>
      <c r="F2741">
        <v>20.6</v>
      </c>
      <c r="G2741" t="s">
        <v>357</v>
      </c>
      <c r="H2741">
        <f>electric_vehicles_dataset[[#This Row],[Battery_Capacity_kWh]]/electric_vehicles_dataset[[#This Row],[Range_km]]</f>
        <v>6.8896321070234121E-2</v>
      </c>
      <c r="I2741">
        <v>299</v>
      </c>
      <c r="J2741" t="s">
        <v>38</v>
      </c>
      <c r="K2741">
        <v>7</v>
      </c>
      <c r="L2741" s="1">
        <v>91832.9</v>
      </c>
      <c r="M2741" s="1" t="str" cm="1">
        <f t="array" ref="M27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41" t="s">
        <v>100</v>
      </c>
      <c r="O2741" t="s">
        <v>182</v>
      </c>
      <c r="P2741" s="2" t="s">
        <v>394</v>
      </c>
      <c r="Q2741">
        <v>0</v>
      </c>
      <c r="R2741" t="s">
        <v>390</v>
      </c>
      <c r="S2741" s="1">
        <f>electric_vehicles_dataset[[#This Row],[Units_Sold_2024]]*electric_vehicles_dataset[[#This Row],[Price_USD]]</f>
        <v>677451303.29999995</v>
      </c>
      <c r="T2741">
        <v>3</v>
      </c>
      <c r="U2741">
        <v>7377</v>
      </c>
      <c r="V2741">
        <v>5</v>
      </c>
    </row>
    <row r="2742" spans="1:22" x14ac:dyDescent="0.35">
      <c r="A2742">
        <v>2741</v>
      </c>
      <c r="B2742" t="s">
        <v>74</v>
      </c>
      <c r="C2742" t="s">
        <v>75</v>
      </c>
      <c r="D2742">
        <v>2025</v>
      </c>
      <c r="E2742" t="s">
        <v>17</v>
      </c>
      <c r="F2742">
        <v>73.8</v>
      </c>
      <c r="G2742" t="s">
        <v>351</v>
      </c>
      <c r="H2742">
        <f>electric_vehicles_dataset[[#This Row],[Battery_Capacity_kWh]]/electric_vehicles_dataset[[#This Row],[Range_km]]</f>
        <v>0.15974025974025974</v>
      </c>
      <c r="I2742">
        <v>462</v>
      </c>
      <c r="J2742" t="s">
        <v>356</v>
      </c>
      <c r="K2742">
        <v>11</v>
      </c>
      <c r="L2742" s="1">
        <v>76057.570000000007</v>
      </c>
      <c r="M2742" s="1" t="str" cm="1">
        <f t="array" ref="M274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42" t="s">
        <v>59</v>
      </c>
      <c r="O2742" t="s">
        <v>78</v>
      </c>
      <c r="P2742" s="2" t="s">
        <v>389</v>
      </c>
      <c r="Q2742">
        <v>4</v>
      </c>
      <c r="R2742" t="s">
        <v>392</v>
      </c>
      <c r="S2742" s="1">
        <f>electric_vehicles_dataset[[#This Row],[Units_Sold_2024]]*electric_vehicles_dataset[[#This Row],[Price_USD]]</f>
        <v>126940084.33000001</v>
      </c>
      <c r="T2742">
        <v>4</v>
      </c>
      <c r="U2742">
        <v>1669</v>
      </c>
      <c r="V2742">
        <v>5</v>
      </c>
    </row>
    <row r="2743" spans="1:22" x14ac:dyDescent="0.35">
      <c r="A2743">
        <v>2742</v>
      </c>
      <c r="B2743" t="s">
        <v>56</v>
      </c>
      <c r="C2743" t="s">
        <v>57</v>
      </c>
      <c r="D2743">
        <v>2015</v>
      </c>
      <c r="E2743" t="s">
        <v>133</v>
      </c>
      <c r="F2743">
        <v>81.099999999999994</v>
      </c>
      <c r="G2743" t="s">
        <v>350</v>
      </c>
      <c r="H2743">
        <f>electric_vehicles_dataset[[#This Row],[Battery_Capacity_kWh]]/electric_vehicles_dataset[[#This Row],[Range_km]]</f>
        <v>0.49451219512195116</v>
      </c>
      <c r="I2743">
        <v>164</v>
      </c>
      <c r="J2743" t="s">
        <v>356</v>
      </c>
      <c r="K2743">
        <v>8</v>
      </c>
      <c r="L2743" s="1">
        <v>99233.98</v>
      </c>
      <c r="M2743" s="1" t="str" cm="1">
        <f t="array" ref="M274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43" t="s">
        <v>177</v>
      </c>
      <c r="O2743" t="s">
        <v>40</v>
      </c>
      <c r="P2743" s="2" t="s">
        <v>395</v>
      </c>
      <c r="Q2743">
        <v>2</v>
      </c>
      <c r="R2743" t="s">
        <v>391</v>
      </c>
      <c r="S2743" s="1">
        <f>electric_vehicles_dataset[[#This Row],[Units_Sold_2024]]*electric_vehicles_dataset[[#This Row],[Price_USD]]</f>
        <v>155301178.69999999</v>
      </c>
      <c r="T2743">
        <v>5</v>
      </c>
      <c r="U2743">
        <v>1565</v>
      </c>
      <c r="V2743">
        <v>4</v>
      </c>
    </row>
    <row r="2744" spans="1:22" x14ac:dyDescent="0.35">
      <c r="A2744">
        <v>2743</v>
      </c>
      <c r="B2744" t="s">
        <v>16</v>
      </c>
      <c r="C2744" t="s">
        <v>347</v>
      </c>
      <c r="D2744">
        <v>2016</v>
      </c>
      <c r="E2744" t="s">
        <v>53</v>
      </c>
      <c r="F2744">
        <v>101</v>
      </c>
      <c r="G2744" t="s">
        <v>361</v>
      </c>
      <c r="H2744">
        <f>electric_vehicles_dataset[[#This Row],[Battery_Capacity_kWh]]/electric_vehicles_dataset[[#This Row],[Range_km]]</f>
        <v>0.1759581881533101</v>
      </c>
      <c r="I2744">
        <v>574</v>
      </c>
      <c r="J2744" t="s">
        <v>38</v>
      </c>
      <c r="K2744">
        <v>11</v>
      </c>
      <c r="L2744" s="1">
        <v>69408.39</v>
      </c>
      <c r="M2744" s="1" t="str" cm="1">
        <f t="array" ref="M274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44" t="s">
        <v>152</v>
      </c>
      <c r="O2744" t="s">
        <v>124</v>
      </c>
      <c r="P2744" s="2" t="s">
        <v>389</v>
      </c>
      <c r="Q2744">
        <v>4</v>
      </c>
      <c r="R2744" t="s">
        <v>392</v>
      </c>
      <c r="S2744" s="1">
        <f>electric_vehicles_dataset[[#This Row],[Units_Sold_2024]]*electric_vehicles_dataset[[#This Row],[Price_USD]]</f>
        <v>1102413458.3699999</v>
      </c>
      <c r="T2744">
        <v>3</v>
      </c>
      <c r="U2744">
        <v>15883</v>
      </c>
      <c r="V2744">
        <v>4</v>
      </c>
    </row>
    <row r="2745" spans="1:22" x14ac:dyDescent="0.35">
      <c r="A2745">
        <v>2744</v>
      </c>
      <c r="B2745" t="s">
        <v>144</v>
      </c>
      <c r="C2745" t="s">
        <v>145</v>
      </c>
      <c r="D2745">
        <v>2017</v>
      </c>
      <c r="E2745" t="s">
        <v>47</v>
      </c>
      <c r="F2745">
        <v>41.4</v>
      </c>
      <c r="G2745" t="s">
        <v>348</v>
      </c>
      <c r="H2745">
        <f>electric_vehicles_dataset[[#This Row],[Battery_Capacity_kWh]]/electric_vehicles_dataset[[#This Row],[Range_km]]</f>
        <v>0.15563909774436091</v>
      </c>
      <c r="I2745">
        <v>266</v>
      </c>
      <c r="J2745" t="s">
        <v>76</v>
      </c>
      <c r="K2745">
        <v>6</v>
      </c>
      <c r="L2745" s="1">
        <v>71336.92</v>
      </c>
      <c r="M2745" s="1" t="str" cm="1">
        <f t="array" ref="M274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45" t="s">
        <v>102</v>
      </c>
      <c r="O2745" t="s">
        <v>86</v>
      </c>
      <c r="P2745" s="2" t="s">
        <v>389</v>
      </c>
      <c r="Q2745">
        <v>4</v>
      </c>
      <c r="R2745" t="s">
        <v>392</v>
      </c>
      <c r="S2745" s="1">
        <f>electric_vehicles_dataset[[#This Row],[Units_Sold_2024]]*electric_vehicles_dataset[[#This Row],[Price_USD]]</f>
        <v>170495238.79999998</v>
      </c>
      <c r="T2745">
        <v>4</v>
      </c>
      <c r="U2745">
        <v>2390</v>
      </c>
      <c r="V2745">
        <v>4</v>
      </c>
    </row>
    <row r="2746" spans="1:22" x14ac:dyDescent="0.35">
      <c r="A2746">
        <v>2745</v>
      </c>
      <c r="B2746" t="s">
        <v>187</v>
      </c>
      <c r="C2746" t="s">
        <v>188</v>
      </c>
      <c r="D2746">
        <v>2016</v>
      </c>
      <c r="E2746" t="s">
        <v>31</v>
      </c>
      <c r="F2746">
        <v>62.8</v>
      </c>
      <c r="G2746" t="s">
        <v>351</v>
      </c>
      <c r="H2746">
        <f>electric_vehicles_dataset[[#This Row],[Battery_Capacity_kWh]]/electric_vehicles_dataset[[#This Row],[Range_km]]</f>
        <v>0.27423580786026197</v>
      </c>
      <c r="I2746">
        <v>229</v>
      </c>
      <c r="J2746" t="s">
        <v>345</v>
      </c>
      <c r="K2746">
        <v>1</v>
      </c>
      <c r="L2746" s="1">
        <v>126117.03</v>
      </c>
      <c r="M2746" s="1" t="str" cm="1">
        <f t="array" ref="M274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46" t="s">
        <v>114</v>
      </c>
      <c r="O2746" t="s">
        <v>206</v>
      </c>
      <c r="P2746" s="2" t="s">
        <v>394</v>
      </c>
      <c r="Q2746">
        <v>2</v>
      </c>
      <c r="R2746" t="s">
        <v>391</v>
      </c>
      <c r="S2746" s="1">
        <f>electric_vehicles_dataset[[#This Row],[Units_Sold_2024]]*electric_vehicles_dataset[[#This Row],[Price_USD]]</f>
        <v>497405566.31999999</v>
      </c>
      <c r="T2746">
        <v>3</v>
      </c>
      <c r="U2746">
        <v>3944</v>
      </c>
      <c r="V2746">
        <v>5</v>
      </c>
    </row>
    <row r="2747" spans="1:22" x14ac:dyDescent="0.35">
      <c r="A2747">
        <v>2746</v>
      </c>
      <c r="B2747" t="s">
        <v>16</v>
      </c>
      <c r="C2747" t="s">
        <v>347</v>
      </c>
      <c r="D2747">
        <v>2016</v>
      </c>
      <c r="E2747" t="s">
        <v>47</v>
      </c>
      <c r="F2747">
        <v>23.2</v>
      </c>
      <c r="G2747" t="s">
        <v>357</v>
      </c>
      <c r="H2747">
        <f>electric_vehicles_dataset[[#This Row],[Battery_Capacity_kWh]]/electric_vehicles_dataset[[#This Row],[Range_km]]</f>
        <v>4.8033126293995858E-2</v>
      </c>
      <c r="I2747">
        <v>483</v>
      </c>
      <c r="J2747" t="s">
        <v>364</v>
      </c>
      <c r="K2747">
        <v>10</v>
      </c>
      <c r="L2747" s="1">
        <v>42219.42</v>
      </c>
      <c r="M2747" s="1" t="str" cm="1">
        <f t="array" ref="M274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47" t="s">
        <v>301</v>
      </c>
      <c r="O2747" t="s">
        <v>115</v>
      </c>
      <c r="P2747" s="2" t="s">
        <v>396</v>
      </c>
      <c r="Q2747">
        <v>5</v>
      </c>
      <c r="R2747" t="s">
        <v>392</v>
      </c>
      <c r="S2747" s="1">
        <f>electric_vehicles_dataset[[#This Row],[Units_Sold_2024]]*electric_vehicles_dataset[[#This Row],[Price_USD]]</f>
        <v>516934578.47999996</v>
      </c>
      <c r="T2747">
        <v>5</v>
      </c>
      <c r="U2747">
        <v>12244</v>
      </c>
      <c r="V2747">
        <v>3</v>
      </c>
    </row>
    <row r="2748" spans="1:22" x14ac:dyDescent="0.35">
      <c r="A2748">
        <v>2747</v>
      </c>
      <c r="B2748" t="s">
        <v>313</v>
      </c>
      <c r="C2748" t="s">
        <v>314</v>
      </c>
      <c r="D2748">
        <v>2024</v>
      </c>
      <c r="E2748" t="s">
        <v>90</v>
      </c>
      <c r="F2748">
        <v>138.80000000000001</v>
      </c>
      <c r="G2748" t="s">
        <v>352</v>
      </c>
      <c r="H2748">
        <f>electric_vehicles_dataset[[#This Row],[Battery_Capacity_kWh]]/electric_vehicles_dataset[[#This Row],[Range_km]]</f>
        <v>0.66730769230769238</v>
      </c>
      <c r="I2748">
        <v>208</v>
      </c>
      <c r="J2748" t="s">
        <v>359</v>
      </c>
      <c r="K2748">
        <v>10</v>
      </c>
      <c r="L2748" s="1">
        <v>48482.98</v>
      </c>
      <c r="M2748" s="1" t="str" cm="1">
        <f t="array" ref="M274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48" t="s">
        <v>70</v>
      </c>
      <c r="O2748" t="s">
        <v>118</v>
      </c>
      <c r="P2748" s="2" t="s">
        <v>389</v>
      </c>
      <c r="Q2748">
        <v>5</v>
      </c>
      <c r="R2748" t="s">
        <v>392</v>
      </c>
      <c r="S2748" s="1">
        <f>electric_vehicles_dataset[[#This Row],[Units_Sold_2024]]*electric_vehicles_dataset[[#This Row],[Price_USD]]</f>
        <v>421365579.18000001</v>
      </c>
      <c r="T2748">
        <v>5</v>
      </c>
      <c r="U2748">
        <v>8691</v>
      </c>
      <c r="V2748">
        <v>4</v>
      </c>
    </row>
    <row r="2749" spans="1:22" x14ac:dyDescent="0.35">
      <c r="A2749">
        <v>2748</v>
      </c>
      <c r="B2749" t="s">
        <v>128</v>
      </c>
      <c r="C2749" t="s">
        <v>332</v>
      </c>
      <c r="D2749">
        <v>2024</v>
      </c>
      <c r="E2749" t="s">
        <v>31</v>
      </c>
      <c r="F2749">
        <v>25.5</v>
      </c>
      <c r="G2749" t="s">
        <v>357</v>
      </c>
      <c r="H2749">
        <f>electric_vehicles_dataset[[#This Row],[Battery_Capacity_kWh]]/electric_vehicles_dataset[[#This Row],[Range_km]]</f>
        <v>4.4041450777202069E-2</v>
      </c>
      <c r="I2749">
        <v>579</v>
      </c>
      <c r="J2749" t="s">
        <v>18</v>
      </c>
      <c r="K2749">
        <v>8</v>
      </c>
      <c r="L2749" s="1">
        <v>51380.09</v>
      </c>
      <c r="M2749" s="1" t="str" cm="1">
        <f t="array" ref="M274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49" t="s">
        <v>205</v>
      </c>
      <c r="O2749" t="s">
        <v>139</v>
      </c>
      <c r="P2749" s="2" t="s">
        <v>389</v>
      </c>
      <c r="Q2749">
        <v>5</v>
      </c>
      <c r="R2749" t="s">
        <v>392</v>
      </c>
      <c r="S2749" s="1">
        <f>electric_vehicles_dataset[[#This Row],[Units_Sold_2024]]*electric_vehicles_dataset[[#This Row],[Price_USD]]</f>
        <v>692706373.38</v>
      </c>
      <c r="T2749">
        <v>3</v>
      </c>
      <c r="U2749">
        <v>13482</v>
      </c>
      <c r="V2749">
        <v>3</v>
      </c>
    </row>
    <row r="2750" spans="1:22" x14ac:dyDescent="0.35">
      <c r="A2750">
        <v>2749</v>
      </c>
      <c r="B2750" t="s">
        <v>96</v>
      </c>
      <c r="C2750" t="s">
        <v>292</v>
      </c>
      <c r="D2750">
        <v>2017</v>
      </c>
      <c r="E2750" t="s">
        <v>133</v>
      </c>
      <c r="F2750">
        <v>127.8</v>
      </c>
      <c r="G2750" t="s">
        <v>352</v>
      </c>
      <c r="H2750">
        <f>electric_vehicles_dataset[[#This Row],[Battery_Capacity_kWh]]/electric_vehicles_dataset[[#This Row],[Range_km]]</f>
        <v>0.23977485928705441</v>
      </c>
      <c r="I2750">
        <v>533</v>
      </c>
      <c r="J2750" t="s">
        <v>48</v>
      </c>
      <c r="K2750">
        <v>3</v>
      </c>
      <c r="L2750" s="1">
        <v>54621.98</v>
      </c>
      <c r="M2750" s="1" t="str" cm="1">
        <f t="array" ref="M275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50" t="s">
        <v>77</v>
      </c>
      <c r="O2750" t="s">
        <v>111</v>
      </c>
      <c r="P2750" s="2" t="s">
        <v>389</v>
      </c>
      <c r="Q2750">
        <v>1</v>
      </c>
      <c r="R2750" t="s">
        <v>391</v>
      </c>
      <c r="S2750" s="1">
        <f>electric_vehicles_dataset[[#This Row],[Units_Sold_2024]]*electric_vehicles_dataset[[#This Row],[Price_USD]]</f>
        <v>1015695718.1</v>
      </c>
      <c r="T2750">
        <v>3</v>
      </c>
      <c r="U2750">
        <v>18595</v>
      </c>
      <c r="V2750">
        <v>3</v>
      </c>
    </row>
    <row r="2751" spans="1:22" x14ac:dyDescent="0.35">
      <c r="A2751">
        <v>2750</v>
      </c>
      <c r="B2751" t="s">
        <v>222</v>
      </c>
      <c r="C2751" t="s">
        <v>295</v>
      </c>
      <c r="D2751">
        <v>2024</v>
      </c>
      <c r="E2751" t="s">
        <v>133</v>
      </c>
      <c r="F2751">
        <v>133.1</v>
      </c>
      <c r="G2751" t="s">
        <v>352</v>
      </c>
      <c r="H2751">
        <f>electric_vehicles_dataset[[#This Row],[Battery_Capacity_kWh]]/electric_vehicles_dataset[[#This Row],[Range_km]]</f>
        <v>0.41593749999999996</v>
      </c>
      <c r="I2751">
        <v>320</v>
      </c>
      <c r="J2751" t="s">
        <v>54</v>
      </c>
      <c r="K2751">
        <v>3</v>
      </c>
      <c r="L2751" s="1">
        <v>81302.62</v>
      </c>
      <c r="M2751" s="1" t="str" cm="1">
        <f t="array" ref="M275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51" t="s">
        <v>106</v>
      </c>
      <c r="O2751" t="s">
        <v>63</v>
      </c>
      <c r="P2751" s="2" t="s">
        <v>389</v>
      </c>
      <c r="Q2751">
        <v>1</v>
      </c>
      <c r="R2751" t="s">
        <v>391</v>
      </c>
      <c r="S2751" s="1">
        <f>electric_vehicles_dataset[[#This Row],[Units_Sold_2024]]*electric_vehicles_dataset[[#This Row],[Price_USD]]</f>
        <v>1588246681.6999998</v>
      </c>
      <c r="T2751">
        <v>4</v>
      </c>
      <c r="U2751">
        <v>19535</v>
      </c>
      <c r="V2751">
        <v>4</v>
      </c>
    </row>
    <row r="2752" spans="1:22" x14ac:dyDescent="0.35">
      <c r="A2752">
        <v>2751</v>
      </c>
      <c r="B2752" t="s">
        <v>187</v>
      </c>
      <c r="C2752" t="s">
        <v>293</v>
      </c>
      <c r="D2752">
        <v>2023</v>
      </c>
      <c r="E2752" t="s">
        <v>183</v>
      </c>
      <c r="F2752">
        <v>35.299999999999997</v>
      </c>
      <c r="G2752" t="s">
        <v>357</v>
      </c>
      <c r="H2752">
        <f>electric_vehicles_dataset[[#This Row],[Battery_Capacity_kWh]]/electric_vehicles_dataset[[#This Row],[Range_km]]</f>
        <v>0.30431034482758618</v>
      </c>
      <c r="I2752">
        <v>116</v>
      </c>
      <c r="J2752" t="s">
        <v>38</v>
      </c>
      <c r="K2752">
        <v>12</v>
      </c>
      <c r="L2752" s="1">
        <v>139937.62</v>
      </c>
      <c r="M2752" s="1" t="str" cm="1">
        <f t="array" ref="M275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52" t="s">
        <v>28</v>
      </c>
      <c r="O2752" t="s">
        <v>159</v>
      </c>
      <c r="P2752" s="2" t="s">
        <v>389</v>
      </c>
      <c r="Q2752">
        <v>0</v>
      </c>
      <c r="R2752" t="s">
        <v>390</v>
      </c>
      <c r="S2752" s="1">
        <f>electric_vehicles_dataset[[#This Row],[Units_Sold_2024]]*electric_vehicles_dataset[[#This Row],[Price_USD]]</f>
        <v>2196041070.6599998</v>
      </c>
      <c r="T2752">
        <v>5</v>
      </c>
      <c r="U2752">
        <v>15693</v>
      </c>
      <c r="V2752">
        <v>4</v>
      </c>
    </row>
    <row r="2753" spans="1:22" x14ac:dyDescent="0.35">
      <c r="A2753">
        <v>2752</v>
      </c>
      <c r="B2753" t="s">
        <v>193</v>
      </c>
      <c r="C2753" t="s">
        <v>194</v>
      </c>
      <c r="D2753">
        <v>2018</v>
      </c>
      <c r="E2753" t="s">
        <v>73</v>
      </c>
      <c r="F2753">
        <v>118.8</v>
      </c>
      <c r="G2753" t="s">
        <v>361</v>
      </c>
      <c r="H2753">
        <f>electric_vehicles_dataset[[#This Row],[Battery_Capacity_kWh]]/electric_vehicles_dataset[[#This Row],[Range_km]]</f>
        <v>0.72</v>
      </c>
      <c r="I2753">
        <v>165</v>
      </c>
      <c r="J2753" t="s">
        <v>359</v>
      </c>
      <c r="K2753">
        <v>1</v>
      </c>
      <c r="L2753" s="1">
        <v>48678.54</v>
      </c>
      <c r="M2753" s="1" t="str" cm="1">
        <f t="array" ref="M275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53" t="s">
        <v>257</v>
      </c>
      <c r="O2753" t="s">
        <v>124</v>
      </c>
      <c r="P2753" s="2" t="s">
        <v>389</v>
      </c>
      <c r="Q2753">
        <v>1</v>
      </c>
      <c r="R2753" t="s">
        <v>391</v>
      </c>
      <c r="S2753" s="1">
        <f>electric_vehicles_dataset[[#This Row],[Units_Sold_2024]]*electric_vehicles_dataset[[#This Row],[Price_USD]]</f>
        <v>165312321.84</v>
      </c>
      <c r="T2753">
        <v>3</v>
      </c>
      <c r="U2753">
        <v>3396</v>
      </c>
      <c r="V2753">
        <v>5</v>
      </c>
    </row>
    <row r="2754" spans="1:22" x14ac:dyDescent="0.35">
      <c r="A2754">
        <v>2753</v>
      </c>
      <c r="B2754" t="s">
        <v>261</v>
      </c>
      <c r="C2754" t="s">
        <v>278</v>
      </c>
      <c r="D2754">
        <v>2015</v>
      </c>
      <c r="E2754" t="s">
        <v>183</v>
      </c>
      <c r="F2754">
        <v>38.9</v>
      </c>
      <c r="G2754" t="s">
        <v>357</v>
      </c>
      <c r="H2754">
        <f>electric_vehicles_dataset[[#This Row],[Battery_Capacity_kWh]]/electric_vehicles_dataset[[#This Row],[Range_km]]</f>
        <v>0.34424778761061947</v>
      </c>
      <c r="I2754">
        <v>113</v>
      </c>
      <c r="J2754" t="s">
        <v>18</v>
      </c>
      <c r="K2754">
        <v>6</v>
      </c>
      <c r="L2754" s="1">
        <v>61020.68</v>
      </c>
      <c r="M2754" s="1" t="str" cm="1">
        <f t="array" ref="M275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54" t="s">
        <v>301</v>
      </c>
      <c r="O2754" t="s">
        <v>111</v>
      </c>
      <c r="P2754" s="2" t="s">
        <v>389</v>
      </c>
      <c r="Q2754">
        <v>4</v>
      </c>
      <c r="R2754" t="s">
        <v>392</v>
      </c>
      <c r="S2754" s="1">
        <f>electric_vehicles_dataset[[#This Row],[Units_Sold_2024]]*electric_vehicles_dataset[[#This Row],[Price_USD]]</f>
        <v>1029907037.04</v>
      </c>
      <c r="T2754">
        <v>4</v>
      </c>
      <c r="U2754">
        <v>16878</v>
      </c>
      <c r="V2754">
        <v>4</v>
      </c>
    </row>
    <row r="2755" spans="1:22" x14ac:dyDescent="0.35">
      <c r="A2755">
        <v>2754</v>
      </c>
      <c r="B2755" t="s">
        <v>45</v>
      </c>
      <c r="C2755" t="s">
        <v>132</v>
      </c>
      <c r="D2755">
        <v>2022</v>
      </c>
      <c r="E2755" t="s">
        <v>73</v>
      </c>
      <c r="F2755">
        <v>39.9</v>
      </c>
      <c r="G2755" t="s">
        <v>357</v>
      </c>
      <c r="H2755">
        <f>electric_vehicles_dataset[[#This Row],[Battery_Capacity_kWh]]/electric_vehicles_dataset[[#This Row],[Range_km]]</f>
        <v>0.32975206611570246</v>
      </c>
      <c r="I2755">
        <v>121</v>
      </c>
      <c r="J2755" t="s">
        <v>85</v>
      </c>
      <c r="K2755">
        <v>6</v>
      </c>
      <c r="L2755" s="1">
        <v>87195.83</v>
      </c>
      <c r="M2755" s="1" t="str" cm="1">
        <f t="array" ref="M275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55" t="s">
        <v>246</v>
      </c>
      <c r="O2755" t="s">
        <v>139</v>
      </c>
      <c r="P2755" s="2" t="s">
        <v>389</v>
      </c>
      <c r="Q2755">
        <v>3</v>
      </c>
      <c r="R2755" t="s">
        <v>397</v>
      </c>
      <c r="S2755" s="1">
        <f>electric_vehicles_dataset[[#This Row],[Units_Sold_2024]]*electric_vehicles_dataset[[#This Row],[Price_USD]]</f>
        <v>586130369.25999999</v>
      </c>
      <c r="T2755">
        <v>4</v>
      </c>
      <c r="U2755">
        <v>6722</v>
      </c>
      <c r="V2755">
        <v>4</v>
      </c>
    </row>
    <row r="2756" spans="1:22" x14ac:dyDescent="0.35">
      <c r="A2756">
        <v>2755</v>
      </c>
      <c r="B2756" t="s">
        <v>112</v>
      </c>
      <c r="C2756" t="s">
        <v>237</v>
      </c>
      <c r="D2756">
        <v>2015</v>
      </c>
      <c r="E2756" t="s">
        <v>26</v>
      </c>
      <c r="F2756">
        <v>92.1</v>
      </c>
      <c r="G2756" t="s">
        <v>350</v>
      </c>
      <c r="H2756">
        <f>electric_vehicles_dataset[[#This Row],[Battery_Capacity_kWh]]/electric_vehicles_dataset[[#This Row],[Range_km]]</f>
        <v>0.24959349593495933</v>
      </c>
      <c r="I2756">
        <v>369</v>
      </c>
      <c r="J2756" t="s">
        <v>18</v>
      </c>
      <c r="K2756">
        <v>3</v>
      </c>
      <c r="L2756" s="1">
        <v>135951.34</v>
      </c>
      <c r="M2756" s="1" t="str" cm="1">
        <f t="array" ref="M275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56" t="s">
        <v>210</v>
      </c>
      <c r="O2756" t="s">
        <v>182</v>
      </c>
      <c r="P2756" s="2" t="s">
        <v>394</v>
      </c>
      <c r="Q2756">
        <v>0</v>
      </c>
      <c r="R2756" t="s">
        <v>390</v>
      </c>
      <c r="S2756" s="1">
        <f>electric_vehicles_dataset[[#This Row],[Units_Sold_2024]]*electric_vehicles_dataset[[#This Row],[Price_USD]]</f>
        <v>756025401.74000001</v>
      </c>
      <c r="T2756">
        <v>5</v>
      </c>
      <c r="U2756">
        <v>5561</v>
      </c>
      <c r="V2756">
        <v>4</v>
      </c>
    </row>
    <row r="2757" spans="1:22" x14ac:dyDescent="0.35">
      <c r="A2757">
        <v>2756</v>
      </c>
      <c r="B2757" t="s">
        <v>45</v>
      </c>
      <c r="C2757" t="s">
        <v>283</v>
      </c>
      <c r="D2757">
        <v>2015</v>
      </c>
      <c r="E2757" t="s">
        <v>73</v>
      </c>
      <c r="F2757">
        <v>109.4</v>
      </c>
      <c r="G2757" t="s">
        <v>361</v>
      </c>
      <c r="H2757">
        <f>electric_vehicles_dataset[[#This Row],[Battery_Capacity_kWh]]/electric_vehicles_dataset[[#This Row],[Range_km]]</f>
        <v>0.38385964912280701</v>
      </c>
      <c r="I2757">
        <v>285</v>
      </c>
      <c r="J2757" t="s">
        <v>48</v>
      </c>
      <c r="K2757">
        <v>7</v>
      </c>
      <c r="L2757" s="1">
        <v>140663.03</v>
      </c>
      <c r="M2757" s="1" t="str" cm="1">
        <f t="array" ref="M275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57" t="s">
        <v>131</v>
      </c>
      <c r="O2757" t="s">
        <v>93</v>
      </c>
      <c r="P2757" s="2" t="s">
        <v>389</v>
      </c>
      <c r="Q2757">
        <v>0</v>
      </c>
      <c r="R2757" t="s">
        <v>390</v>
      </c>
      <c r="S2757" s="1">
        <f>electric_vehicles_dataset[[#This Row],[Units_Sold_2024]]*electric_vehicles_dataset[[#This Row],[Price_USD]]</f>
        <v>1908234664.98</v>
      </c>
      <c r="T2757">
        <v>5</v>
      </c>
      <c r="U2757">
        <v>13566</v>
      </c>
      <c r="V2757">
        <v>3</v>
      </c>
    </row>
    <row r="2758" spans="1:22" x14ac:dyDescent="0.35">
      <c r="A2758">
        <v>2757</v>
      </c>
      <c r="B2758" t="s">
        <v>36</v>
      </c>
      <c r="C2758" t="s">
        <v>211</v>
      </c>
      <c r="D2758">
        <v>2023</v>
      </c>
      <c r="E2758" t="s">
        <v>53</v>
      </c>
      <c r="F2758">
        <v>148.1</v>
      </c>
      <c r="G2758" t="s">
        <v>386</v>
      </c>
      <c r="H2758">
        <f>electric_vehicles_dataset[[#This Row],[Battery_Capacity_kWh]]/electric_vehicles_dataset[[#This Row],[Range_km]]</f>
        <v>0.78359788359788352</v>
      </c>
      <c r="I2758">
        <v>189</v>
      </c>
      <c r="J2758" t="s">
        <v>364</v>
      </c>
      <c r="K2758">
        <v>11</v>
      </c>
      <c r="L2758" s="1">
        <v>95333.16</v>
      </c>
      <c r="M2758" s="1" t="str" cm="1">
        <f t="array" ref="M275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58" t="s">
        <v>59</v>
      </c>
      <c r="O2758" t="s">
        <v>110</v>
      </c>
      <c r="P2758" s="2" t="s">
        <v>394</v>
      </c>
      <c r="Q2758">
        <v>0</v>
      </c>
      <c r="R2758" t="s">
        <v>390</v>
      </c>
      <c r="S2758" s="1">
        <f>electric_vehicles_dataset[[#This Row],[Units_Sold_2024]]*electric_vehicles_dataset[[#This Row],[Price_USD]]</f>
        <v>1574999136.3600001</v>
      </c>
      <c r="T2758">
        <v>4</v>
      </c>
      <c r="U2758">
        <v>16521</v>
      </c>
      <c r="V2758">
        <v>5</v>
      </c>
    </row>
    <row r="2759" spans="1:22" x14ac:dyDescent="0.35">
      <c r="A2759">
        <v>2758</v>
      </c>
      <c r="B2759" t="s">
        <v>207</v>
      </c>
      <c r="C2759" t="s">
        <v>304</v>
      </c>
      <c r="D2759">
        <v>2017</v>
      </c>
      <c r="E2759" t="s">
        <v>130</v>
      </c>
      <c r="F2759">
        <v>96.4</v>
      </c>
      <c r="G2759" t="s">
        <v>350</v>
      </c>
      <c r="H2759">
        <f>electric_vehicles_dataset[[#This Row],[Battery_Capacity_kWh]]/electric_vehicles_dataset[[#This Row],[Range_km]]</f>
        <v>0.37220077220077225</v>
      </c>
      <c r="I2759">
        <v>259</v>
      </c>
      <c r="J2759" t="s">
        <v>85</v>
      </c>
      <c r="K2759">
        <v>5</v>
      </c>
      <c r="L2759" s="1">
        <v>95315.8</v>
      </c>
      <c r="M2759" s="1" t="str" cm="1">
        <f t="array" ref="M275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59" t="s">
        <v>49</v>
      </c>
      <c r="O2759" t="s">
        <v>110</v>
      </c>
      <c r="P2759" s="2" t="s">
        <v>394</v>
      </c>
      <c r="Q2759">
        <v>0</v>
      </c>
      <c r="R2759" t="s">
        <v>390</v>
      </c>
      <c r="S2759" s="1">
        <f>electric_vehicles_dataset[[#This Row],[Units_Sold_2024]]*electric_vehicles_dataset[[#This Row],[Price_USD]]</f>
        <v>1404192365.6000001</v>
      </c>
      <c r="T2759">
        <v>5</v>
      </c>
      <c r="U2759">
        <v>14732</v>
      </c>
      <c r="V2759">
        <v>5</v>
      </c>
    </row>
    <row r="2760" spans="1:22" x14ac:dyDescent="0.35">
      <c r="A2760">
        <v>2759</v>
      </c>
      <c r="B2760" t="s">
        <v>60</v>
      </c>
      <c r="C2760" t="s">
        <v>342</v>
      </c>
      <c r="D2760">
        <v>2025</v>
      </c>
      <c r="E2760" t="s">
        <v>133</v>
      </c>
      <c r="F2760">
        <v>33.1</v>
      </c>
      <c r="G2760" t="s">
        <v>357</v>
      </c>
      <c r="H2760">
        <f>electric_vehicles_dataset[[#This Row],[Battery_Capacity_kWh]]/electric_vehicles_dataset[[#This Row],[Range_km]]</f>
        <v>8.0339805825242722E-2</v>
      </c>
      <c r="I2760">
        <v>412</v>
      </c>
      <c r="J2760" t="s">
        <v>345</v>
      </c>
      <c r="K2760">
        <v>12</v>
      </c>
      <c r="L2760" s="1">
        <v>83143.89</v>
      </c>
      <c r="M2760" s="1" t="str" cm="1">
        <f t="array" ref="M276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60" t="s">
        <v>205</v>
      </c>
      <c r="O2760" t="s">
        <v>147</v>
      </c>
      <c r="P2760" s="2" t="s">
        <v>396</v>
      </c>
      <c r="Q2760">
        <v>0</v>
      </c>
      <c r="R2760" t="s">
        <v>390</v>
      </c>
      <c r="S2760" s="1">
        <f>electric_vehicles_dataset[[#This Row],[Units_Sold_2024]]*electric_vehicles_dataset[[#This Row],[Price_USD]]</f>
        <v>11889576.27</v>
      </c>
      <c r="T2760">
        <v>5</v>
      </c>
      <c r="U2760">
        <v>143</v>
      </c>
      <c r="V2760">
        <v>5</v>
      </c>
    </row>
    <row r="2761" spans="1:22" x14ac:dyDescent="0.35">
      <c r="A2761">
        <v>2760</v>
      </c>
      <c r="B2761" t="s">
        <v>82</v>
      </c>
      <c r="C2761" t="s">
        <v>281</v>
      </c>
      <c r="D2761">
        <v>2019</v>
      </c>
      <c r="E2761" t="s">
        <v>133</v>
      </c>
      <c r="F2761">
        <v>138.1</v>
      </c>
      <c r="G2761" t="s">
        <v>352</v>
      </c>
      <c r="H2761">
        <f>electric_vehicles_dataset[[#This Row],[Battery_Capacity_kWh]]/electric_vehicles_dataset[[#This Row],[Range_km]]</f>
        <v>0.41471471471471472</v>
      </c>
      <c r="I2761">
        <v>333</v>
      </c>
      <c r="J2761" t="s">
        <v>27</v>
      </c>
      <c r="K2761">
        <v>11</v>
      </c>
      <c r="L2761" s="1">
        <v>125800.4</v>
      </c>
      <c r="M2761" s="1" t="str" cm="1">
        <f t="array" ref="M276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61" t="s">
        <v>49</v>
      </c>
      <c r="O2761" t="s">
        <v>107</v>
      </c>
      <c r="P2761" s="2" t="s">
        <v>394</v>
      </c>
      <c r="Q2761">
        <v>2</v>
      </c>
      <c r="R2761" t="s">
        <v>391</v>
      </c>
      <c r="S2761" s="1">
        <f>electric_vehicles_dataset[[#This Row],[Units_Sold_2024]]*electric_vehicles_dataset[[#This Row],[Price_USD]]</f>
        <v>1554641343.1999998</v>
      </c>
      <c r="T2761">
        <v>5</v>
      </c>
      <c r="U2761">
        <v>12358</v>
      </c>
      <c r="V2761">
        <v>5</v>
      </c>
    </row>
    <row r="2762" spans="1:22" x14ac:dyDescent="0.35">
      <c r="A2762">
        <v>2761</v>
      </c>
      <c r="B2762" t="s">
        <v>45</v>
      </c>
      <c r="C2762" t="s">
        <v>46</v>
      </c>
      <c r="D2762">
        <v>2025</v>
      </c>
      <c r="E2762" t="s">
        <v>101</v>
      </c>
      <c r="F2762">
        <v>70.3</v>
      </c>
      <c r="G2762" t="s">
        <v>351</v>
      </c>
      <c r="H2762">
        <f>electric_vehicles_dataset[[#This Row],[Battery_Capacity_kWh]]/electric_vehicles_dataset[[#This Row],[Range_km]]</f>
        <v>0.36424870466321241</v>
      </c>
      <c r="I2762">
        <v>193</v>
      </c>
      <c r="J2762" t="s">
        <v>48</v>
      </c>
      <c r="K2762">
        <v>3</v>
      </c>
      <c r="L2762" s="1">
        <v>110395.96</v>
      </c>
      <c r="M2762" s="1" t="str" cm="1">
        <f t="array" ref="M276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62" t="s">
        <v>246</v>
      </c>
      <c r="O2762" t="s">
        <v>135</v>
      </c>
      <c r="P2762" s="2" t="s">
        <v>389</v>
      </c>
      <c r="Q2762">
        <v>3</v>
      </c>
      <c r="R2762" t="s">
        <v>397</v>
      </c>
      <c r="S2762" s="1">
        <f>electric_vehicles_dataset[[#This Row],[Units_Sold_2024]]*electric_vehicles_dataset[[#This Row],[Price_USD]]</f>
        <v>1158164016.3600001</v>
      </c>
      <c r="T2762">
        <v>3</v>
      </c>
      <c r="U2762">
        <v>10491</v>
      </c>
      <c r="V2762">
        <v>5</v>
      </c>
    </row>
    <row r="2763" spans="1:22" x14ac:dyDescent="0.35">
      <c r="A2763">
        <v>2762</v>
      </c>
      <c r="B2763" t="s">
        <v>157</v>
      </c>
      <c r="C2763" t="s">
        <v>375</v>
      </c>
      <c r="D2763">
        <v>2022</v>
      </c>
      <c r="E2763" t="s">
        <v>73</v>
      </c>
      <c r="F2763">
        <v>108.9</v>
      </c>
      <c r="G2763" t="s">
        <v>361</v>
      </c>
      <c r="H2763">
        <f>electric_vehicles_dataset[[#This Row],[Battery_Capacity_kWh]]/electric_vehicles_dataset[[#This Row],[Range_km]]</f>
        <v>0.5112676056338028</v>
      </c>
      <c r="I2763">
        <v>213</v>
      </c>
      <c r="J2763" t="s">
        <v>76</v>
      </c>
      <c r="K2763">
        <v>7</v>
      </c>
      <c r="L2763" s="1">
        <v>116975.88</v>
      </c>
      <c r="M2763" s="1" t="str" cm="1">
        <f t="array" ref="M27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63" t="s">
        <v>22</v>
      </c>
      <c r="O2763" t="s">
        <v>124</v>
      </c>
      <c r="P2763" s="2" t="s">
        <v>389</v>
      </c>
      <c r="Q2763">
        <v>1</v>
      </c>
      <c r="R2763" t="s">
        <v>391</v>
      </c>
      <c r="S2763" s="1">
        <f>electric_vehicles_dataset[[#This Row],[Units_Sold_2024]]*electric_vehicles_dataset[[#This Row],[Price_USD]]</f>
        <v>924460379.63999999</v>
      </c>
      <c r="T2763">
        <v>4</v>
      </c>
      <c r="U2763">
        <v>7903</v>
      </c>
      <c r="V2763">
        <v>4</v>
      </c>
    </row>
    <row r="2764" spans="1:22" x14ac:dyDescent="0.35">
      <c r="A2764">
        <v>2763</v>
      </c>
      <c r="B2764" t="s">
        <v>184</v>
      </c>
      <c r="C2764" t="s">
        <v>213</v>
      </c>
      <c r="D2764">
        <v>2021</v>
      </c>
      <c r="E2764" t="s">
        <v>17</v>
      </c>
      <c r="F2764">
        <v>134</v>
      </c>
      <c r="G2764" t="s">
        <v>352</v>
      </c>
      <c r="H2764">
        <f>electric_vehicles_dataset[[#This Row],[Battery_Capacity_kWh]]/electric_vehicles_dataset[[#This Row],[Range_km]]</f>
        <v>0.36314363143631434</v>
      </c>
      <c r="I2764">
        <v>369</v>
      </c>
      <c r="J2764" t="s">
        <v>356</v>
      </c>
      <c r="K2764">
        <v>1</v>
      </c>
      <c r="L2764" s="1">
        <v>149154.47</v>
      </c>
      <c r="M2764" s="1" t="str" cm="1">
        <f t="array" ref="M27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64" t="s">
        <v>143</v>
      </c>
      <c r="O2764" t="s">
        <v>50</v>
      </c>
      <c r="P2764" s="2" t="s">
        <v>396</v>
      </c>
      <c r="Q2764">
        <v>2</v>
      </c>
      <c r="R2764" t="s">
        <v>391</v>
      </c>
      <c r="S2764" s="1">
        <f>electric_vehicles_dataset[[#This Row],[Units_Sold_2024]]*electric_vehicles_dataset[[#This Row],[Price_USD]]</f>
        <v>1148191110.0599999</v>
      </c>
      <c r="T2764">
        <v>3</v>
      </c>
      <c r="U2764">
        <v>7698</v>
      </c>
      <c r="V2764">
        <v>5</v>
      </c>
    </row>
    <row r="2765" spans="1:22" x14ac:dyDescent="0.35">
      <c r="A2765">
        <v>2764</v>
      </c>
      <c r="B2765" t="s">
        <v>259</v>
      </c>
      <c r="C2765" t="s">
        <v>260</v>
      </c>
      <c r="D2765">
        <v>2018</v>
      </c>
      <c r="E2765" t="s">
        <v>17</v>
      </c>
      <c r="F2765">
        <v>30.1</v>
      </c>
      <c r="G2765" t="s">
        <v>357</v>
      </c>
      <c r="H2765">
        <f>electric_vehicles_dataset[[#This Row],[Battery_Capacity_kWh]]/electric_vehicles_dataset[[#This Row],[Range_km]]</f>
        <v>5.7996146435452797E-2</v>
      </c>
      <c r="I2765">
        <v>519</v>
      </c>
      <c r="J2765" t="s">
        <v>85</v>
      </c>
      <c r="K2765">
        <v>12</v>
      </c>
      <c r="L2765" s="1">
        <v>44333.01</v>
      </c>
      <c r="M2765" s="1" t="str" cm="1">
        <f t="array" ref="M276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65" t="s">
        <v>152</v>
      </c>
      <c r="O2765" t="s">
        <v>50</v>
      </c>
      <c r="P2765" s="2" t="s">
        <v>396</v>
      </c>
      <c r="Q2765">
        <v>1</v>
      </c>
      <c r="R2765" t="s">
        <v>391</v>
      </c>
      <c r="S2765" s="1">
        <f>electric_vehicles_dataset[[#This Row],[Units_Sold_2024]]*electric_vehicles_dataset[[#This Row],[Price_USD]]</f>
        <v>366101996.58000004</v>
      </c>
      <c r="T2765">
        <v>4</v>
      </c>
      <c r="U2765">
        <v>8258</v>
      </c>
      <c r="V2765">
        <v>3</v>
      </c>
    </row>
    <row r="2766" spans="1:22" x14ac:dyDescent="0.35">
      <c r="A2766">
        <v>2765</v>
      </c>
      <c r="B2766" t="s">
        <v>112</v>
      </c>
      <c r="C2766" t="s">
        <v>138</v>
      </c>
      <c r="D2766">
        <v>2022</v>
      </c>
      <c r="E2766" t="s">
        <v>47</v>
      </c>
      <c r="F2766">
        <v>40.700000000000003</v>
      </c>
      <c r="G2766" t="s">
        <v>348</v>
      </c>
      <c r="H2766">
        <f>electric_vehicles_dataset[[#This Row],[Battery_Capacity_kWh]]/electric_vehicles_dataset[[#This Row],[Range_km]]</f>
        <v>0.18930232558139537</v>
      </c>
      <c r="I2766">
        <v>215</v>
      </c>
      <c r="J2766" t="s">
        <v>27</v>
      </c>
      <c r="K2766">
        <v>5</v>
      </c>
      <c r="L2766" s="1">
        <v>133682.57</v>
      </c>
      <c r="M2766" s="1" t="str" cm="1">
        <f t="array" ref="M27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66" t="s">
        <v>152</v>
      </c>
      <c r="O2766" t="s">
        <v>169</v>
      </c>
      <c r="P2766" s="2" t="s">
        <v>394</v>
      </c>
      <c r="Q2766">
        <v>0</v>
      </c>
      <c r="R2766" t="s">
        <v>390</v>
      </c>
      <c r="S2766" s="1">
        <f>electric_vehicles_dataset[[#This Row],[Units_Sold_2024]]*electric_vehicles_dataset[[#This Row],[Price_USD]]</f>
        <v>2281560422.1900001</v>
      </c>
      <c r="T2766">
        <v>4</v>
      </c>
      <c r="U2766">
        <v>17067</v>
      </c>
      <c r="V2766">
        <v>4</v>
      </c>
    </row>
    <row r="2767" spans="1:22" x14ac:dyDescent="0.35">
      <c r="A2767">
        <v>2766</v>
      </c>
      <c r="B2767" t="s">
        <v>215</v>
      </c>
      <c r="C2767" t="s">
        <v>377</v>
      </c>
      <c r="D2767">
        <v>2019</v>
      </c>
      <c r="E2767" t="s">
        <v>53</v>
      </c>
      <c r="F2767">
        <v>21.8</v>
      </c>
      <c r="G2767" t="s">
        <v>357</v>
      </c>
      <c r="H2767">
        <f>electric_vehicles_dataset[[#This Row],[Battery_Capacity_kWh]]/electric_vehicles_dataset[[#This Row],[Range_km]]</f>
        <v>0.13797468354430381</v>
      </c>
      <c r="I2767">
        <v>158</v>
      </c>
      <c r="J2767" t="s">
        <v>38</v>
      </c>
      <c r="K2767">
        <v>6</v>
      </c>
      <c r="L2767" s="1">
        <v>65316.3</v>
      </c>
      <c r="M2767" s="1" t="str" cm="1">
        <f t="array" ref="M276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67" t="s">
        <v>28</v>
      </c>
      <c r="O2767" t="s">
        <v>150</v>
      </c>
      <c r="P2767" s="2" t="s">
        <v>389</v>
      </c>
      <c r="Q2767">
        <v>0</v>
      </c>
      <c r="R2767" t="s">
        <v>390</v>
      </c>
      <c r="S2767" s="1">
        <f>electric_vehicles_dataset[[#This Row],[Units_Sold_2024]]*electric_vehicles_dataset[[#This Row],[Price_USD]]</f>
        <v>677591296.20000005</v>
      </c>
      <c r="T2767">
        <v>5</v>
      </c>
      <c r="U2767">
        <v>10374</v>
      </c>
      <c r="V2767">
        <v>4</v>
      </c>
    </row>
    <row r="2768" spans="1:22" x14ac:dyDescent="0.35">
      <c r="A2768">
        <v>2767</v>
      </c>
      <c r="B2768" t="s">
        <v>313</v>
      </c>
      <c r="C2768" t="s">
        <v>314</v>
      </c>
      <c r="D2768">
        <v>2020</v>
      </c>
      <c r="E2768" t="s">
        <v>53</v>
      </c>
      <c r="F2768">
        <v>64.7</v>
      </c>
      <c r="G2768" t="s">
        <v>351</v>
      </c>
      <c r="H2768">
        <f>electric_vehicles_dataset[[#This Row],[Battery_Capacity_kWh]]/electric_vehicles_dataset[[#This Row],[Range_km]]</f>
        <v>0.12048417132216016</v>
      </c>
      <c r="I2768">
        <v>537</v>
      </c>
      <c r="J2768" t="s">
        <v>54</v>
      </c>
      <c r="K2768">
        <v>2</v>
      </c>
      <c r="L2768" s="1">
        <v>70092.039999999994</v>
      </c>
      <c r="M2768" s="1" t="str" cm="1">
        <f t="array" ref="M276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68" t="s">
        <v>81</v>
      </c>
      <c r="O2768" t="s">
        <v>199</v>
      </c>
      <c r="P2768" s="2" t="s">
        <v>394</v>
      </c>
      <c r="Q2768">
        <v>1</v>
      </c>
      <c r="R2768" t="s">
        <v>391</v>
      </c>
      <c r="S2768" s="1">
        <f>electric_vehicles_dataset[[#This Row],[Units_Sold_2024]]*electric_vehicles_dataset[[#This Row],[Price_USD]]</f>
        <v>1063856983.1199999</v>
      </c>
      <c r="T2768">
        <v>3</v>
      </c>
      <c r="U2768">
        <v>15178</v>
      </c>
      <c r="V2768">
        <v>3</v>
      </c>
    </row>
    <row r="2769" spans="1:22" x14ac:dyDescent="0.35">
      <c r="A2769">
        <v>2768</v>
      </c>
      <c r="B2769" t="s">
        <v>60</v>
      </c>
      <c r="C2769" t="s">
        <v>61</v>
      </c>
      <c r="D2769">
        <v>2021</v>
      </c>
      <c r="E2769" t="s">
        <v>130</v>
      </c>
      <c r="F2769">
        <v>100.1</v>
      </c>
      <c r="G2769" t="s">
        <v>361</v>
      </c>
      <c r="H2769">
        <f>electric_vehicles_dataset[[#This Row],[Battery_Capacity_kWh]]/electric_vehicles_dataset[[#This Row],[Range_km]]</f>
        <v>0.82049180327868843</v>
      </c>
      <c r="I2769">
        <v>122</v>
      </c>
      <c r="J2769" t="s">
        <v>358</v>
      </c>
      <c r="K2769">
        <v>8</v>
      </c>
      <c r="L2769" s="1">
        <v>41867.18</v>
      </c>
      <c r="M2769" s="1" t="str" cm="1">
        <f t="array" ref="M276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69" t="s">
        <v>168</v>
      </c>
      <c r="O2769" t="s">
        <v>161</v>
      </c>
      <c r="P2769" s="2" t="s">
        <v>389</v>
      </c>
      <c r="Q2769">
        <v>1</v>
      </c>
      <c r="R2769" t="s">
        <v>391</v>
      </c>
      <c r="S2769" s="1">
        <f>electric_vehicles_dataset[[#This Row],[Units_Sold_2024]]*electric_vehicles_dataset[[#This Row],[Price_USD]]</f>
        <v>764243503.72000003</v>
      </c>
      <c r="T2769">
        <v>3</v>
      </c>
      <c r="U2769">
        <v>18254</v>
      </c>
      <c r="V2769">
        <v>4</v>
      </c>
    </row>
    <row r="2770" spans="1:22" x14ac:dyDescent="0.35">
      <c r="A2770">
        <v>2769</v>
      </c>
      <c r="B2770" t="s">
        <v>68</v>
      </c>
      <c r="C2770" t="s">
        <v>289</v>
      </c>
      <c r="D2770">
        <v>2023</v>
      </c>
      <c r="E2770" t="s">
        <v>31</v>
      </c>
      <c r="F2770">
        <v>148.6</v>
      </c>
      <c r="G2770" t="s">
        <v>386</v>
      </c>
      <c r="H2770">
        <f>electric_vehicles_dataset[[#This Row],[Battery_Capacity_kWh]]/electric_vehicles_dataset[[#This Row],[Range_km]]</f>
        <v>0.35807228915662648</v>
      </c>
      <c r="I2770">
        <v>415</v>
      </c>
      <c r="J2770" t="s">
        <v>18</v>
      </c>
      <c r="K2770">
        <v>10</v>
      </c>
      <c r="L2770" s="1">
        <v>130117.93</v>
      </c>
      <c r="M2770" s="1" t="str" cm="1">
        <f t="array" ref="M277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70" t="s">
        <v>117</v>
      </c>
      <c r="O2770" t="s">
        <v>139</v>
      </c>
      <c r="P2770" s="2" t="s">
        <v>389</v>
      </c>
      <c r="Q2770">
        <v>1</v>
      </c>
      <c r="R2770" t="s">
        <v>391</v>
      </c>
      <c r="S2770" s="1">
        <f>electric_vehicles_dataset[[#This Row],[Units_Sold_2024]]*electric_vehicles_dataset[[#This Row],[Price_USD]]</f>
        <v>1804345335.3099999</v>
      </c>
      <c r="T2770">
        <v>4</v>
      </c>
      <c r="U2770">
        <v>13867</v>
      </c>
      <c r="V2770">
        <v>5</v>
      </c>
    </row>
    <row r="2771" spans="1:22" x14ac:dyDescent="0.35">
      <c r="A2771">
        <v>2770</v>
      </c>
      <c r="B2771" t="s">
        <v>140</v>
      </c>
      <c r="C2771" t="s">
        <v>256</v>
      </c>
      <c r="D2771">
        <v>2017</v>
      </c>
      <c r="E2771" t="s">
        <v>90</v>
      </c>
      <c r="F2771">
        <v>73.599999999999994</v>
      </c>
      <c r="G2771" t="s">
        <v>351</v>
      </c>
      <c r="H2771">
        <f>electric_vehicles_dataset[[#This Row],[Battery_Capacity_kWh]]/electric_vehicles_dataset[[#This Row],[Range_km]]</f>
        <v>0.22999999999999998</v>
      </c>
      <c r="I2771">
        <v>320</v>
      </c>
      <c r="J2771" t="s">
        <v>364</v>
      </c>
      <c r="K2771">
        <v>1</v>
      </c>
      <c r="L2771" s="1">
        <v>73248.28</v>
      </c>
      <c r="M2771" s="1" t="str" cm="1">
        <f t="array" ref="M277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71" t="s">
        <v>165</v>
      </c>
      <c r="O2771" t="s">
        <v>230</v>
      </c>
      <c r="P2771" s="2" t="s">
        <v>389</v>
      </c>
      <c r="Q2771">
        <v>4</v>
      </c>
      <c r="R2771" t="s">
        <v>392</v>
      </c>
      <c r="S2771" s="1">
        <f>electric_vehicles_dataset[[#This Row],[Units_Sold_2024]]*electric_vehicles_dataset[[#This Row],[Price_USD]]</f>
        <v>1177539349.28</v>
      </c>
      <c r="T2771">
        <v>3</v>
      </c>
      <c r="U2771">
        <v>16076</v>
      </c>
      <c r="V2771">
        <v>5</v>
      </c>
    </row>
    <row r="2772" spans="1:22" x14ac:dyDescent="0.35">
      <c r="A2772">
        <v>2771</v>
      </c>
      <c r="B2772" t="s">
        <v>200</v>
      </c>
      <c r="C2772" t="s">
        <v>327</v>
      </c>
      <c r="D2772">
        <v>2024</v>
      </c>
      <c r="E2772" t="s">
        <v>101</v>
      </c>
      <c r="F2772">
        <v>73.400000000000006</v>
      </c>
      <c r="G2772" t="s">
        <v>351</v>
      </c>
      <c r="H2772">
        <f>electric_vehicles_dataset[[#This Row],[Battery_Capacity_kWh]]/electric_vehicles_dataset[[#This Row],[Range_km]]</f>
        <v>0.21213872832369943</v>
      </c>
      <c r="I2772">
        <v>346</v>
      </c>
      <c r="J2772" t="s">
        <v>353</v>
      </c>
      <c r="K2772">
        <v>8</v>
      </c>
      <c r="L2772" s="1">
        <v>30488.05</v>
      </c>
      <c r="M2772" s="1" t="str" cm="1">
        <f t="array" ref="M27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72" t="s">
        <v>253</v>
      </c>
      <c r="O2772" t="s">
        <v>95</v>
      </c>
      <c r="P2772" s="2" t="s">
        <v>394</v>
      </c>
      <c r="Q2772">
        <v>4</v>
      </c>
      <c r="R2772" t="s">
        <v>392</v>
      </c>
      <c r="S2772" s="1">
        <f>electric_vehicles_dataset[[#This Row],[Units_Sold_2024]]*electric_vehicles_dataset[[#This Row],[Price_USD]]</f>
        <v>285063267.5</v>
      </c>
      <c r="T2772">
        <v>4</v>
      </c>
      <c r="U2772">
        <v>9350</v>
      </c>
      <c r="V2772">
        <v>4</v>
      </c>
    </row>
    <row r="2773" spans="1:22" x14ac:dyDescent="0.35">
      <c r="A2773">
        <v>2772</v>
      </c>
      <c r="B2773" t="s">
        <v>16</v>
      </c>
      <c r="C2773" t="s">
        <v>347</v>
      </c>
      <c r="D2773">
        <v>2024</v>
      </c>
      <c r="E2773" t="s">
        <v>183</v>
      </c>
      <c r="F2773">
        <v>76.400000000000006</v>
      </c>
      <c r="G2773" t="s">
        <v>351</v>
      </c>
      <c r="H2773">
        <f>electric_vehicles_dataset[[#This Row],[Battery_Capacity_kWh]]/electric_vehicles_dataset[[#This Row],[Range_km]]</f>
        <v>0.31183673469387757</v>
      </c>
      <c r="I2773">
        <v>245</v>
      </c>
      <c r="J2773" t="s">
        <v>27</v>
      </c>
      <c r="K2773">
        <v>7</v>
      </c>
      <c r="L2773" s="1">
        <v>132857.5</v>
      </c>
      <c r="M2773" s="1" t="str" cm="1">
        <f t="array" ref="M277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73" t="s">
        <v>22</v>
      </c>
      <c r="O2773" t="s">
        <v>67</v>
      </c>
      <c r="P2773" s="2" t="s">
        <v>394</v>
      </c>
      <c r="Q2773">
        <v>3</v>
      </c>
      <c r="R2773" t="s">
        <v>397</v>
      </c>
      <c r="S2773" s="1">
        <f>electric_vehicles_dataset[[#This Row],[Units_Sold_2024]]*electric_vehicles_dataset[[#This Row],[Price_USD]]</f>
        <v>1406429495</v>
      </c>
      <c r="T2773">
        <v>5</v>
      </c>
      <c r="U2773">
        <v>10586</v>
      </c>
      <c r="V2773">
        <v>4</v>
      </c>
    </row>
    <row r="2774" spans="1:22" x14ac:dyDescent="0.35">
      <c r="A2774">
        <v>2773</v>
      </c>
      <c r="B2774" t="s">
        <v>313</v>
      </c>
      <c r="C2774" t="s">
        <v>314</v>
      </c>
      <c r="D2774">
        <v>2018</v>
      </c>
      <c r="E2774" t="s">
        <v>84</v>
      </c>
      <c r="F2774">
        <v>27.1</v>
      </c>
      <c r="G2774" t="s">
        <v>357</v>
      </c>
      <c r="H2774">
        <f>electric_vehicles_dataset[[#This Row],[Battery_Capacity_kWh]]/electric_vehicles_dataset[[#This Row],[Range_km]]</f>
        <v>7.9239766081871346E-2</v>
      </c>
      <c r="I2774">
        <v>342</v>
      </c>
      <c r="J2774" t="s">
        <v>105</v>
      </c>
      <c r="K2774">
        <v>10</v>
      </c>
      <c r="L2774" s="1">
        <v>45635.17</v>
      </c>
      <c r="M2774" s="1" t="str" cm="1">
        <f t="array" ref="M27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74" t="s">
        <v>277</v>
      </c>
      <c r="O2774" t="s">
        <v>230</v>
      </c>
      <c r="P2774" s="2" t="s">
        <v>389</v>
      </c>
      <c r="Q2774">
        <v>5</v>
      </c>
      <c r="R2774" t="s">
        <v>392</v>
      </c>
      <c r="S2774" s="1">
        <f>electric_vehicles_dataset[[#This Row],[Units_Sold_2024]]*electric_vehicles_dataset[[#This Row],[Price_USD]]</f>
        <v>470726778.54999995</v>
      </c>
      <c r="T2774">
        <v>3</v>
      </c>
      <c r="U2774">
        <v>10315</v>
      </c>
      <c r="V2774">
        <v>3</v>
      </c>
    </row>
    <row r="2775" spans="1:22" x14ac:dyDescent="0.35">
      <c r="A2775">
        <v>2774</v>
      </c>
      <c r="B2775" t="s">
        <v>241</v>
      </c>
      <c r="C2775" t="s">
        <v>247</v>
      </c>
      <c r="D2775">
        <v>2017</v>
      </c>
      <c r="E2775" t="s">
        <v>104</v>
      </c>
      <c r="F2775">
        <v>106.5</v>
      </c>
      <c r="G2775" t="s">
        <v>361</v>
      </c>
      <c r="H2775">
        <f>electric_vehicles_dataset[[#This Row],[Battery_Capacity_kWh]]/electric_vehicles_dataset[[#This Row],[Range_km]]</f>
        <v>0.27952755905511811</v>
      </c>
      <c r="I2775">
        <v>381</v>
      </c>
      <c r="J2775" t="s">
        <v>345</v>
      </c>
      <c r="K2775">
        <v>8</v>
      </c>
      <c r="L2775" s="1">
        <v>128943.61</v>
      </c>
      <c r="M2775" s="1" t="str" cm="1">
        <f t="array" ref="M277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75" t="s">
        <v>279</v>
      </c>
      <c r="O2775" t="s">
        <v>230</v>
      </c>
      <c r="P2775" s="2" t="s">
        <v>389</v>
      </c>
      <c r="Q2775">
        <v>1</v>
      </c>
      <c r="R2775" t="s">
        <v>391</v>
      </c>
      <c r="S2775" s="1">
        <f>electric_vehicles_dataset[[#This Row],[Units_Sold_2024]]*electric_vehicles_dataset[[#This Row],[Price_USD]]</f>
        <v>1578140842.79</v>
      </c>
      <c r="T2775">
        <v>4</v>
      </c>
      <c r="U2775">
        <v>12239</v>
      </c>
      <c r="V2775">
        <v>4</v>
      </c>
    </row>
    <row r="2776" spans="1:22" x14ac:dyDescent="0.35">
      <c r="A2776">
        <v>2775</v>
      </c>
      <c r="B2776" t="s">
        <v>261</v>
      </c>
      <c r="C2776" t="s">
        <v>372</v>
      </c>
      <c r="D2776">
        <v>2015</v>
      </c>
      <c r="E2776" t="s">
        <v>17</v>
      </c>
      <c r="F2776">
        <v>78.2</v>
      </c>
      <c r="G2776" t="s">
        <v>351</v>
      </c>
      <c r="H2776">
        <f>electric_vehicles_dataset[[#This Row],[Battery_Capacity_kWh]]/electric_vehicles_dataset[[#This Row],[Range_km]]</f>
        <v>0.18574821852731593</v>
      </c>
      <c r="I2776">
        <v>421</v>
      </c>
      <c r="J2776" t="s">
        <v>34</v>
      </c>
      <c r="K2776">
        <v>9</v>
      </c>
      <c r="L2776" s="1">
        <v>37887.019999999997</v>
      </c>
      <c r="M2776" s="1" t="str" cm="1">
        <f t="array" ref="M277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76" t="s">
        <v>43</v>
      </c>
      <c r="O2776" t="s">
        <v>230</v>
      </c>
      <c r="P2776" s="2" t="s">
        <v>389</v>
      </c>
      <c r="Q2776">
        <v>1</v>
      </c>
      <c r="R2776" t="s">
        <v>391</v>
      </c>
      <c r="S2776" s="1">
        <f>electric_vehicles_dataset[[#This Row],[Units_Sold_2024]]*electric_vehicles_dataset[[#This Row],[Price_USD]]</f>
        <v>182274453.22</v>
      </c>
      <c r="T2776">
        <v>5</v>
      </c>
      <c r="U2776">
        <v>4811</v>
      </c>
      <c r="V2776">
        <v>4</v>
      </c>
    </row>
    <row r="2777" spans="1:22" x14ac:dyDescent="0.35">
      <c r="A2777">
        <v>2776</v>
      </c>
      <c r="B2777" t="s">
        <v>108</v>
      </c>
      <c r="C2777" t="s">
        <v>109</v>
      </c>
      <c r="D2777">
        <v>2021</v>
      </c>
      <c r="E2777" t="s">
        <v>133</v>
      </c>
      <c r="F2777">
        <v>42.9</v>
      </c>
      <c r="G2777" t="s">
        <v>348</v>
      </c>
      <c r="H2777">
        <f>electric_vehicles_dataset[[#This Row],[Battery_Capacity_kWh]]/electric_vehicles_dataset[[#This Row],[Range_km]]</f>
        <v>0.1284431137724551</v>
      </c>
      <c r="I2777">
        <v>334</v>
      </c>
      <c r="J2777" t="s">
        <v>358</v>
      </c>
      <c r="K2777">
        <v>11</v>
      </c>
      <c r="L2777" s="1">
        <v>60868.22</v>
      </c>
      <c r="M2777" s="1" t="str" cm="1">
        <f t="array" ref="M277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77" t="s">
        <v>127</v>
      </c>
      <c r="O2777" t="s">
        <v>182</v>
      </c>
      <c r="P2777" s="2" t="s">
        <v>394</v>
      </c>
      <c r="Q2777">
        <v>5</v>
      </c>
      <c r="R2777" t="s">
        <v>392</v>
      </c>
      <c r="S2777" s="1">
        <f>electric_vehicles_dataset[[#This Row],[Units_Sold_2024]]*electric_vehicles_dataset[[#This Row],[Price_USD]]</f>
        <v>710271259.18000007</v>
      </c>
      <c r="T2777">
        <v>4</v>
      </c>
      <c r="U2777">
        <v>11669</v>
      </c>
      <c r="V2777">
        <v>3</v>
      </c>
    </row>
    <row r="2778" spans="1:22" x14ac:dyDescent="0.35">
      <c r="A2778">
        <v>2777</v>
      </c>
      <c r="B2778" t="s">
        <v>56</v>
      </c>
      <c r="C2778" t="s">
        <v>57</v>
      </c>
      <c r="D2778">
        <v>2019</v>
      </c>
      <c r="E2778" t="s">
        <v>130</v>
      </c>
      <c r="F2778">
        <v>135.5</v>
      </c>
      <c r="G2778" t="s">
        <v>352</v>
      </c>
      <c r="H2778">
        <f>electric_vehicles_dataset[[#This Row],[Battery_Capacity_kWh]]/electric_vehicles_dataset[[#This Row],[Range_km]]</f>
        <v>0.30518018018018017</v>
      </c>
      <c r="I2778">
        <v>444</v>
      </c>
      <c r="J2778" t="s">
        <v>105</v>
      </c>
      <c r="K2778">
        <v>1</v>
      </c>
      <c r="L2778" s="1">
        <v>149516.21</v>
      </c>
      <c r="M2778" s="1" t="str" cm="1">
        <f t="array" ref="M27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78" t="s">
        <v>22</v>
      </c>
      <c r="O2778" t="s">
        <v>23</v>
      </c>
      <c r="P2778" s="2" t="s">
        <v>389</v>
      </c>
      <c r="Q2778">
        <v>5</v>
      </c>
      <c r="R2778" t="s">
        <v>392</v>
      </c>
      <c r="S2778" s="1">
        <f>electric_vehicles_dataset[[#This Row],[Units_Sold_2024]]*electric_vehicles_dataset[[#This Row],[Price_USD]]</f>
        <v>2691740328.6299996</v>
      </c>
      <c r="T2778">
        <v>5</v>
      </c>
      <c r="U2778">
        <v>18003</v>
      </c>
      <c r="V2778">
        <v>5</v>
      </c>
    </row>
    <row r="2779" spans="1:22" x14ac:dyDescent="0.35">
      <c r="A2779">
        <v>2778</v>
      </c>
      <c r="B2779" t="s">
        <v>259</v>
      </c>
      <c r="C2779" t="s">
        <v>260</v>
      </c>
      <c r="D2779">
        <v>2020</v>
      </c>
      <c r="E2779" t="s">
        <v>104</v>
      </c>
      <c r="F2779">
        <v>97.9</v>
      </c>
      <c r="G2779" t="s">
        <v>350</v>
      </c>
      <c r="H2779">
        <f>electric_vehicles_dataset[[#This Row],[Battery_Capacity_kWh]]/electric_vehicles_dataset[[#This Row],[Range_km]]</f>
        <v>0.17482142857142857</v>
      </c>
      <c r="I2779">
        <v>560</v>
      </c>
      <c r="J2779" t="s">
        <v>356</v>
      </c>
      <c r="K2779">
        <v>11</v>
      </c>
      <c r="L2779" s="1">
        <v>97653.6</v>
      </c>
      <c r="M2779" s="1" t="str" cm="1">
        <f t="array" ref="M277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79" t="s">
        <v>277</v>
      </c>
      <c r="O2779" t="s">
        <v>86</v>
      </c>
      <c r="P2779" s="2" t="s">
        <v>389</v>
      </c>
      <c r="Q2779">
        <v>5</v>
      </c>
      <c r="R2779" t="s">
        <v>392</v>
      </c>
      <c r="S2779" s="1">
        <f>electric_vehicles_dataset[[#This Row],[Units_Sold_2024]]*electric_vehicles_dataset[[#This Row],[Price_USD]]</f>
        <v>523618603.20000005</v>
      </c>
      <c r="T2779">
        <v>4</v>
      </c>
      <c r="U2779">
        <v>5362</v>
      </c>
      <c r="V2779">
        <v>5</v>
      </c>
    </row>
    <row r="2780" spans="1:22" x14ac:dyDescent="0.35">
      <c r="A2780">
        <v>2779</v>
      </c>
      <c r="B2780" t="s">
        <v>269</v>
      </c>
      <c r="C2780" t="s">
        <v>329</v>
      </c>
      <c r="D2780">
        <v>2018</v>
      </c>
      <c r="E2780" t="s">
        <v>84</v>
      </c>
      <c r="F2780">
        <v>124.8</v>
      </c>
      <c r="G2780" t="s">
        <v>352</v>
      </c>
      <c r="H2780">
        <f>electric_vehicles_dataset[[#This Row],[Battery_Capacity_kWh]]/electric_vehicles_dataset[[#This Row],[Range_km]]</f>
        <v>0.83199999999999996</v>
      </c>
      <c r="I2780">
        <v>150</v>
      </c>
      <c r="J2780" t="s">
        <v>34</v>
      </c>
      <c r="K2780">
        <v>11</v>
      </c>
      <c r="L2780" s="1">
        <v>62853.57</v>
      </c>
      <c r="M2780" s="1" t="str" cm="1">
        <f t="array" ref="M278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80" t="s">
        <v>102</v>
      </c>
      <c r="O2780" t="s">
        <v>135</v>
      </c>
      <c r="P2780" s="2" t="s">
        <v>389</v>
      </c>
      <c r="Q2780">
        <v>1</v>
      </c>
      <c r="R2780" t="s">
        <v>391</v>
      </c>
      <c r="S2780" s="1">
        <f>electric_vehicles_dataset[[#This Row],[Units_Sold_2024]]*electric_vehicles_dataset[[#This Row],[Price_USD]]</f>
        <v>1019484905.4</v>
      </c>
      <c r="T2780">
        <v>5</v>
      </c>
      <c r="U2780">
        <v>16220</v>
      </c>
      <c r="V2780">
        <v>4</v>
      </c>
    </row>
    <row r="2781" spans="1:22" x14ac:dyDescent="0.35">
      <c r="A2781">
        <v>2780</v>
      </c>
      <c r="B2781" t="s">
        <v>215</v>
      </c>
      <c r="C2781" t="s">
        <v>377</v>
      </c>
      <c r="D2781">
        <v>2019</v>
      </c>
      <c r="E2781" t="s">
        <v>73</v>
      </c>
      <c r="F2781">
        <v>120.7</v>
      </c>
      <c r="G2781" t="s">
        <v>352</v>
      </c>
      <c r="H2781">
        <f>electric_vehicles_dataset[[#This Row],[Battery_Capacity_kWh]]/electric_vehicles_dataset[[#This Row],[Range_km]]</f>
        <v>0.55879629629629635</v>
      </c>
      <c r="I2781">
        <v>216</v>
      </c>
      <c r="J2781" t="s">
        <v>353</v>
      </c>
      <c r="K2781">
        <v>9</v>
      </c>
      <c r="L2781" s="1">
        <v>147031.82999999999</v>
      </c>
      <c r="M2781" s="1" t="str" cm="1">
        <f t="array" ref="M278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81" t="s">
        <v>98</v>
      </c>
      <c r="O2781" t="s">
        <v>111</v>
      </c>
      <c r="P2781" s="2" t="s">
        <v>389</v>
      </c>
      <c r="Q2781">
        <v>3</v>
      </c>
      <c r="R2781" t="s">
        <v>397</v>
      </c>
      <c r="S2781" s="1">
        <f>electric_vehicles_dataset[[#This Row],[Units_Sold_2024]]*electric_vehicles_dataset[[#This Row],[Price_USD]]</f>
        <v>1360338491.1599998</v>
      </c>
      <c r="T2781">
        <v>4</v>
      </c>
      <c r="U2781">
        <v>9252</v>
      </c>
      <c r="V2781">
        <v>5</v>
      </c>
    </row>
    <row r="2782" spans="1:22" x14ac:dyDescent="0.35">
      <c r="A2782">
        <v>2781</v>
      </c>
      <c r="B2782" t="s">
        <v>71</v>
      </c>
      <c r="C2782" t="s">
        <v>330</v>
      </c>
      <c r="D2782">
        <v>2022</v>
      </c>
      <c r="E2782" t="s">
        <v>130</v>
      </c>
      <c r="F2782">
        <v>36.799999999999997</v>
      </c>
      <c r="G2782" t="s">
        <v>357</v>
      </c>
      <c r="H2782">
        <f>electric_vehicles_dataset[[#This Row],[Battery_Capacity_kWh]]/electric_vehicles_dataset[[#This Row],[Range_km]]</f>
        <v>8.6588235294117646E-2</v>
      </c>
      <c r="I2782">
        <v>425</v>
      </c>
      <c r="J2782" t="s">
        <v>34</v>
      </c>
      <c r="K2782">
        <v>9</v>
      </c>
      <c r="L2782" s="1">
        <v>139621.32</v>
      </c>
      <c r="M2782" s="1" t="str" cm="1">
        <f t="array" ref="M278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82" t="s">
        <v>152</v>
      </c>
      <c r="O2782" t="s">
        <v>44</v>
      </c>
      <c r="P2782" s="2" t="s">
        <v>389</v>
      </c>
      <c r="Q2782">
        <v>5</v>
      </c>
      <c r="R2782" t="s">
        <v>392</v>
      </c>
      <c r="S2782" s="1">
        <f>electric_vehicles_dataset[[#This Row],[Units_Sold_2024]]*electric_vehicles_dataset[[#This Row],[Price_USD]]</f>
        <v>470104984.44</v>
      </c>
      <c r="T2782">
        <v>4</v>
      </c>
      <c r="U2782">
        <v>3367</v>
      </c>
      <c r="V2782">
        <v>5</v>
      </c>
    </row>
    <row r="2783" spans="1:22" x14ac:dyDescent="0.35">
      <c r="A2783">
        <v>2782</v>
      </c>
      <c r="B2783" t="s">
        <v>170</v>
      </c>
      <c r="C2783" t="s">
        <v>334</v>
      </c>
      <c r="D2783">
        <v>2021</v>
      </c>
      <c r="E2783" t="s">
        <v>130</v>
      </c>
      <c r="F2783">
        <v>101.6</v>
      </c>
      <c r="G2783" t="s">
        <v>361</v>
      </c>
      <c r="H2783">
        <f>electric_vehicles_dataset[[#This Row],[Battery_Capacity_kWh]]/electric_vehicles_dataset[[#This Row],[Range_km]]</f>
        <v>0.20118811881188117</v>
      </c>
      <c r="I2783">
        <v>505</v>
      </c>
      <c r="J2783" t="s">
        <v>364</v>
      </c>
      <c r="K2783">
        <v>1</v>
      </c>
      <c r="L2783" s="1">
        <v>101572.39</v>
      </c>
      <c r="M2783" s="1" t="str" cm="1">
        <f t="array" ref="M278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83" t="s">
        <v>172</v>
      </c>
      <c r="O2783" t="s">
        <v>354</v>
      </c>
      <c r="P2783" s="2" t="s">
        <v>394</v>
      </c>
      <c r="Q2783">
        <v>1</v>
      </c>
      <c r="R2783" t="s">
        <v>391</v>
      </c>
      <c r="S2783" s="1">
        <f>electric_vehicles_dataset[[#This Row],[Units_Sold_2024]]*electric_vehicles_dataset[[#This Row],[Price_USD]]</f>
        <v>824158372.46000004</v>
      </c>
      <c r="T2783">
        <v>5</v>
      </c>
      <c r="U2783">
        <v>8114</v>
      </c>
      <c r="V2783">
        <v>3</v>
      </c>
    </row>
    <row r="2784" spans="1:22" x14ac:dyDescent="0.35">
      <c r="A2784">
        <v>2783</v>
      </c>
      <c r="B2784" t="s">
        <v>24</v>
      </c>
      <c r="C2784" t="s">
        <v>300</v>
      </c>
      <c r="D2784">
        <v>2017</v>
      </c>
      <c r="E2784" t="s">
        <v>58</v>
      </c>
      <c r="F2784">
        <v>36.700000000000003</v>
      </c>
      <c r="G2784" t="s">
        <v>357</v>
      </c>
      <c r="H2784">
        <f>electric_vehicles_dataset[[#This Row],[Battery_Capacity_kWh]]/electric_vehicles_dataset[[#This Row],[Range_km]]</f>
        <v>0.22378048780487805</v>
      </c>
      <c r="I2784">
        <v>164</v>
      </c>
      <c r="J2784" t="s">
        <v>358</v>
      </c>
      <c r="K2784">
        <v>5</v>
      </c>
      <c r="L2784" s="1">
        <v>71838.429999999993</v>
      </c>
      <c r="M2784" s="1" t="str" cm="1">
        <f t="array" ref="M278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84" t="s">
        <v>160</v>
      </c>
      <c r="O2784" t="s">
        <v>226</v>
      </c>
      <c r="P2784" s="2" t="s">
        <v>395</v>
      </c>
      <c r="Q2784">
        <v>0</v>
      </c>
      <c r="R2784" t="s">
        <v>390</v>
      </c>
      <c r="S2784" s="1">
        <f>electric_vehicles_dataset[[#This Row],[Units_Sold_2024]]*electric_vehicles_dataset[[#This Row],[Price_USD]]</f>
        <v>668959460.15999997</v>
      </c>
      <c r="T2784">
        <v>3</v>
      </c>
      <c r="U2784">
        <v>9312</v>
      </c>
      <c r="V2784">
        <v>5</v>
      </c>
    </row>
    <row r="2785" spans="1:22" x14ac:dyDescent="0.35">
      <c r="A2785">
        <v>2784</v>
      </c>
      <c r="B2785" t="s">
        <v>41</v>
      </c>
      <c r="C2785" t="s">
        <v>380</v>
      </c>
      <c r="D2785">
        <v>2015</v>
      </c>
      <c r="E2785" t="s">
        <v>104</v>
      </c>
      <c r="F2785">
        <v>103.6</v>
      </c>
      <c r="G2785" t="s">
        <v>361</v>
      </c>
      <c r="H2785">
        <f>electric_vehicles_dataset[[#This Row],[Battery_Capacity_kWh]]/electric_vehicles_dataset[[#This Row],[Range_km]]</f>
        <v>0.30470588235294116</v>
      </c>
      <c r="I2785">
        <v>340</v>
      </c>
      <c r="J2785" t="s">
        <v>364</v>
      </c>
      <c r="K2785">
        <v>5</v>
      </c>
      <c r="L2785" s="1">
        <v>131834.29</v>
      </c>
      <c r="M2785" s="1" t="str" cm="1">
        <f t="array" ref="M278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85" t="s">
        <v>212</v>
      </c>
      <c r="O2785" t="s">
        <v>161</v>
      </c>
      <c r="P2785" s="2" t="s">
        <v>389</v>
      </c>
      <c r="Q2785">
        <v>5</v>
      </c>
      <c r="R2785" t="s">
        <v>392</v>
      </c>
      <c r="S2785" s="1">
        <f>electric_vehicles_dataset[[#This Row],[Units_Sold_2024]]*electric_vehicles_dataset[[#This Row],[Price_USD]]</f>
        <v>505320833.57000005</v>
      </c>
      <c r="T2785">
        <v>4</v>
      </c>
      <c r="U2785">
        <v>3833</v>
      </c>
      <c r="V2785">
        <v>5</v>
      </c>
    </row>
    <row r="2786" spans="1:22" x14ac:dyDescent="0.35">
      <c r="A2786">
        <v>2785</v>
      </c>
      <c r="B2786" t="s">
        <v>153</v>
      </c>
      <c r="C2786" t="s">
        <v>178</v>
      </c>
      <c r="D2786">
        <v>2019</v>
      </c>
      <c r="E2786" t="s">
        <v>31</v>
      </c>
      <c r="F2786">
        <v>139.5</v>
      </c>
      <c r="G2786" t="s">
        <v>352</v>
      </c>
      <c r="H2786">
        <f>electric_vehicles_dataset[[#This Row],[Battery_Capacity_kWh]]/electric_vehicles_dataset[[#This Row],[Range_km]]</f>
        <v>0.58125000000000004</v>
      </c>
      <c r="I2786">
        <v>240</v>
      </c>
      <c r="J2786" t="s">
        <v>27</v>
      </c>
      <c r="K2786">
        <v>9</v>
      </c>
      <c r="L2786" s="1">
        <v>86087.78</v>
      </c>
      <c r="M2786" s="1" t="str" cm="1">
        <f t="array" ref="M278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86" t="s">
        <v>301</v>
      </c>
      <c r="O2786" t="s">
        <v>206</v>
      </c>
      <c r="P2786" s="2" t="s">
        <v>394</v>
      </c>
      <c r="Q2786">
        <v>3</v>
      </c>
      <c r="R2786" t="s">
        <v>397</v>
      </c>
      <c r="S2786" s="1">
        <f>electric_vehicles_dataset[[#This Row],[Units_Sold_2024]]*electric_vehicles_dataset[[#This Row],[Price_USD]]</f>
        <v>675100370.75999999</v>
      </c>
      <c r="T2786">
        <v>5</v>
      </c>
      <c r="U2786">
        <v>7842</v>
      </c>
      <c r="V2786">
        <v>5</v>
      </c>
    </row>
    <row r="2787" spans="1:22" x14ac:dyDescent="0.35">
      <c r="A2787">
        <v>2786</v>
      </c>
      <c r="B2787" t="s">
        <v>313</v>
      </c>
      <c r="C2787" t="s">
        <v>314</v>
      </c>
      <c r="D2787">
        <v>2018</v>
      </c>
      <c r="E2787" t="s">
        <v>104</v>
      </c>
      <c r="F2787">
        <v>141.30000000000001</v>
      </c>
      <c r="G2787" t="s">
        <v>386</v>
      </c>
      <c r="H2787">
        <f>electric_vehicles_dataset[[#This Row],[Battery_Capacity_kWh]]/electric_vehicles_dataset[[#This Row],[Range_km]]</f>
        <v>0.37579787234042555</v>
      </c>
      <c r="I2787">
        <v>376</v>
      </c>
      <c r="J2787" t="s">
        <v>105</v>
      </c>
      <c r="K2787">
        <v>10</v>
      </c>
      <c r="L2787" s="1">
        <v>104325.3</v>
      </c>
      <c r="M2787" s="1" t="str" cm="1">
        <f t="array" ref="M278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87" t="s">
        <v>277</v>
      </c>
      <c r="O2787" t="s">
        <v>226</v>
      </c>
      <c r="P2787" s="2" t="s">
        <v>395</v>
      </c>
      <c r="Q2787">
        <v>5</v>
      </c>
      <c r="R2787" t="s">
        <v>392</v>
      </c>
      <c r="S2787" s="1">
        <f>electric_vehicles_dataset[[#This Row],[Units_Sold_2024]]*electric_vehicles_dataset[[#This Row],[Price_USD]]</f>
        <v>558974957.39999998</v>
      </c>
      <c r="T2787">
        <v>5</v>
      </c>
      <c r="U2787">
        <v>5358</v>
      </c>
      <c r="V2787">
        <v>3</v>
      </c>
    </row>
    <row r="2788" spans="1:22" x14ac:dyDescent="0.35">
      <c r="A2788">
        <v>2787</v>
      </c>
      <c r="B2788" t="s">
        <v>16</v>
      </c>
      <c r="C2788" t="s">
        <v>347</v>
      </c>
      <c r="D2788">
        <v>2016</v>
      </c>
      <c r="E2788" t="s">
        <v>101</v>
      </c>
      <c r="F2788">
        <v>71.099999999999994</v>
      </c>
      <c r="G2788" t="s">
        <v>351</v>
      </c>
      <c r="H2788">
        <f>electric_vehicles_dataset[[#This Row],[Battery_Capacity_kWh]]/electric_vehicles_dataset[[#This Row],[Range_km]]</f>
        <v>0.16690140845070423</v>
      </c>
      <c r="I2788">
        <v>426</v>
      </c>
      <c r="J2788" t="s">
        <v>18</v>
      </c>
      <c r="K2788">
        <v>2</v>
      </c>
      <c r="L2788" s="1">
        <v>109200.84</v>
      </c>
      <c r="M2788" s="1" t="str" cm="1">
        <f t="array" ref="M278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88" t="s">
        <v>143</v>
      </c>
      <c r="O2788" t="s">
        <v>89</v>
      </c>
      <c r="P2788" s="2" t="s">
        <v>389</v>
      </c>
      <c r="Q2788">
        <v>3</v>
      </c>
      <c r="R2788" t="s">
        <v>397</v>
      </c>
      <c r="S2788" s="1">
        <f>electric_vehicles_dataset[[#This Row],[Units_Sold_2024]]*electric_vehicles_dataset[[#This Row],[Price_USD]]</f>
        <v>1661709182.28</v>
      </c>
      <c r="T2788">
        <v>3</v>
      </c>
      <c r="U2788">
        <v>15217</v>
      </c>
      <c r="V2788">
        <v>5</v>
      </c>
    </row>
    <row r="2789" spans="1:22" x14ac:dyDescent="0.35">
      <c r="A2789">
        <v>2788</v>
      </c>
      <c r="B2789" t="s">
        <v>45</v>
      </c>
      <c r="C2789" t="s">
        <v>132</v>
      </c>
      <c r="D2789">
        <v>2022</v>
      </c>
      <c r="E2789" t="s">
        <v>84</v>
      </c>
      <c r="F2789">
        <v>68.099999999999994</v>
      </c>
      <c r="G2789" t="s">
        <v>351</v>
      </c>
      <c r="H2789">
        <f>electric_vehicles_dataset[[#This Row],[Battery_Capacity_kWh]]/electric_vehicles_dataset[[#This Row],[Range_km]]</f>
        <v>0.59736842105263155</v>
      </c>
      <c r="I2789">
        <v>114</v>
      </c>
      <c r="J2789" t="s">
        <v>345</v>
      </c>
      <c r="K2789">
        <v>1</v>
      </c>
      <c r="L2789" s="1">
        <v>74523.22</v>
      </c>
      <c r="M2789" s="1" t="str" cm="1">
        <f t="array" ref="M278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89" t="s">
        <v>39</v>
      </c>
      <c r="O2789" t="s">
        <v>135</v>
      </c>
      <c r="P2789" s="2" t="s">
        <v>389</v>
      </c>
      <c r="Q2789">
        <v>1</v>
      </c>
      <c r="R2789" t="s">
        <v>391</v>
      </c>
      <c r="S2789" s="1">
        <f>electric_vehicles_dataset[[#This Row],[Units_Sold_2024]]*electric_vehicles_dataset[[#This Row],[Price_USD]]</f>
        <v>988177897.20000005</v>
      </c>
      <c r="T2789">
        <v>4</v>
      </c>
      <c r="U2789">
        <v>13260</v>
      </c>
      <c r="V2789">
        <v>3</v>
      </c>
    </row>
    <row r="2790" spans="1:22" x14ac:dyDescent="0.35">
      <c r="A2790">
        <v>2789</v>
      </c>
      <c r="B2790" t="s">
        <v>180</v>
      </c>
      <c r="C2790" t="s">
        <v>379</v>
      </c>
      <c r="D2790">
        <v>2025</v>
      </c>
      <c r="E2790" t="s">
        <v>26</v>
      </c>
      <c r="F2790">
        <v>119.2</v>
      </c>
      <c r="G2790" t="s">
        <v>361</v>
      </c>
      <c r="H2790">
        <f>electric_vehicles_dataset[[#This Row],[Battery_Capacity_kWh]]/electric_vehicles_dataset[[#This Row],[Range_km]]</f>
        <v>0.587192118226601</v>
      </c>
      <c r="I2790">
        <v>203</v>
      </c>
      <c r="J2790" t="s">
        <v>18</v>
      </c>
      <c r="K2790">
        <v>5</v>
      </c>
      <c r="L2790" s="1">
        <v>84360.48</v>
      </c>
      <c r="M2790" s="1" t="str" cm="1">
        <f t="array" ref="M279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90" t="s">
        <v>22</v>
      </c>
      <c r="O2790" t="s">
        <v>230</v>
      </c>
      <c r="P2790" s="2" t="s">
        <v>389</v>
      </c>
      <c r="Q2790">
        <v>0</v>
      </c>
      <c r="R2790" t="s">
        <v>390</v>
      </c>
      <c r="S2790" s="1">
        <f>electric_vehicles_dataset[[#This Row],[Units_Sold_2024]]*electric_vehicles_dataset[[#This Row],[Price_USD]]</f>
        <v>1419196355.04</v>
      </c>
      <c r="T2790">
        <v>4</v>
      </c>
      <c r="U2790">
        <v>16823</v>
      </c>
      <c r="V2790">
        <v>5</v>
      </c>
    </row>
    <row r="2791" spans="1:22" x14ac:dyDescent="0.35">
      <c r="A2791">
        <v>2790</v>
      </c>
      <c r="B2791" t="s">
        <v>170</v>
      </c>
      <c r="C2791" t="s">
        <v>171</v>
      </c>
      <c r="D2791">
        <v>2022</v>
      </c>
      <c r="E2791" t="s">
        <v>90</v>
      </c>
      <c r="F2791">
        <v>140.19999999999999</v>
      </c>
      <c r="G2791" t="s">
        <v>386</v>
      </c>
      <c r="H2791">
        <f>electric_vehicles_dataset[[#This Row],[Battery_Capacity_kWh]]/electric_vehicles_dataset[[#This Row],[Range_km]]</f>
        <v>0.39492957746478868</v>
      </c>
      <c r="I2791">
        <v>355</v>
      </c>
      <c r="J2791" t="s">
        <v>356</v>
      </c>
      <c r="K2791">
        <v>8</v>
      </c>
      <c r="L2791" s="1">
        <v>49569.86</v>
      </c>
      <c r="M2791" s="1" t="str" cm="1">
        <f t="array" ref="M279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91" t="s">
        <v>39</v>
      </c>
      <c r="O2791" t="s">
        <v>63</v>
      </c>
      <c r="P2791" s="2" t="s">
        <v>389</v>
      </c>
      <c r="Q2791">
        <v>4</v>
      </c>
      <c r="R2791" t="s">
        <v>392</v>
      </c>
      <c r="S2791" s="1">
        <f>electric_vehicles_dataset[[#This Row],[Units_Sold_2024]]*electric_vehicles_dataset[[#This Row],[Price_USD]]</f>
        <v>918876494.82000005</v>
      </c>
      <c r="T2791">
        <v>4</v>
      </c>
      <c r="U2791">
        <v>18537</v>
      </c>
      <c r="V2791">
        <v>3</v>
      </c>
    </row>
    <row r="2792" spans="1:22" x14ac:dyDescent="0.35">
      <c r="A2792">
        <v>2791</v>
      </c>
      <c r="B2792" t="s">
        <v>74</v>
      </c>
      <c r="C2792" t="s">
        <v>75</v>
      </c>
      <c r="D2792">
        <v>2020</v>
      </c>
      <c r="E2792" t="s">
        <v>133</v>
      </c>
      <c r="F2792">
        <v>54.8</v>
      </c>
      <c r="G2792" t="s">
        <v>348</v>
      </c>
      <c r="H2792">
        <f>electric_vehicles_dataset[[#This Row],[Battery_Capacity_kWh]]/electric_vehicles_dataset[[#This Row],[Range_km]]</f>
        <v>0.1009208103130755</v>
      </c>
      <c r="I2792">
        <v>543</v>
      </c>
      <c r="J2792" t="s">
        <v>353</v>
      </c>
      <c r="K2792">
        <v>12</v>
      </c>
      <c r="L2792" s="1">
        <v>139737.66</v>
      </c>
      <c r="M2792" s="1" t="str" cm="1">
        <f t="array" ref="M27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92" t="s">
        <v>172</v>
      </c>
      <c r="O2792" t="s">
        <v>182</v>
      </c>
      <c r="P2792" s="2" t="s">
        <v>394</v>
      </c>
      <c r="Q2792">
        <v>1</v>
      </c>
      <c r="R2792" t="s">
        <v>391</v>
      </c>
      <c r="S2792" s="1">
        <f>electric_vehicles_dataset[[#This Row],[Units_Sold_2024]]*electric_vehicles_dataset[[#This Row],[Price_USD]]</f>
        <v>81746531.100000009</v>
      </c>
      <c r="T2792">
        <v>5</v>
      </c>
      <c r="U2792">
        <v>585</v>
      </c>
      <c r="V2792">
        <v>3</v>
      </c>
    </row>
    <row r="2793" spans="1:22" x14ac:dyDescent="0.35">
      <c r="A2793">
        <v>2792</v>
      </c>
      <c r="B2793" t="s">
        <v>125</v>
      </c>
      <c r="C2793" t="s">
        <v>163</v>
      </c>
      <c r="D2793">
        <v>2016</v>
      </c>
      <c r="E2793" t="s">
        <v>104</v>
      </c>
      <c r="F2793">
        <v>98.4</v>
      </c>
      <c r="G2793" t="s">
        <v>350</v>
      </c>
      <c r="H2793">
        <f>electric_vehicles_dataset[[#This Row],[Battery_Capacity_kWh]]/electric_vehicles_dataset[[#This Row],[Range_km]]</f>
        <v>0.24911392405063293</v>
      </c>
      <c r="I2793">
        <v>395</v>
      </c>
      <c r="J2793" t="s">
        <v>38</v>
      </c>
      <c r="K2793">
        <v>2</v>
      </c>
      <c r="L2793" s="1">
        <v>141422.21</v>
      </c>
      <c r="M2793" s="1" t="str" cm="1">
        <f t="array" ref="M279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93" t="s">
        <v>172</v>
      </c>
      <c r="O2793" t="s">
        <v>107</v>
      </c>
      <c r="P2793" s="2" t="s">
        <v>394</v>
      </c>
      <c r="Q2793">
        <v>3</v>
      </c>
      <c r="R2793" t="s">
        <v>397</v>
      </c>
      <c r="S2793" s="1">
        <f>electric_vehicles_dataset[[#This Row],[Units_Sold_2024]]*electric_vehicles_dataset[[#This Row],[Price_USD]]</f>
        <v>1037473332.5599999</v>
      </c>
      <c r="T2793">
        <v>4</v>
      </c>
      <c r="U2793">
        <v>7336</v>
      </c>
      <c r="V2793">
        <v>3</v>
      </c>
    </row>
    <row r="2794" spans="1:22" x14ac:dyDescent="0.35">
      <c r="A2794">
        <v>2793</v>
      </c>
      <c r="B2794" t="s">
        <v>192</v>
      </c>
      <c r="C2794" t="s">
        <v>316</v>
      </c>
      <c r="D2794">
        <v>2025</v>
      </c>
      <c r="E2794" t="s">
        <v>130</v>
      </c>
      <c r="F2794">
        <v>94.6</v>
      </c>
      <c r="G2794" t="s">
        <v>350</v>
      </c>
      <c r="H2794">
        <f>electric_vehicles_dataset[[#This Row],[Battery_Capacity_kWh]]/electric_vehicles_dataset[[#This Row],[Range_km]]</f>
        <v>0.19072580645161288</v>
      </c>
      <c r="I2794">
        <v>496</v>
      </c>
      <c r="J2794" t="s">
        <v>353</v>
      </c>
      <c r="K2794">
        <v>1</v>
      </c>
      <c r="L2794" s="1">
        <v>109817.05</v>
      </c>
      <c r="M2794" s="1" t="str" cm="1">
        <f t="array" ref="M279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94" t="s">
        <v>39</v>
      </c>
      <c r="O2794" t="s">
        <v>111</v>
      </c>
      <c r="P2794" s="2" t="s">
        <v>389</v>
      </c>
      <c r="Q2794">
        <v>2</v>
      </c>
      <c r="R2794" t="s">
        <v>391</v>
      </c>
      <c r="S2794" s="1">
        <f>electric_vehicles_dataset[[#This Row],[Units_Sold_2024]]*electric_vehicles_dataset[[#This Row],[Price_USD]]</f>
        <v>1522174130.05</v>
      </c>
      <c r="T2794">
        <v>5</v>
      </c>
      <c r="U2794">
        <v>13861</v>
      </c>
      <c r="V2794">
        <v>5</v>
      </c>
    </row>
    <row r="2795" spans="1:22" x14ac:dyDescent="0.35">
      <c r="A2795">
        <v>2794</v>
      </c>
      <c r="B2795" t="s">
        <v>184</v>
      </c>
      <c r="C2795" t="s">
        <v>309</v>
      </c>
      <c r="D2795">
        <v>2021</v>
      </c>
      <c r="E2795" t="s">
        <v>104</v>
      </c>
      <c r="F2795">
        <v>102</v>
      </c>
      <c r="G2795" t="s">
        <v>361</v>
      </c>
      <c r="H2795">
        <f>electric_vehicles_dataset[[#This Row],[Battery_Capacity_kWh]]/electric_vehicles_dataset[[#This Row],[Range_km]]</f>
        <v>0.59302325581395354</v>
      </c>
      <c r="I2795">
        <v>172</v>
      </c>
      <c r="J2795" t="s">
        <v>48</v>
      </c>
      <c r="K2795">
        <v>10</v>
      </c>
      <c r="L2795" s="1">
        <v>126212.54</v>
      </c>
      <c r="M2795" s="1" t="str" cm="1">
        <f t="array" ref="M279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95" t="s">
        <v>81</v>
      </c>
      <c r="O2795" t="s">
        <v>95</v>
      </c>
      <c r="P2795" s="2" t="s">
        <v>394</v>
      </c>
      <c r="Q2795">
        <v>4</v>
      </c>
      <c r="R2795" t="s">
        <v>392</v>
      </c>
      <c r="S2795" s="1">
        <f>electric_vehicles_dataset[[#This Row],[Units_Sold_2024]]*electric_vehicles_dataset[[#This Row],[Price_USD]]</f>
        <v>1475424592.5999999</v>
      </c>
      <c r="T2795">
        <v>5</v>
      </c>
      <c r="U2795">
        <v>11690</v>
      </c>
      <c r="V2795">
        <v>5</v>
      </c>
    </row>
    <row r="2796" spans="1:22" x14ac:dyDescent="0.35">
      <c r="A2796">
        <v>2795</v>
      </c>
      <c r="B2796" t="s">
        <v>68</v>
      </c>
      <c r="C2796" t="s">
        <v>69</v>
      </c>
      <c r="D2796">
        <v>2015</v>
      </c>
      <c r="E2796" t="s">
        <v>183</v>
      </c>
      <c r="F2796">
        <v>20.6</v>
      </c>
      <c r="G2796" t="s">
        <v>357</v>
      </c>
      <c r="H2796">
        <f>electric_vehicles_dataset[[#This Row],[Battery_Capacity_kWh]]/electric_vehicles_dataset[[#This Row],[Range_km]]</f>
        <v>0.12795031055900621</v>
      </c>
      <c r="I2796">
        <v>161</v>
      </c>
      <c r="J2796" t="s">
        <v>18</v>
      </c>
      <c r="K2796">
        <v>11</v>
      </c>
      <c r="L2796" s="1">
        <v>57276.58</v>
      </c>
      <c r="M2796" s="1" t="str" cm="1">
        <f t="array" ref="M279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796" t="s">
        <v>39</v>
      </c>
      <c r="O2796" t="s">
        <v>67</v>
      </c>
      <c r="P2796" s="2" t="s">
        <v>394</v>
      </c>
      <c r="Q2796">
        <v>3</v>
      </c>
      <c r="R2796" t="s">
        <v>397</v>
      </c>
      <c r="S2796" s="1">
        <f>electric_vehicles_dataset[[#This Row],[Units_Sold_2024]]*electric_vehicles_dataset[[#This Row],[Price_USD]]</f>
        <v>621049956.94000006</v>
      </c>
      <c r="T2796">
        <v>3</v>
      </c>
      <c r="U2796">
        <v>10843</v>
      </c>
      <c r="V2796">
        <v>3</v>
      </c>
    </row>
    <row r="2797" spans="1:22" x14ac:dyDescent="0.35">
      <c r="A2797">
        <v>2796</v>
      </c>
      <c r="B2797" t="s">
        <v>262</v>
      </c>
      <c r="C2797" t="s">
        <v>373</v>
      </c>
      <c r="D2797">
        <v>2024</v>
      </c>
      <c r="E2797" t="s">
        <v>31</v>
      </c>
      <c r="F2797">
        <v>42.2</v>
      </c>
      <c r="G2797" t="s">
        <v>348</v>
      </c>
      <c r="H2797">
        <f>electric_vehicles_dataset[[#This Row],[Battery_Capacity_kWh]]/electric_vehicles_dataset[[#This Row],[Range_km]]</f>
        <v>0.10989583333333335</v>
      </c>
      <c r="I2797">
        <v>384</v>
      </c>
      <c r="J2797" t="s">
        <v>345</v>
      </c>
      <c r="K2797">
        <v>8</v>
      </c>
      <c r="L2797" s="1">
        <v>138823.63</v>
      </c>
      <c r="M2797" s="1" t="str" cm="1">
        <f t="array" ref="M279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97" t="s">
        <v>106</v>
      </c>
      <c r="O2797" t="s">
        <v>23</v>
      </c>
      <c r="P2797" s="2" t="s">
        <v>389</v>
      </c>
      <c r="Q2797">
        <v>3</v>
      </c>
      <c r="R2797" t="s">
        <v>397</v>
      </c>
      <c r="S2797" s="1">
        <f>electric_vehicles_dataset[[#This Row],[Units_Sold_2024]]*electric_vehicles_dataset[[#This Row],[Price_USD]]</f>
        <v>851960617.31000006</v>
      </c>
      <c r="T2797">
        <v>4</v>
      </c>
      <c r="U2797">
        <v>6137</v>
      </c>
      <c r="V2797">
        <v>3</v>
      </c>
    </row>
    <row r="2798" spans="1:22" x14ac:dyDescent="0.35">
      <c r="A2798">
        <v>2797</v>
      </c>
      <c r="B2798" t="s">
        <v>36</v>
      </c>
      <c r="C2798" t="s">
        <v>324</v>
      </c>
      <c r="D2798">
        <v>2025</v>
      </c>
      <c r="E2798" t="s">
        <v>90</v>
      </c>
      <c r="F2798">
        <v>81.8</v>
      </c>
      <c r="G2798" t="s">
        <v>350</v>
      </c>
      <c r="H2798">
        <f>electric_vehicles_dataset[[#This Row],[Battery_Capacity_kWh]]/electric_vehicles_dataset[[#This Row],[Range_km]]</f>
        <v>0.41105527638190953</v>
      </c>
      <c r="I2798">
        <v>199</v>
      </c>
      <c r="J2798" t="s">
        <v>364</v>
      </c>
      <c r="K2798">
        <v>1</v>
      </c>
      <c r="L2798" s="1">
        <v>135812.56</v>
      </c>
      <c r="M2798" s="1" t="str" cm="1">
        <f t="array" ref="M279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798" t="s">
        <v>177</v>
      </c>
      <c r="O2798" t="s">
        <v>161</v>
      </c>
      <c r="P2798" s="2" t="s">
        <v>389</v>
      </c>
      <c r="Q2798">
        <v>1</v>
      </c>
      <c r="R2798" t="s">
        <v>391</v>
      </c>
      <c r="S2798" s="1">
        <f>electric_vehicles_dataset[[#This Row],[Units_Sold_2024]]*electric_vehicles_dataset[[#This Row],[Price_USD]]</f>
        <v>116934614.16</v>
      </c>
      <c r="T2798">
        <v>5</v>
      </c>
      <c r="U2798">
        <v>861</v>
      </c>
      <c r="V2798">
        <v>4</v>
      </c>
    </row>
    <row r="2799" spans="1:22" x14ac:dyDescent="0.35">
      <c r="A2799">
        <v>2798</v>
      </c>
      <c r="B2799" t="s">
        <v>56</v>
      </c>
      <c r="C2799" t="s">
        <v>57</v>
      </c>
      <c r="D2799">
        <v>2024</v>
      </c>
      <c r="E2799" t="s">
        <v>31</v>
      </c>
      <c r="F2799">
        <v>115.3</v>
      </c>
      <c r="G2799" t="s">
        <v>361</v>
      </c>
      <c r="H2799">
        <f>electric_vehicles_dataset[[#This Row],[Battery_Capacity_kWh]]/electric_vehicles_dataset[[#This Row],[Range_km]]</f>
        <v>0.44689922480620153</v>
      </c>
      <c r="I2799">
        <v>258</v>
      </c>
      <c r="J2799" t="s">
        <v>54</v>
      </c>
      <c r="K2799">
        <v>3</v>
      </c>
      <c r="L2799" s="1">
        <v>103044.9</v>
      </c>
      <c r="M2799" s="1" t="str" cm="1">
        <f t="array" ref="M279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799" t="s">
        <v>271</v>
      </c>
      <c r="O2799" t="s">
        <v>147</v>
      </c>
      <c r="P2799" s="2" t="s">
        <v>396</v>
      </c>
      <c r="Q2799">
        <v>4</v>
      </c>
      <c r="R2799" t="s">
        <v>392</v>
      </c>
      <c r="S2799" s="1">
        <f>electric_vehicles_dataset[[#This Row],[Units_Sold_2024]]*electric_vehicles_dataset[[#This Row],[Price_USD]]</f>
        <v>1940438511.8999999</v>
      </c>
      <c r="T2799">
        <v>5</v>
      </c>
      <c r="U2799">
        <v>18831</v>
      </c>
      <c r="V2799">
        <v>5</v>
      </c>
    </row>
    <row r="2800" spans="1:22" x14ac:dyDescent="0.35">
      <c r="A2800">
        <v>2799</v>
      </c>
      <c r="B2800" t="s">
        <v>24</v>
      </c>
      <c r="C2800" t="s">
        <v>328</v>
      </c>
      <c r="D2800">
        <v>2025</v>
      </c>
      <c r="E2800" t="s">
        <v>133</v>
      </c>
      <c r="F2800">
        <v>107</v>
      </c>
      <c r="G2800" t="s">
        <v>361</v>
      </c>
      <c r="H2800">
        <f>electric_vehicles_dataset[[#This Row],[Battery_Capacity_kWh]]/electric_vehicles_dataset[[#This Row],[Range_km]]</f>
        <v>0.27937336814621411</v>
      </c>
      <c r="I2800">
        <v>383</v>
      </c>
      <c r="J2800" t="s">
        <v>105</v>
      </c>
      <c r="K2800">
        <v>1</v>
      </c>
      <c r="L2800" s="1">
        <v>98963.93</v>
      </c>
      <c r="M2800" s="1" t="str" cm="1">
        <f t="array" ref="M280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00" t="s">
        <v>66</v>
      </c>
      <c r="O2800" t="s">
        <v>44</v>
      </c>
      <c r="P2800" s="2" t="s">
        <v>389</v>
      </c>
      <c r="Q2800">
        <v>3</v>
      </c>
      <c r="R2800" t="s">
        <v>397</v>
      </c>
      <c r="S2800" s="1">
        <f>electric_vehicles_dataset[[#This Row],[Units_Sold_2024]]*electric_vehicles_dataset[[#This Row],[Price_USD]]</f>
        <v>1150356722.3199999</v>
      </c>
      <c r="T2800">
        <v>4</v>
      </c>
      <c r="U2800">
        <v>11624</v>
      </c>
      <c r="V2800">
        <v>4</v>
      </c>
    </row>
    <row r="2801" spans="1:22" x14ac:dyDescent="0.35">
      <c r="A2801">
        <v>2800</v>
      </c>
      <c r="B2801" t="s">
        <v>128</v>
      </c>
      <c r="C2801" t="s">
        <v>332</v>
      </c>
      <c r="D2801">
        <v>2023</v>
      </c>
      <c r="E2801" t="s">
        <v>104</v>
      </c>
      <c r="F2801">
        <v>20.7</v>
      </c>
      <c r="G2801" t="s">
        <v>357</v>
      </c>
      <c r="H2801">
        <f>electric_vehicles_dataset[[#This Row],[Battery_Capacity_kWh]]/electric_vehicles_dataset[[#This Row],[Range_km]]</f>
        <v>6.3302752293577985E-2</v>
      </c>
      <c r="I2801">
        <v>327</v>
      </c>
      <c r="J2801" t="s">
        <v>27</v>
      </c>
      <c r="K2801">
        <v>4</v>
      </c>
      <c r="L2801" s="1">
        <v>43176.97</v>
      </c>
      <c r="M2801" s="1" t="str" cm="1">
        <f t="array" ref="M280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01" t="s">
        <v>19</v>
      </c>
      <c r="O2801" t="s">
        <v>44</v>
      </c>
      <c r="P2801" s="2" t="s">
        <v>389</v>
      </c>
      <c r="Q2801">
        <v>5</v>
      </c>
      <c r="R2801" t="s">
        <v>392</v>
      </c>
      <c r="S2801" s="1">
        <f>electric_vehicles_dataset[[#This Row],[Units_Sold_2024]]*electric_vehicles_dataset[[#This Row],[Price_USD]]</f>
        <v>126810760.89</v>
      </c>
      <c r="T2801">
        <v>3</v>
      </c>
      <c r="U2801">
        <v>2937</v>
      </c>
      <c r="V2801">
        <v>5</v>
      </c>
    </row>
    <row r="2802" spans="1:22" x14ac:dyDescent="0.35">
      <c r="A2802">
        <v>2801</v>
      </c>
      <c r="B2802" t="s">
        <v>82</v>
      </c>
      <c r="C2802" t="s">
        <v>281</v>
      </c>
      <c r="D2802">
        <v>2022</v>
      </c>
      <c r="E2802" t="s">
        <v>101</v>
      </c>
      <c r="F2802">
        <v>149.6</v>
      </c>
      <c r="G2802" t="s">
        <v>386</v>
      </c>
      <c r="H2802">
        <f>electric_vehicles_dataset[[#This Row],[Battery_Capacity_kWh]]/electric_vehicles_dataset[[#This Row],[Range_km]]</f>
        <v>0.43488372093023253</v>
      </c>
      <c r="I2802">
        <v>344</v>
      </c>
      <c r="J2802" t="s">
        <v>149</v>
      </c>
      <c r="K2802">
        <v>7</v>
      </c>
      <c r="L2802" s="1">
        <v>62866.65</v>
      </c>
      <c r="M2802" s="1" t="str" cm="1">
        <f t="array" ref="M280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02" t="s">
        <v>142</v>
      </c>
      <c r="O2802" t="s">
        <v>33</v>
      </c>
      <c r="P2802" s="2" t="s">
        <v>393</v>
      </c>
      <c r="Q2802">
        <v>0</v>
      </c>
      <c r="R2802" t="s">
        <v>390</v>
      </c>
      <c r="S2802" s="1">
        <f>electric_vehicles_dataset[[#This Row],[Units_Sold_2024]]*electric_vehicles_dataset[[#This Row],[Price_USD]]</f>
        <v>945765882.60000002</v>
      </c>
      <c r="T2802">
        <v>5</v>
      </c>
      <c r="U2802">
        <v>15044</v>
      </c>
      <c r="V2802">
        <v>5</v>
      </c>
    </row>
    <row r="2803" spans="1:22" x14ac:dyDescent="0.35">
      <c r="A2803">
        <v>2802</v>
      </c>
      <c r="B2803" t="s">
        <v>24</v>
      </c>
      <c r="C2803" t="s">
        <v>264</v>
      </c>
      <c r="D2803">
        <v>2016</v>
      </c>
      <c r="E2803" t="s">
        <v>17</v>
      </c>
      <c r="F2803">
        <v>63.3</v>
      </c>
      <c r="G2803" t="s">
        <v>351</v>
      </c>
      <c r="H2803">
        <f>electric_vehicles_dataset[[#This Row],[Battery_Capacity_kWh]]/electric_vehicles_dataset[[#This Row],[Range_km]]</f>
        <v>0.13583690987124464</v>
      </c>
      <c r="I2803">
        <v>466</v>
      </c>
      <c r="J2803" t="s">
        <v>105</v>
      </c>
      <c r="K2803">
        <v>3</v>
      </c>
      <c r="L2803" s="1">
        <v>149376.71</v>
      </c>
      <c r="M2803" s="1" t="str" cm="1">
        <f t="array" ref="M280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03" t="s">
        <v>168</v>
      </c>
      <c r="O2803" t="s">
        <v>20</v>
      </c>
      <c r="P2803" s="2" t="s">
        <v>389</v>
      </c>
      <c r="Q2803">
        <v>0</v>
      </c>
      <c r="R2803" t="s">
        <v>390</v>
      </c>
      <c r="S2803" s="1">
        <f>electric_vehicles_dataset[[#This Row],[Units_Sold_2024]]*electric_vehicles_dataset[[#This Row],[Price_USD]]</f>
        <v>2220186040.73</v>
      </c>
      <c r="T2803">
        <v>4</v>
      </c>
      <c r="U2803">
        <v>14863</v>
      </c>
      <c r="V2803">
        <v>4</v>
      </c>
    </row>
    <row r="2804" spans="1:22" x14ac:dyDescent="0.35">
      <c r="A2804">
        <v>2803</v>
      </c>
      <c r="B2804" t="s">
        <v>136</v>
      </c>
      <c r="C2804" t="s">
        <v>137</v>
      </c>
      <c r="D2804">
        <v>2022</v>
      </c>
      <c r="E2804" t="s">
        <v>104</v>
      </c>
      <c r="F2804">
        <v>74.5</v>
      </c>
      <c r="G2804" t="s">
        <v>351</v>
      </c>
      <c r="H2804">
        <f>electric_vehicles_dataset[[#This Row],[Battery_Capacity_kWh]]/electric_vehicles_dataset[[#This Row],[Range_km]]</f>
        <v>0.17406542056074767</v>
      </c>
      <c r="I2804">
        <v>428</v>
      </c>
      <c r="J2804" t="s">
        <v>34</v>
      </c>
      <c r="K2804">
        <v>5</v>
      </c>
      <c r="L2804" s="1">
        <v>84957.78</v>
      </c>
      <c r="M2804" s="1" t="str" cm="1">
        <f t="array" ref="M280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04" t="s">
        <v>55</v>
      </c>
      <c r="O2804" t="s">
        <v>150</v>
      </c>
      <c r="P2804" s="2" t="s">
        <v>389</v>
      </c>
      <c r="Q2804">
        <v>3</v>
      </c>
      <c r="R2804" t="s">
        <v>397</v>
      </c>
      <c r="S2804" s="1">
        <f>electric_vehicles_dataset[[#This Row],[Units_Sold_2024]]*electric_vehicles_dataset[[#This Row],[Price_USD]]</f>
        <v>939718004.58000004</v>
      </c>
      <c r="T2804">
        <v>3</v>
      </c>
      <c r="U2804">
        <v>11061</v>
      </c>
      <c r="V2804">
        <v>3</v>
      </c>
    </row>
    <row r="2805" spans="1:22" x14ac:dyDescent="0.35">
      <c r="A2805">
        <v>2804</v>
      </c>
      <c r="B2805" t="s">
        <v>222</v>
      </c>
      <c r="C2805" t="s">
        <v>232</v>
      </c>
      <c r="D2805">
        <v>2024</v>
      </c>
      <c r="E2805" t="s">
        <v>84</v>
      </c>
      <c r="F2805">
        <v>123</v>
      </c>
      <c r="G2805" t="s">
        <v>352</v>
      </c>
      <c r="H2805">
        <f>electric_vehicles_dataset[[#This Row],[Battery_Capacity_kWh]]/electric_vehicles_dataset[[#This Row],[Range_km]]</f>
        <v>0.2411764705882353</v>
      </c>
      <c r="I2805">
        <v>510</v>
      </c>
      <c r="J2805" t="s">
        <v>18</v>
      </c>
      <c r="K2805">
        <v>3</v>
      </c>
      <c r="L2805" s="1">
        <v>36541.85</v>
      </c>
      <c r="M2805" s="1" t="str" cm="1">
        <f t="array" ref="M280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05" t="s">
        <v>81</v>
      </c>
      <c r="O2805" t="s">
        <v>111</v>
      </c>
      <c r="P2805" s="2" t="s">
        <v>389</v>
      </c>
      <c r="Q2805">
        <v>3</v>
      </c>
      <c r="R2805" t="s">
        <v>397</v>
      </c>
      <c r="S2805" s="1">
        <f>electric_vehicles_dataset[[#This Row],[Units_Sold_2024]]*electric_vehicles_dataset[[#This Row],[Price_USD]]</f>
        <v>581015415</v>
      </c>
      <c r="T2805">
        <v>4</v>
      </c>
      <c r="U2805">
        <v>15900</v>
      </c>
      <c r="V2805">
        <v>5</v>
      </c>
    </row>
    <row r="2806" spans="1:22" x14ac:dyDescent="0.35">
      <c r="A2806">
        <v>2805</v>
      </c>
      <c r="B2806" t="s">
        <v>144</v>
      </c>
      <c r="C2806" t="s">
        <v>145</v>
      </c>
      <c r="D2806">
        <v>2016</v>
      </c>
      <c r="E2806" t="s">
        <v>26</v>
      </c>
      <c r="F2806">
        <v>68.8</v>
      </c>
      <c r="G2806" t="s">
        <v>351</v>
      </c>
      <c r="H2806">
        <f>electric_vehicles_dataset[[#This Row],[Battery_Capacity_kWh]]/electric_vehicles_dataset[[#This Row],[Range_km]]</f>
        <v>0.13079847908745246</v>
      </c>
      <c r="I2806">
        <v>526</v>
      </c>
      <c r="J2806" t="s">
        <v>38</v>
      </c>
      <c r="K2806">
        <v>3</v>
      </c>
      <c r="L2806" s="1">
        <v>130494.3</v>
      </c>
      <c r="M2806" s="1" t="str" cm="1">
        <f t="array" ref="M280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06" t="s">
        <v>32</v>
      </c>
      <c r="O2806" t="s">
        <v>159</v>
      </c>
      <c r="P2806" s="2" t="s">
        <v>389</v>
      </c>
      <c r="Q2806">
        <v>0</v>
      </c>
      <c r="R2806" t="s">
        <v>390</v>
      </c>
      <c r="S2806" s="1">
        <f>electric_vehicles_dataset[[#This Row],[Units_Sold_2024]]*electric_vehicles_dataset[[#This Row],[Price_USD]]</f>
        <v>705060702.89999998</v>
      </c>
      <c r="T2806">
        <v>4</v>
      </c>
      <c r="U2806">
        <v>5403</v>
      </c>
      <c r="V2806">
        <v>5</v>
      </c>
    </row>
    <row r="2807" spans="1:22" x14ac:dyDescent="0.35">
      <c r="A2807">
        <v>2806</v>
      </c>
      <c r="B2807" t="s">
        <v>157</v>
      </c>
      <c r="C2807" t="s">
        <v>296</v>
      </c>
      <c r="D2807">
        <v>2022</v>
      </c>
      <c r="E2807" t="s">
        <v>17</v>
      </c>
      <c r="F2807">
        <v>88.7</v>
      </c>
      <c r="G2807" t="s">
        <v>350</v>
      </c>
      <c r="H2807">
        <f>electric_vehicles_dataset[[#This Row],[Battery_Capacity_kWh]]/electric_vehicles_dataset[[#This Row],[Range_km]]</f>
        <v>0.20870588235294119</v>
      </c>
      <c r="I2807">
        <v>425</v>
      </c>
      <c r="J2807" t="s">
        <v>358</v>
      </c>
      <c r="K2807">
        <v>2</v>
      </c>
      <c r="L2807" s="1">
        <v>54287.14</v>
      </c>
      <c r="M2807" s="1" t="str" cm="1">
        <f t="array" ref="M280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07" t="s">
        <v>59</v>
      </c>
      <c r="O2807" t="s">
        <v>110</v>
      </c>
      <c r="P2807" s="2" t="s">
        <v>394</v>
      </c>
      <c r="Q2807">
        <v>0</v>
      </c>
      <c r="R2807" t="s">
        <v>390</v>
      </c>
      <c r="S2807" s="1">
        <f>electric_vehicles_dataset[[#This Row],[Units_Sold_2024]]*electric_vehicles_dataset[[#This Row],[Price_USD]]</f>
        <v>768163031</v>
      </c>
      <c r="T2807">
        <v>3</v>
      </c>
      <c r="U2807">
        <v>14150</v>
      </c>
      <c r="V2807">
        <v>4</v>
      </c>
    </row>
    <row r="2808" spans="1:22" x14ac:dyDescent="0.35">
      <c r="A2808">
        <v>2807</v>
      </c>
      <c r="B2808" t="s">
        <v>64</v>
      </c>
      <c r="C2808" t="s">
        <v>65</v>
      </c>
      <c r="D2808">
        <v>2024</v>
      </c>
      <c r="E2808" t="s">
        <v>84</v>
      </c>
      <c r="F2808">
        <v>48.6</v>
      </c>
      <c r="G2808" t="s">
        <v>348</v>
      </c>
      <c r="H2808">
        <f>electric_vehicles_dataset[[#This Row],[Battery_Capacity_kWh]]/electric_vehicles_dataset[[#This Row],[Range_km]]</f>
        <v>9.1181988742964362E-2</v>
      </c>
      <c r="I2808">
        <v>533</v>
      </c>
      <c r="J2808" t="s">
        <v>345</v>
      </c>
      <c r="K2808">
        <v>1</v>
      </c>
      <c r="L2808" s="1">
        <v>99141.6</v>
      </c>
      <c r="M2808" s="1" t="str" cm="1">
        <f t="array" ref="M280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08" t="s">
        <v>49</v>
      </c>
      <c r="O2808" t="s">
        <v>147</v>
      </c>
      <c r="P2808" s="2" t="s">
        <v>396</v>
      </c>
      <c r="Q2808">
        <v>0</v>
      </c>
      <c r="R2808" t="s">
        <v>390</v>
      </c>
      <c r="S2808" s="1">
        <f>electric_vehicles_dataset[[#This Row],[Units_Sold_2024]]*electric_vehicles_dataset[[#This Row],[Price_USD]]</f>
        <v>1524500383.2</v>
      </c>
      <c r="T2808">
        <v>5</v>
      </c>
      <c r="U2808">
        <v>15377</v>
      </c>
      <c r="V2808">
        <v>4</v>
      </c>
    </row>
    <row r="2809" spans="1:22" x14ac:dyDescent="0.35">
      <c r="A2809">
        <v>2808</v>
      </c>
      <c r="B2809" t="s">
        <v>157</v>
      </c>
      <c r="C2809" t="s">
        <v>158</v>
      </c>
      <c r="D2809">
        <v>2025</v>
      </c>
      <c r="E2809" t="s">
        <v>31</v>
      </c>
      <c r="F2809">
        <v>33.5</v>
      </c>
      <c r="G2809" t="s">
        <v>357</v>
      </c>
      <c r="H2809">
        <f>electric_vehicles_dataset[[#This Row],[Battery_Capacity_kWh]]/electric_vehicles_dataset[[#This Row],[Range_km]]</f>
        <v>8.5025380710659904E-2</v>
      </c>
      <c r="I2809">
        <v>394</v>
      </c>
      <c r="J2809" t="s">
        <v>54</v>
      </c>
      <c r="K2809">
        <v>5</v>
      </c>
      <c r="L2809" s="1">
        <v>33873.54</v>
      </c>
      <c r="M2809" s="1" t="str" cm="1">
        <f t="array" ref="M280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09" t="s">
        <v>217</v>
      </c>
      <c r="O2809" t="s">
        <v>110</v>
      </c>
      <c r="P2809" s="2" t="s">
        <v>394</v>
      </c>
      <c r="Q2809">
        <v>4</v>
      </c>
      <c r="R2809" t="s">
        <v>392</v>
      </c>
      <c r="S2809" s="1">
        <f>electric_vehicles_dataset[[#This Row],[Units_Sold_2024]]*electric_vehicles_dataset[[#This Row],[Price_USD]]</f>
        <v>165065760.42000002</v>
      </c>
      <c r="T2809">
        <v>3</v>
      </c>
      <c r="U2809">
        <v>4873</v>
      </c>
      <c r="V2809">
        <v>3</v>
      </c>
    </row>
    <row r="2810" spans="1:22" x14ac:dyDescent="0.35">
      <c r="A2810">
        <v>2809</v>
      </c>
      <c r="B2810" t="s">
        <v>157</v>
      </c>
      <c r="C2810" t="s">
        <v>375</v>
      </c>
      <c r="D2810">
        <v>2018</v>
      </c>
      <c r="E2810" t="s">
        <v>84</v>
      </c>
      <c r="F2810">
        <v>86.7</v>
      </c>
      <c r="G2810" t="s">
        <v>350</v>
      </c>
      <c r="H2810">
        <f>electric_vehicles_dataset[[#This Row],[Battery_Capacity_kWh]]/electric_vehicles_dataset[[#This Row],[Range_km]]</f>
        <v>0.17913223140495868</v>
      </c>
      <c r="I2810">
        <v>484</v>
      </c>
      <c r="J2810" t="s">
        <v>356</v>
      </c>
      <c r="K2810">
        <v>7</v>
      </c>
      <c r="L2810" s="1">
        <v>67316.45</v>
      </c>
      <c r="M2810" s="1" t="str" cm="1">
        <f t="array" ref="M281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10" t="s">
        <v>152</v>
      </c>
      <c r="O2810" t="s">
        <v>236</v>
      </c>
      <c r="P2810" s="2" t="s">
        <v>394</v>
      </c>
      <c r="Q2810">
        <v>4</v>
      </c>
      <c r="R2810" t="s">
        <v>392</v>
      </c>
      <c r="S2810" s="1">
        <f>electric_vehicles_dataset[[#This Row],[Units_Sold_2024]]*electric_vehicles_dataset[[#This Row],[Price_USD]]</f>
        <v>478148744.34999996</v>
      </c>
      <c r="T2810">
        <v>4</v>
      </c>
      <c r="U2810">
        <v>7103</v>
      </c>
      <c r="V2810">
        <v>4</v>
      </c>
    </row>
    <row r="2811" spans="1:22" x14ac:dyDescent="0.35">
      <c r="A2811">
        <v>2810</v>
      </c>
      <c r="B2811" t="s">
        <v>243</v>
      </c>
      <c r="C2811" t="s">
        <v>371</v>
      </c>
      <c r="D2811">
        <v>2023</v>
      </c>
      <c r="E2811" t="s">
        <v>17</v>
      </c>
      <c r="F2811">
        <v>70.900000000000006</v>
      </c>
      <c r="G2811" t="s">
        <v>351</v>
      </c>
      <c r="H2811">
        <f>electric_vehicles_dataset[[#This Row],[Battery_Capacity_kWh]]/electric_vehicles_dataset[[#This Row],[Range_km]]</f>
        <v>0.15720620842572064</v>
      </c>
      <c r="I2811">
        <v>451</v>
      </c>
      <c r="J2811" t="s">
        <v>358</v>
      </c>
      <c r="K2811">
        <v>12</v>
      </c>
      <c r="L2811" s="1">
        <v>83638.990000000005</v>
      </c>
      <c r="M2811" s="1" t="str" cm="1">
        <f t="array" ref="M28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11" t="s">
        <v>189</v>
      </c>
      <c r="O2811" t="s">
        <v>206</v>
      </c>
      <c r="P2811" s="2" t="s">
        <v>394</v>
      </c>
      <c r="Q2811">
        <v>5</v>
      </c>
      <c r="R2811" t="s">
        <v>392</v>
      </c>
      <c r="S2811" s="1">
        <f>electric_vehicles_dataset[[#This Row],[Units_Sold_2024]]*electric_vehicles_dataset[[#This Row],[Price_USD]]</f>
        <v>1561790860.27</v>
      </c>
      <c r="T2811">
        <v>3</v>
      </c>
      <c r="U2811">
        <v>18673</v>
      </c>
      <c r="V2811">
        <v>5</v>
      </c>
    </row>
    <row r="2812" spans="1:22" x14ac:dyDescent="0.35">
      <c r="A2812">
        <v>2811</v>
      </c>
      <c r="B2812" t="s">
        <v>96</v>
      </c>
      <c r="C2812" t="s">
        <v>292</v>
      </c>
      <c r="D2812">
        <v>2020</v>
      </c>
      <c r="E2812" t="s">
        <v>133</v>
      </c>
      <c r="F2812">
        <v>83.5</v>
      </c>
      <c r="G2812" t="s">
        <v>350</v>
      </c>
      <c r="H2812">
        <f>electric_vehicles_dataset[[#This Row],[Battery_Capacity_kWh]]/electric_vehicles_dataset[[#This Row],[Range_km]]</f>
        <v>0.30925925925925923</v>
      </c>
      <c r="I2812">
        <v>270</v>
      </c>
      <c r="J2812" t="s">
        <v>149</v>
      </c>
      <c r="K2812">
        <v>1</v>
      </c>
      <c r="L2812" s="1">
        <v>127489.51</v>
      </c>
      <c r="M2812" s="1" t="str" cm="1">
        <f t="array" ref="M281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12" t="s">
        <v>55</v>
      </c>
      <c r="O2812" t="s">
        <v>124</v>
      </c>
      <c r="P2812" s="2" t="s">
        <v>389</v>
      </c>
      <c r="Q2812">
        <v>1</v>
      </c>
      <c r="R2812" t="s">
        <v>391</v>
      </c>
      <c r="S2812" s="1">
        <f>electric_vehicles_dataset[[#This Row],[Units_Sold_2024]]*electric_vehicles_dataset[[#This Row],[Price_USD]]</f>
        <v>1368217421.3199999</v>
      </c>
      <c r="T2812">
        <v>4</v>
      </c>
      <c r="U2812">
        <v>10732</v>
      </c>
      <c r="V2812">
        <v>4</v>
      </c>
    </row>
    <row r="2813" spans="1:22" x14ac:dyDescent="0.35">
      <c r="A2813">
        <v>2812</v>
      </c>
      <c r="B2813" t="s">
        <v>96</v>
      </c>
      <c r="C2813" t="s">
        <v>97</v>
      </c>
      <c r="D2813">
        <v>2023</v>
      </c>
      <c r="E2813" t="s">
        <v>58</v>
      </c>
      <c r="F2813">
        <v>56</v>
      </c>
      <c r="G2813" t="s">
        <v>348</v>
      </c>
      <c r="H2813">
        <f>electric_vehicles_dataset[[#This Row],[Battery_Capacity_kWh]]/electric_vehicles_dataset[[#This Row],[Range_km]]</f>
        <v>0.1497326203208556</v>
      </c>
      <c r="I2813">
        <v>374</v>
      </c>
      <c r="J2813" t="s">
        <v>85</v>
      </c>
      <c r="K2813">
        <v>11</v>
      </c>
      <c r="L2813" s="1">
        <v>51901.3</v>
      </c>
      <c r="M2813" s="1" t="str" cm="1">
        <f t="array" ref="M28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13" t="s">
        <v>179</v>
      </c>
      <c r="O2813" t="s">
        <v>164</v>
      </c>
      <c r="P2813" s="2" t="s">
        <v>394</v>
      </c>
      <c r="Q2813">
        <v>4</v>
      </c>
      <c r="R2813" t="s">
        <v>392</v>
      </c>
      <c r="S2813" s="1">
        <f>electric_vehicles_dataset[[#This Row],[Units_Sold_2024]]*electric_vehicles_dataset[[#This Row],[Price_USD]]</f>
        <v>408099921.90000004</v>
      </c>
      <c r="T2813">
        <v>3</v>
      </c>
      <c r="U2813">
        <v>7863</v>
      </c>
      <c r="V2813">
        <v>4</v>
      </c>
    </row>
    <row r="2814" spans="1:22" x14ac:dyDescent="0.35">
      <c r="A2814">
        <v>2813</v>
      </c>
      <c r="B2814" t="s">
        <v>200</v>
      </c>
      <c r="C2814" t="s">
        <v>368</v>
      </c>
      <c r="D2814">
        <v>2020</v>
      </c>
      <c r="E2814" t="s">
        <v>84</v>
      </c>
      <c r="F2814">
        <v>93.8</v>
      </c>
      <c r="G2814" t="s">
        <v>350</v>
      </c>
      <c r="H2814">
        <f>electric_vehicles_dataset[[#This Row],[Battery_Capacity_kWh]]/electric_vehicles_dataset[[#This Row],[Range_km]]</f>
        <v>0.21173814898419863</v>
      </c>
      <c r="I2814">
        <v>443</v>
      </c>
      <c r="J2814" t="s">
        <v>85</v>
      </c>
      <c r="K2814">
        <v>8</v>
      </c>
      <c r="L2814" s="1">
        <v>123914.34</v>
      </c>
      <c r="M2814" s="1" t="str" cm="1">
        <f t="array" ref="M281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14" t="s">
        <v>117</v>
      </c>
      <c r="O2814" t="s">
        <v>93</v>
      </c>
      <c r="P2814" s="2" t="s">
        <v>389</v>
      </c>
      <c r="Q2814">
        <v>4</v>
      </c>
      <c r="R2814" t="s">
        <v>392</v>
      </c>
      <c r="S2814" s="1">
        <f>electric_vehicles_dataset[[#This Row],[Units_Sold_2024]]*electric_vehicles_dataset[[#This Row],[Price_USD]]</f>
        <v>348323209.74000001</v>
      </c>
      <c r="T2814">
        <v>5</v>
      </c>
      <c r="U2814">
        <v>2811</v>
      </c>
      <c r="V2814">
        <v>3</v>
      </c>
    </row>
    <row r="2815" spans="1:22" x14ac:dyDescent="0.35">
      <c r="A2815">
        <v>2814</v>
      </c>
      <c r="B2815" t="s">
        <v>64</v>
      </c>
      <c r="C2815" t="s">
        <v>65</v>
      </c>
      <c r="D2815">
        <v>2020</v>
      </c>
      <c r="E2815" t="s">
        <v>58</v>
      </c>
      <c r="F2815">
        <v>86.6</v>
      </c>
      <c r="G2815" t="s">
        <v>350</v>
      </c>
      <c r="H2815">
        <f>electric_vehicles_dataset[[#This Row],[Battery_Capacity_kWh]]/electric_vehicles_dataset[[#This Row],[Range_km]]</f>
        <v>0.62753623188405794</v>
      </c>
      <c r="I2815">
        <v>138</v>
      </c>
      <c r="J2815" t="s">
        <v>353</v>
      </c>
      <c r="K2815">
        <v>5</v>
      </c>
      <c r="L2815" s="1">
        <v>99625.77</v>
      </c>
      <c r="M2815" s="1" t="str" cm="1">
        <f t="array" ref="M281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15" t="s">
        <v>301</v>
      </c>
      <c r="O2815" t="s">
        <v>135</v>
      </c>
      <c r="P2815" s="2" t="s">
        <v>389</v>
      </c>
      <c r="Q2815">
        <v>3</v>
      </c>
      <c r="R2815" t="s">
        <v>397</v>
      </c>
      <c r="S2815" s="1">
        <f>electric_vehicles_dataset[[#This Row],[Units_Sold_2024]]*electric_vehicles_dataset[[#This Row],[Price_USD]]</f>
        <v>996556577.31000006</v>
      </c>
      <c r="T2815">
        <v>5</v>
      </c>
      <c r="U2815">
        <v>10003</v>
      </c>
      <c r="V2815">
        <v>4</v>
      </c>
    </row>
    <row r="2816" spans="1:22" x14ac:dyDescent="0.35">
      <c r="A2816">
        <v>2815</v>
      </c>
      <c r="B2816" t="s">
        <v>157</v>
      </c>
      <c r="C2816" t="s">
        <v>158</v>
      </c>
      <c r="D2816">
        <v>2015</v>
      </c>
      <c r="E2816" t="s">
        <v>183</v>
      </c>
      <c r="F2816">
        <v>65.099999999999994</v>
      </c>
      <c r="G2816" t="s">
        <v>351</v>
      </c>
      <c r="H2816">
        <f>electric_vehicles_dataset[[#This Row],[Battery_Capacity_kWh]]/electric_vehicles_dataset[[#This Row],[Range_km]]</f>
        <v>0.12714843749999999</v>
      </c>
      <c r="I2816">
        <v>512</v>
      </c>
      <c r="J2816" t="s">
        <v>364</v>
      </c>
      <c r="K2816">
        <v>4</v>
      </c>
      <c r="L2816" s="1">
        <v>102581.77</v>
      </c>
      <c r="M2816" s="1" t="str" cm="1">
        <f t="array" ref="M281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16" t="s">
        <v>102</v>
      </c>
      <c r="O2816" t="s">
        <v>118</v>
      </c>
      <c r="P2816" s="2" t="s">
        <v>389</v>
      </c>
      <c r="Q2816">
        <v>1</v>
      </c>
      <c r="R2816" t="s">
        <v>391</v>
      </c>
      <c r="S2816" s="1">
        <f>electric_vehicles_dataset[[#This Row],[Units_Sold_2024]]*electric_vehicles_dataset[[#This Row],[Price_USD]]</f>
        <v>244144612.60000002</v>
      </c>
      <c r="T2816">
        <v>3</v>
      </c>
      <c r="U2816">
        <v>2380</v>
      </c>
      <c r="V2816">
        <v>5</v>
      </c>
    </row>
    <row r="2817" spans="1:22" x14ac:dyDescent="0.35">
      <c r="A2817">
        <v>2816</v>
      </c>
      <c r="B2817" t="s">
        <v>94</v>
      </c>
      <c r="C2817" t="s">
        <v>99</v>
      </c>
      <c r="D2817">
        <v>2021</v>
      </c>
      <c r="E2817" t="s">
        <v>183</v>
      </c>
      <c r="F2817">
        <v>129.4</v>
      </c>
      <c r="G2817" t="s">
        <v>352</v>
      </c>
      <c r="H2817">
        <f>electric_vehicles_dataset[[#This Row],[Battery_Capacity_kWh]]/electric_vehicles_dataset[[#This Row],[Range_km]]</f>
        <v>0.31950617283950616</v>
      </c>
      <c r="I2817">
        <v>405</v>
      </c>
      <c r="J2817" t="s">
        <v>27</v>
      </c>
      <c r="K2817">
        <v>1</v>
      </c>
      <c r="L2817" s="1">
        <v>90063.94</v>
      </c>
      <c r="M2817" s="1" t="str" cm="1">
        <f t="array" ref="M28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17" t="s">
        <v>196</v>
      </c>
      <c r="O2817" t="s">
        <v>67</v>
      </c>
      <c r="P2817" s="2" t="s">
        <v>394</v>
      </c>
      <c r="Q2817">
        <v>4</v>
      </c>
      <c r="R2817" t="s">
        <v>392</v>
      </c>
      <c r="S2817" s="1">
        <f>electric_vehicles_dataset[[#This Row],[Units_Sold_2024]]*electric_vehicles_dataset[[#This Row],[Price_USD]]</f>
        <v>909825921.88</v>
      </c>
      <c r="T2817">
        <v>4</v>
      </c>
      <c r="U2817">
        <v>10102</v>
      </c>
      <c r="V2817">
        <v>3</v>
      </c>
    </row>
    <row r="2818" spans="1:22" x14ac:dyDescent="0.35">
      <c r="A2818">
        <v>2817</v>
      </c>
      <c r="B2818" t="s">
        <v>222</v>
      </c>
      <c r="C2818" t="s">
        <v>295</v>
      </c>
      <c r="D2818">
        <v>2021</v>
      </c>
      <c r="E2818" t="s">
        <v>58</v>
      </c>
      <c r="F2818">
        <v>33.4</v>
      </c>
      <c r="G2818" t="s">
        <v>357</v>
      </c>
      <c r="H2818">
        <f>electric_vehicles_dataset[[#This Row],[Battery_Capacity_kWh]]/electric_vehicles_dataset[[#This Row],[Range_km]]</f>
        <v>6.8442622950819668E-2</v>
      </c>
      <c r="I2818">
        <v>488</v>
      </c>
      <c r="J2818" t="s">
        <v>345</v>
      </c>
      <c r="K2818">
        <v>8</v>
      </c>
      <c r="L2818" s="1">
        <v>130231.16</v>
      </c>
      <c r="M2818" s="1" t="str" cm="1">
        <f t="array" ref="M28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18" t="s">
        <v>49</v>
      </c>
      <c r="O2818" t="s">
        <v>23</v>
      </c>
      <c r="P2818" s="2" t="s">
        <v>389</v>
      </c>
      <c r="Q2818">
        <v>3</v>
      </c>
      <c r="R2818" t="s">
        <v>397</v>
      </c>
      <c r="S2818" s="1">
        <f>electric_vehicles_dataset[[#This Row],[Units_Sold_2024]]*electric_vehicles_dataset[[#This Row],[Price_USD]]</f>
        <v>127105612.16</v>
      </c>
      <c r="T2818">
        <v>5</v>
      </c>
      <c r="U2818">
        <v>976</v>
      </c>
      <c r="V2818">
        <v>4</v>
      </c>
    </row>
    <row r="2819" spans="1:22" x14ac:dyDescent="0.35">
      <c r="A2819">
        <v>2818</v>
      </c>
      <c r="B2819" t="s">
        <v>269</v>
      </c>
      <c r="C2819" t="s">
        <v>270</v>
      </c>
      <c r="D2819">
        <v>2023</v>
      </c>
      <c r="E2819" t="s">
        <v>101</v>
      </c>
      <c r="F2819">
        <v>56.4</v>
      </c>
      <c r="G2819" t="s">
        <v>348</v>
      </c>
      <c r="H2819">
        <f>electric_vehicles_dataset[[#This Row],[Battery_Capacity_kWh]]/electric_vehicles_dataset[[#This Row],[Range_km]]</f>
        <v>0.12617449664429531</v>
      </c>
      <c r="I2819">
        <v>447</v>
      </c>
      <c r="J2819" t="s">
        <v>76</v>
      </c>
      <c r="K2819">
        <v>3</v>
      </c>
      <c r="L2819" s="1">
        <v>107703.99</v>
      </c>
      <c r="M2819" s="1" t="str" cm="1">
        <f t="array" ref="M281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19" t="s">
        <v>214</v>
      </c>
      <c r="O2819" t="s">
        <v>167</v>
      </c>
      <c r="P2819" s="2" t="s">
        <v>394</v>
      </c>
      <c r="Q2819">
        <v>2</v>
      </c>
      <c r="R2819" t="s">
        <v>391</v>
      </c>
      <c r="S2819" s="1">
        <f>electric_vehicles_dataset[[#This Row],[Units_Sold_2024]]*electric_vehicles_dataset[[#This Row],[Price_USD]]</f>
        <v>118151277.03</v>
      </c>
      <c r="T2819">
        <v>3</v>
      </c>
      <c r="U2819">
        <v>1097</v>
      </c>
      <c r="V2819">
        <v>3</v>
      </c>
    </row>
    <row r="2820" spans="1:22" x14ac:dyDescent="0.35">
      <c r="A2820">
        <v>2819</v>
      </c>
      <c r="B2820" t="s">
        <v>71</v>
      </c>
      <c r="C2820" t="s">
        <v>315</v>
      </c>
      <c r="D2820">
        <v>2016</v>
      </c>
      <c r="E2820" t="s">
        <v>104</v>
      </c>
      <c r="F2820">
        <v>28.4</v>
      </c>
      <c r="G2820" t="s">
        <v>357</v>
      </c>
      <c r="H2820">
        <f>electric_vehicles_dataset[[#This Row],[Battery_Capacity_kWh]]/electric_vehicles_dataset[[#This Row],[Range_km]]</f>
        <v>5.6573705179282868E-2</v>
      </c>
      <c r="I2820">
        <v>502</v>
      </c>
      <c r="J2820" t="s">
        <v>358</v>
      </c>
      <c r="K2820">
        <v>2</v>
      </c>
      <c r="L2820" s="1">
        <v>71705.89</v>
      </c>
      <c r="M2820" s="1" t="str" cm="1">
        <f t="array" ref="M282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20" t="s">
        <v>114</v>
      </c>
      <c r="O2820" t="s">
        <v>139</v>
      </c>
      <c r="P2820" s="2" t="s">
        <v>389</v>
      </c>
      <c r="Q2820">
        <v>1</v>
      </c>
      <c r="R2820" t="s">
        <v>391</v>
      </c>
      <c r="S2820" s="1">
        <f>electric_vehicles_dataset[[#This Row],[Units_Sold_2024]]*electric_vehicles_dataset[[#This Row],[Price_USD]]</f>
        <v>1100183470.27</v>
      </c>
      <c r="T2820">
        <v>5</v>
      </c>
      <c r="U2820">
        <v>15343</v>
      </c>
      <c r="V2820">
        <v>4</v>
      </c>
    </row>
    <row r="2821" spans="1:22" x14ac:dyDescent="0.35">
      <c r="A2821">
        <v>2820</v>
      </c>
      <c r="B2821" t="s">
        <v>180</v>
      </c>
      <c r="C2821" t="s">
        <v>379</v>
      </c>
      <c r="D2821">
        <v>2016</v>
      </c>
      <c r="E2821" t="s">
        <v>90</v>
      </c>
      <c r="F2821">
        <v>55.2</v>
      </c>
      <c r="G2821" t="s">
        <v>348</v>
      </c>
      <c r="H2821">
        <f>electric_vehicles_dataset[[#This Row],[Battery_Capacity_kWh]]/electric_vehicles_dataset[[#This Row],[Range_km]]</f>
        <v>9.2929292929292931E-2</v>
      </c>
      <c r="I2821">
        <v>594</v>
      </c>
      <c r="J2821" t="s">
        <v>149</v>
      </c>
      <c r="K2821">
        <v>10</v>
      </c>
      <c r="L2821" s="1">
        <v>141864.44</v>
      </c>
      <c r="M2821" s="1" t="str" cm="1">
        <f t="array" ref="M282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21" t="s">
        <v>229</v>
      </c>
      <c r="O2821" t="s">
        <v>33</v>
      </c>
      <c r="P2821" s="2" t="s">
        <v>393</v>
      </c>
      <c r="Q2821">
        <v>1</v>
      </c>
      <c r="R2821" t="s">
        <v>391</v>
      </c>
      <c r="S2821" s="1">
        <f>electric_vehicles_dataset[[#This Row],[Units_Sold_2024]]*electric_vehicles_dataset[[#This Row],[Price_USD]]</f>
        <v>633424724.60000002</v>
      </c>
      <c r="T2821">
        <v>4</v>
      </c>
      <c r="U2821">
        <v>4465</v>
      </c>
      <c r="V2821">
        <v>4</v>
      </c>
    </row>
    <row r="2822" spans="1:22" x14ac:dyDescent="0.35">
      <c r="A2822">
        <v>2821</v>
      </c>
      <c r="B2822" t="s">
        <v>128</v>
      </c>
      <c r="C2822" t="s">
        <v>268</v>
      </c>
      <c r="D2822">
        <v>2019</v>
      </c>
      <c r="E2822" t="s">
        <v>53</v>
      </c>
      <c r="F2822">
        <v>101</v>
      </c>
      <c r="G2822" t="s">
        <v>361</v>
      </c>
      <c r="H2822">
        <f>electric_vehicles_dataset[[#This Row],[Battery_Capacity_kWh]]/electric_vehicles_dataset[[#This Row],[Range_km]]</f>
        <v>0.60119047619047616</v>
      </c>
      <c r="I2822">
        <v>168</v>
      </c>
      <c r="J2822" t="s">
        <v>18</v>
      </c>
      <c r="K2822">
        <v>6</v>
      </c>
      <c r="L2822" s="1">
        <v>120229.77</v>
      </c>
      <c r="M2822" s="1" t="str" cm="1">
        <f t="array" ref="M282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22" t="s">
        <v>35</v>
      </c>
      <c r="O2822" t="s">
        <v>226</v>
      </c>
      <c r="P2822" s="2" t="s">
        <v>395</v>
      </c>
      <c r="Q2822">
        <v>1</v>
      </c>
      <c r="R2822" t="s">
        <v>391</v>
      </c>
      <c r="S2822" s="1">
        <f>electric_vehicles_dataset[[#This Row],[Units_Sold_2024]]*electric_vehicles_dataset[[#This Row],[Price_USD]]</f>
        <v>651645353.39999998</v>
      </c>
      <c r="T2822">
        <v>5</v>
      </c>
      <c r="U2822">
        <v>5420</v>
      </c>
      <c r="V2822">
        <v>4</v>
      </c>
    </row>
    <row r="2823" spans="1:22" x14ac:dyDescent="0.35">
      <c r="A2823">
        <v>2822</v>
      </c>
      <c r="B2823" t="s">
        <v>140</v>
      </c>
      <c r="C2823" t="s">
        <v>227</v>
      </c>
      <c r="D2823">
        <v>2018</v>
      </c>
      <c r="E2823" t="s">
        <v>90</v>
      </c>
      <c r="F2823">
        <v>105.6</v>
      </c>
      <c r="G2823" t="s">
        <v>361</v>
      </c>
      <c r="H2823">
        <f>electric_vehicles_dataset[[#This Row],[Battery_Capacity_kWh]]/electric_vehicles_dataset[[#This Row],[Range_km]]</f>
        <v>0.37183098591549296</v>
      </c>
      <c r="I2823">
        <v>284</v>
      </c>
      <c r="J2823" t="s">
        <v>149</v>
      </c>
      <c r="K2823">
        <v>4</v>
      </c>
      <c r="L2823" s="1">
        <v>113294.97</v>
      </c>
      <c r="M2823" s="1" t="str" cm="1">
        <f t="array" ref="M282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23" t="s">
        <v>189</v>
      </c>
      <c r="O2823" t="s">
        <v>107</v>
      </c>
      <c r="P2823" s="2" t="s">
        <v>394</v>
      </c>
      <c r="Q2823">
        <v>0</v>
      </c>
      <c r="R2823" t="s">
        <v>390</v>
      </c>
      <c r="S2823" s="1">
        <f>electric_vehicles_dataset[[#This Row],[Units_Sold_2024]]*electric_vehicles_dataset[[#This Row],[Price_USD]]</f>
        <v>448081606.35000002</v>
      </c>
      <c r="T2823">
        <v>3</v>
      </c>
      <c r="U2823">
        <v>3955</v>
      </c>
      <c r="V2823">
        <v>4</v>
      </c>
    </row>
    <row r="2824" spans="1:22" x14ac:dyDescent="0.35">
      <c r="A2824">
        <v>2823</v>
      </c>
      <c r="B2824" t="s">
        <v>224</v>
      </c>
      <c r="C2824" t="s">
        <v>225</v>
      </c>
      <c r="D2824">
        <v>2022</v>
      </c>
      <c r="E2824" t="s">
        <v>42</v>
      </c>
      <c r="F2824">
        <v>98.3</v>
      </c>
      <c r="G2824" t="s">
        <v>350</v>
      </c>
      <c r="H2824">
        <f>electric_vehicles_dataset[[#This Row],[Battery_Capacity_kWh]]/electric_vehicles_dataset[[#This Row],[Range_km]]</f>
        <v>0.19738955823293172</v>
      </c>
      <c r="I2824">
        <v>498</v>
      </c>
      <c r="J2824" t="s">
        <v>48</v>
      </c>
      <c r="K2824">
        <v>8</v>
      </c>
      <c r="L2824" s="1">
        <v>74478.92</v>
      </c>
      <c r="M2824" s="1" t="str" cm="1">
        <f t="array" ref="M282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24" t="s">
        <v>175</v>
      </c>
      <c r="O2824" t="s">
        <v>124</v>
      </c>
      <c r="P2824" s="2" t="s">
        <v>389</v>
      </c>
      <c r="Q2824">
        <v>2</v>
      </c>
      <c r="R2824" t="s">
        <v>391</v>
      </c>
      <c r="S2824" s="1">
        <f>electric_vehicles_dataset[[#This Row],[Units_Sold_2024]]*electric_vehicles_dataset[[#This Row],[Price_USD]]</f>
        <v>383343001.24000001</v>
      </c>
      <c r="T2824">
        <v>3</v>
      </c>
      <c r="U2824">
        <v>5147</v>
      </c>
      <c r="V2824">
        <v>3</v>
      </c>
    </row>
    <row r="2825" spans="1:22" x14ac:dyDescent="0.35">
      <c r="A2825">
        <v>2824</v>
      </c>
      <c r="B2825" t="s">
        <v>173</v>
      </c>
      <c r="C2825" t="s">
        <v>174</v>
      </c>
      <c r="D2825">
        <v>2015</v>
      </c>
      <c r="E2825" t="s">
        <v>47</v>
      </c>
      <c r="F2825">
        <v>118.6</v>
      </c>
      <c r="G2825" t="s">
        <v>361</v>
      </c>
      <c r="H2825">
        <f>electric_vehicles_dataset[[#This Row],[Battery_Capacity_kWh]]/electric_vehicles_dataset[[#This Row],[Range_km]]</f>
        <v>0.28786407766990291</v>
      </c>
      <c r="I2825">
        <v>412</v>
      </c>
      <c r="J2825" t="s">
        <v>356</v>
      </c>
      <c r="K2825">
        <v>3</v>
      </c>
      <c r="L2825" s="1">
        <v>85541.46</v>
      </c>
      <c r="M2825" s="1" t="str" cm="1">
        <f t="array" ref="M282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25" t="s">
        <v>177</v>
      </c>
      <c r="O2825" t="s">
        <v>89</v>
      </c>
      <c r="P2825" s="2" t="s">
        <v>389</v>
      </c>
      <c r="Q2825">
        <v>2</v>
      </c>
      <c r="R2825" t="s">
        <v>391</v>
      </c>
      <c r="S2825" s="1">
        <f>electric_vehicles_dataset[[#This Row],[Units_Sold_2024]]*electric_vehicles_dataset[[#This Row],[Price_USD]]</f>
        <v>657899368.86000001</v>
      </c>
      <c r="T2825">
        <v>4</v>
      </c>
      <c r="U2825">
        <v>7691</v>
      </c>
      <c r="V2825">
        <v>4</v>
      </c>
    </row>
    <row r="2826" spans="1:22" x14ac:dyDescent="0.35">
      <c r="A2826">
        <v>2825</v>
      </c>
      <c r="B2826" t="s">
        <v>136</v>
      </c>
      <c r="C2826" t="s">
        <v>137</v>
      </c>
      <c r="D2826">
        <v>2016</v>
      </c>
      <c r="E2826" t="s">
        <v>17</v>
      </c>
      <c r="F2826">
        <v>46.6</v>
      </c>
      <c r="G2826" t="s">
        <v>348</v>
      </c>
      <c r="H2826">
        <f>electric_vehicles_dataset[[#This Row],[Battery_Capacity_kWh]]/electric_vehicles_dataset[[#This Row],[Range_km]]</f>
        <v>0.16762589928057556</v>
      </c>
      <c r="I2826">
        <v>278</v>
      </c>
      <c r="J2826" t="s">
        <v>356</v>
      </c>
      <c r="K2826">
        <v>10</v>
      </c>
      <c r="L2826" s="1">
        <v>136301.76000000001</v>
      </c>
      <c r="M2826" s="1" t="str" cm="1">
        <f t="array" ref="M282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26" t="s">
        <v>146</v>
      </c>
      <c r="O2826" t="s">
        <v>199</v>
      </c>
      <c r="P2826" s="2" t="s">
        <v>394</v>
      </c>
      <c r="Q2826">
        <v>0</v>
      </c>
      <c r="R2826" t="s">
        <v>390</v>
      </c>
      <c r="S2826" s="1">
        <f>electric_vehicles_dataset[[#This Row],[Units_Sold_2024]]*electric_vehicles_dataset[[#This Row],[Price_USD]]</f>
        <v>84779694.719999999</v>
      </c>
      <c r="T2826">
        <v>4</v>
      </c>
      <c r="U2826">
        <v>622</v>
      </c>
      <c r="V2826">
        <v>3</v>
      </c>
    </row>
    <row r="2827" spans="1:22" x14ac:dyDescent="0.35">
      <c r="A2827">
        <v>2826</v>
      </c>
      <c r="B2827" t="s">
        <v>125</v>
      </c>
      <c r="C2827" t="s">
        <v>163</v>
      </c>
      <c r="D2827">
        <v>2020</v>
      </c>
      <c r="E2827" t="s">
        <v>183</v>
      </c>
      <c r="F2827">
        <v>62.4</v>
      </c>
      <c r="G2827" t="s">
        <v>351</v>
      </c>
      <c r="H2827">
        <f>electric_vehicles_dataset[[#This Row],[Battery_Capacity_kWh]]/electric_vehicles_dataset[[#This Row],[Range_km]]</f>
        <v>0.17002724795640325</v>
      </c>
      <c r="I2827">
        <v>367</v>
      </c>
      <c r="J2827" t="s">
        <v>27</v>
      </c>
      <c r="K2827">
        <v>12</v>
      </c>
      <c r="L2827" s="1">
        <v>66578.37</v>
      </c>
      <c r="M2827" s="1" t="str" cm="1">
        <f t="array" ref="M282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27" t="s">
        <v>212</v>
      </c>
      <c r="O2827" t="s">
        <v>23</v>
      </c>
      <c r="P2827" s="2" t="s">
        <v>389</v>
      </c>
      <c r="Q2827">
        <v>2</v>
      </c>
      <c r="R2827" t="s">
        <v>391</v>
      </c>
      <c r="S2827" s="1">
        <f>electric_vehicles_dataset[[#This Row],[Units_Sold_2024]]*electric_vehicles_dataset[[#This Row],[Price_USD]]</f>
        <v>347339356.28999996</v>
      </c>
      <c r="T2827">
        <v>5</v>
      </c>
      <c r="U2827">
        <v>5217</v>
      </c>
      <c r="V2827">
        <v>5</v>
      </c>
    </row>
    <row r="2828" spans="1:22" x14ac:dyDescent="0.35">
      <c r="A2828">
        <v>2827</v>
      </c>
      <c r="B2828" t="s">
        <v>24</v>
      </c>
      <c r="C2828" t="s">
        <v>328</v>
      </c>
      <c r="D2828">
        <v>2020</v>
      </c>
      <c r="E2828" t="s">
        <v>17</v>
      </c>
      <c r="F2828">
        <v>65.099999999999994</v>
      </c>
      <c r="G2828" t="s">
        <v>351</v>
      </c>
      <c r="H2828">
        <f>electric_vehicles_dataset[[#This Row],[Battery_Capacity_kWh]]/electric_vehicles_dataset[[#This Row],[Range_km]]</f>
        <v>0.2003076923076923</v>
      </c>
      <c r="I2828">
        <v>325</v>
      </c>
      <c r="J2828" t="s">
        <v>85</v>
      </c>
      <c r="K2828">
        <v>7</v>
      </c>
      <c r="L2828" s="1">
        <v>134074.9</v>
      </c>
      <c r="M2828" s="1" t="str" cm="1">
        <f t="array" ref="M28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28" t="s">
        <v>277</v>
      </c>
      <c r="O2828" t="s">
        <v>236</v>
      </c>
      <c r="P2828" s="2" t="s">
        <v>394</v>
      </c>
      <c r="Q2828">
        <v>2</v>
      </c>
      <c r="R2828" t="s">
        <v>391</v>
      </c>
      <c r="S2828" s="1">
        <f>electric_vehicles_dataset[[#This Row],[Units_Sold_2024]]*electric_vehicles_dataset[[#This Row],[Price_USD]]</f>
        <v>1586776441.5</v>
      </c>
      <c r="T2828">
        <v>5</v>
      </c>
      <c r="U2828">
        <v>11835</v>
      </c>
      <c r="V2828">
        <v>5</v>
      </c>
    </row>
    <row r="2829" spans="1:22" x14ac:dyDescent="0.35">
      <c r="A2829">
        <v>2828</v>
      </c>
      <c r="B2829" t="s">
        <v>45</v>
      </c>
      <c r="C2829" t="s">
        <v>46</v>
      </c>
      <c r="D2829">
        <v>2018</v>
      </c>
      <c r="E2829" t="s">
        <v>42</v>
      </c>
      <c r="F2829">
        <v>22.5</v>
      </c>
      <c r="G2829" t="s">
        <v>357</v>
      </c>
      <c r="H2829">
        <f>electric_vehicles_dataset[[#This Row],[Battery_Capacity_kWh]]/electric_vehicles_dataset[[#This Row],[Range_km]]</f>
        <v>0.17307692307692307</v>
      </c>
      <c r="I2829">
        <v>130</v>
      </c>
      <c r="J2829" t="s">
        <v>149</v>
      </c>
      <c r="K2829">
        <v>5</v>
      </c>
      <c r="L2829" s="1">
        <v>45957.47</v>
      </c>
      <c r="M2829" s="1" t="str" cm="1">
        <f t="array" ref="M282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29" t="s">
        <v>106</v>
      </c>
      <c r="O2829" t="s">
        <v>150</v>
      </c>
      <c r="P2829" s="2" t="s">
        <v>389</v>
      </c>
      <c r="Q2829">
        <v>1</v>
      </c>
      <c r="R2829" t="s">
        <v>391</v>
      </c>
      <c r="S2829" s="1">
        <f>electric_vehicles_dataset[[#This Row],[Units_Sold_2024]]*electric_vehicles_dataset[[#This Row],[Price_USD]]</f>
        <v>692992690.13</v>
      </c>
      <c r="T2829">
        <v>4</v>
      </c>
      <c r="U2829">
        <v>15079</v>
      </c>
      <c r="V2829">
        <v>4</v>
      </c>
    </row>
    <row r="2830" spans="1:22" x14ac:dyDescent="0.35">
      <c r="A2830">
        <v>2829</v>
      </c>
      <c r="B2830" t="s">
        <v>144</v>
      </c>
      <c r="C2830" t="s">
        <v>273</v>
      </c>
      <c r="D2830">
        <v>2016</v>
      </c>
      <c r="E2830" t="s">
        <v>104</v>
      </c>
      <c r="F2830">
        <v>45.7</v>
      </c>
      <c r="G2830" t="s">
        <v>348</v>
      </c>
      <c r="H2830">
        <f>electric_vehicles_dataset[[#This Row],[Battery_Capacity_kWh]]/electric_vehicles_dataset[[#This Row],[Range_km]]</f>
        <v>0.27041420118343196</v>
      </c>
      <c r="I2830">
        <v>169</v>
      </c>
      <c r="J2830" t="s">
        <v>345</v>
      </c>
      <c r="K2830">
        <v>9</v>
      </c>
      <c r="L2830" s="1">
        <v>148584.62</v>
      </c>
      <c r="M2830" s="1" t="str" cm="1">
        <f t="array" ref="M283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30" t="s">
        <v>205</v>
      </c>
      <c r="O2830" t="s">
        <v>111</v>
      </c>
      <c r="P2830" s="2" t="s">
        <v>389</v>
      </c>
      <c r="Q2830">
        <v>2</v>
      </c>
      <c r="R2830" t="s">
        <v>391</v>
      </c>
      <c r="S2830" s="1">
        <f>electric_vehicles_dataset[[#This Row],[Units_Sold_2024]]*electric_vehicles_dataset[[#This Row],[Price_USD]]</f>
        <v>1848689842.04</v>
      </c>
      <c r="T2830">
        <v>4</v>
      </c>
      <c r="U2830">
        <v>12442</v>
      </c>
      <c r="V2830">
        <v>5</v>
      </c>
    </row>
    <row r="2831" spans="1:22" x14ac:dyDescent="0.35">
      <c r="A2831">
        <v>2830</v>
      </c>
      <c r="B2831" t="s">
        <v>82</v>
      </c>
      <c r="C2831" t="s">
        <v>281</v>
      </c>
      <c r="D2831">
        <v>2018</v>
      </c>
      <c r="E2831" t="s">
        <v>17</v>
      </c>
      <c r="F2831">
        <v>83.4</v>
      </c>
      <c r="G2831" t="s">
        <v>350</v>
      </c>
      <c r="H2831">
        <f>electric_vehicles_dataset[[#This Row],[Battery_Capacity_kWh]]/electric_vehicles_dataset[[#This Row],[Range_km]]</f>
        <v>0.37737556561085978</v>
      </c>
      <c r="I2831">
        <v>221</v>
      </c>
      <c r="J2831" t="s">
        <v>345</v>
      </c>
      <c r="K2831">
        <v>12</v>
      </c>
      <c r="L2831" s="1">
        <v>100542.09</v>
      </c>
      <c r="M2831" s="1" t="str" cm="1">
        <f t="array" ref="M283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31" t="s">
        <v>152</v>
      </c>
      <c r="O2831" t="s">
        <v>115</v>
      </c>
      <c r="P2831" s="2" t="s">
        <v>396</v>
      </c>
      <c r="Q2831">
        <v>5</v>
      </c>
      <c r="R2831" t="s">
        <v>392</v>
      </c>
      <c r="S2831" s="1">
        <f>electric_vehicles_dataset[[#This Row],[Units_Sold_2024]]*electric_vehicles_dataset[[#This Row],[Price_USD]]</f>
        <v>607173681.50999999</v>
      </c>
      <c r="T2831">
        <v>5</v>
      </c>
      <c r="U2831">
        <v>6039</v>
      </c>
      <c r="V2831">
        <v>5</v>
      </c>
    </row>
    <row r="2832" spans="1:22" x14ac:dyDescent="0.35">
      <c r="A2832">
        <v>2831</v>
      </c>
      <c r="B2832" t="s">
        <v>41</v>
      </c>
      <c r="C2832" t="s">
        <v>380</v>
      </c>
      <c r="D2832">
        <v>2017</v>
      </c>
      <c r="E2832" t="s">
        <v>17</v>
      </c>
      <c r="F2832">
        <v>39.5</v>
      </c>
      <c r="G2832" t="s">
        <v>357</v>
      </c>
      <c r="H2832">
        <f>electric_vehicles_dataset[[#This Row],[Battery_Capacity_kWh]]/electric_vehicles_dataset[[#This Row],[Range_km]]</f>
        <v>7.9000000000000001E-2</v>
      </c>
      <c r="I2832">
        <v>500</v>
      </c>
      <c r="J2832" t="s">
        <v>353</v>
      </c>
      <c r="K2832">
        <v>12</v>
      </c>
      <c r="L2832" s="1">
        <v>134265.96</v>
      </c>
      <c r="M2832" s="1" t="str" cm="1">
        <f t="array" ref="M283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32" t="s">
        <v>28</v>
      </c>
      <c r="O2832" t="s">
        <v>50</v>
      </c>
      <c r="P2832" s="2" t="s">
        <v>396</v>
      </c>
      <c r="Q2832">
        <v>5</v>
      </c>
      <c r="R2832" t="s">
        <v>392</v>
      </c>
      <c r="S2832" s="1">
        <f>electric_vehicles_dataset[[#This Row],[Units_Sold_2024]]*electric_vehicles_dataset[[#This Row],[Price_USD]]</f>
        <v>2141273530.0799999</v>
      </c>
      <c r="T2832">
        <v>5</v>
      </c>
      <c r="U2832">
        <v>15948</v>
      </c>
      <c r="V2832">
        <v>4</v>
      </c>
    </row>
    <row r="2833" spans="1:22" x14ac:dyDescent="0.35">
      <c r="A2833">
        <v>2832</v>
      </c>
      <c r="B2833" t="s">
        <v>122</v>
      </c>
      <c r="C2833" t="s">
        <v>123</v>
      </c>
      <c r="D2833">
        <v>2020</v>
      </c>
      <c r="E2833" t="s">
        <v>58</v>
      </c>
      <c r="F2833">
        <v>40.6</v>
      </c>
      <c r="G2833" t="s">
        <v>348</v>
      </c>
      <c r="H2833">
        <f>electric_vehicles_dataset[[#This Row],[Battery_Capacity_kWh]]/electric_vehicles_dataset[[#This Row],[Range_km]]</f>
        <v>0.15205992509363297</v>
      </c>
      <c r="I2833">
        <v>267</v>
      </c>
      <c r="J2833" t="s">
        <v>34</v>
      </c>
      <c r="K2833">
        <v>2</v>
      </c>
      <c r="L2833" s="1">
        <v>50283.87</v>
      </c>
      <c r="M2833" s="1" t="str" cm="1">
        <f t="array" ref="M283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33" t="s">
        <v>22</v>
      </c>
      <c r="O2833" t="s">
        <v>107</v>
      </c>
      <c r="P2833" s="2" t="s">
        <v>394</v>
      </c>
      <c r="Q2833">
        <v>5</v>
      </c>
      <c r="R2833" t="s">
        <v>392</v>
      </c>
      <c r="S2833" s="1">
        <f>electric_vehicles_dataset[[#This Row],[Units_Sold_2024]]*electric_vehicles_dataset[[#This Row],[Price_USD]]</f>
        <v>422434791.87</v>
      </c>
      <c r="T2833">
        <v>4</v>
      </c>
      <c r="U2833">
        <v>8401</v>
      </c>
      <c r="V2833">
        <v>5</v>
      </c>
    </row>
    <row r="2834" spans="1:22" x14ac:dyDescent="0.35">
      <c r="A2834">
        <v>2833</v>
      </c>
      <c r="B2834" t="s">
        <v>122</v>
      </c>
      <c r="C2834" t="s">
        <v>186</v>
      </c>
      <c r="D2834">
        <v>2024</v>
      </c>
      <c r="E2834" t="s">
        <v>90</v>
      </c>
      <c r="F2834">
        <v>109.3</v>
      </c>
      <c r="G2834" t="s">
        <v>361</v>
      </c>
      <c r="H2834">
        <f>electric_vehicles_dataset[[#This Row],[Battery_Capacity_kWh]]/electric_vehicles_dataset[[#This Row],[Range_km]]</f>
        <v>0.36801346801346801</v>
      </c>
      <c r="I2834">
        <v>297</v>
      </c>
      <c r="J2834" t="s">
        <v>48</v>
      </c>
      <c r="K2834">
        <v>3</v>
      </c>
      <c r="L2834" s="1">
        <v>36825.730000000003</v>
      </c>
      <c r="M2834" s="1" t="str" cm="1">
        <f t="array" ref="M283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34" t="s">
        <v>228</v>
      </c>
      <c r="O2834" t="s">
        <v>354</v>
      </c>
      <c r="P2834" s="2" t="s">
        <v>394</v>
      </c>
      <c r="Q2834">
        <v>3</v>
      </c>
      <c r="R2834" t="s">
        <v>397</v>
      </c>
      <c r="S2834" s="1">
        <f>electric_vehicles_dataset[[#This Row],[Units_Sold_2024]]*electric_vehicles_dataset[[#This Row],[Price_USD]]</f>
        <v>715118850.87</v>
      </c>
      <c r="T2834">
        <v>5</v>
      </c>
      <c r="U2834">
        <v>19419</v>
      </c>
      <c r="V2834">
        <v>5</v>
      </c>
    </row>
    <row r="2835" spans="1:22" x14ac:dyDescent="0.35">
      <c r="A2835">
        <v>2834</v>
      </c>
      <c r="B2835" t="s">
        <v>112</v>
      </c>
      <c r="C2835" t="s">
        <v>237</v>
      </c>
      <c r="D2835">
        <v>2024</v>
      </c>
      <c r="E2835" t="s">
        <v>133</v>
      </c>
      <c r="F2835">
        <v>64.2</v>
      </c>
      <c r="G2835" t="s">
        <v>351</v>
      </c>
      <c r="H2835">
        <f>electric_vehicles_dataset[[#This Row],[Battery_Capacity_kWh]]/electric_vehicles_dataset[[#This Row],[Range_km]]</f>
        <v>0.54406779661016946</v>
      </c>
      <c r="I2835">
        <v>118</v>
      </c>
      <c r="J2835" t="s">
        <v>34</v>
      </c>
      <c r="K2835">
        <v>8</v>
      </c>
      <c r="L2835" s="1">
        <v>93513.69</v>
      </c>
      <c r="M2835" s="1" t="str" cm="1">
        <f t="array" ref="M283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35" t="s">
        <v>212</v>
      </c>
      <c r="O2835" t="s">
        <v>44</v>
      </c>
      <c r="P2835" s="2" t="s">
        <v>389</v>
      </c>
      <c r="Q2835">
        <v>0</v>
      </c>
      <c r="R2835" t="s">
        <v>390</v>
      </c>
      <c r="S2835" s="1">
        <f>electric_vehicles_dataset[[#This Row],[Units_Sold_2024]]*electric_vehicles_dataset[[#This Row],[Price_USD]]</f>
        <v>1157325427.4400001</v>
      </c>
      <c r="T2835">
        <v>5</v>
      </c>
      <c r="U2835">
        <v>12376</v>
      </c>
      <c r="V2835">
        <v>3</v>
      </c>
    </row>
    <row r="2836" spans="1:22" x14ac:dyDescent="0.35">
      <c r="A2836">
        <v>2835</v>
      </c>
      <c r="B2836" t="s">
        <v>234</v>
      </c>
      <c r="C2836" t="s">
        <v>235</v>
      </c>
      <c r="D2836">
        <v>2022</v>
      </c>
      <c r="E2836" t="s">
        <v>47</v>
      </c>
      <c r="F2836">
        <v>68.5</v>
      </c>
      <c r="G2836" t="s">
        <v>351</v>
      </c>
      <c r="H2836">
        <f>electric_vehicles_dataset[[#This Row],[Battery_Capacity_kWh]]/electric_vehicles_dataset[[#This Row],[Range_km]]</f>
        <v>0.19405099150141644</v>
      </c>
      <c r="I2836">
        <v>353</v>
      </c>
      <c r="J2836" t="s">
        <v>48</v>
      </c>
      <c r="K2836">
        <v>9</v>
      </c>
      <c r="L2836" s="1">
        <v>59455.97</v>
      </c>
      <c r="M2836" s="1" t="str" cm="1">
        <f t="array" ref="M283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36" t="s">
        <v>39</v>
      </c>
      <c r="O2836" t="s">
        <v>63</v>
      </c>
      <c r="P2836" s="2" t="s">
        <v>389</v>
      </c>
      <c r="Q2836">
        <v>2</v>
      </c>
      <c r="R2836" t="s">
        <v>391</v>
      </c>
      <c r="S2836" s="1">
        <f>electric_vehicles_dataset[[#This Row],[Units_Sold_2024]]*electric_vehicles_dataset[[#This Row],[Price_USD]]</f>
        <v>808839015.88</v>
      </c>
      <c r="T2836">
        <v>5</v>
      </c>
      <c r="U2836">
        <v>13604</v>
      </c>
      <c r="V2836">
        <v>3</v>
      </c>
    </row>
    <row r="2837" spans="1:22" x14ac:dyDescent="0.35">
      <c r="A2837">
        <v>2836</v>
      </c>
      <c r="B2837" t="s">
        <v>56</v>
      </c>
      <c r="C2837" t="s">
        <v>57</v>
      </c>
      <c r="D2837">
        <v>2025</v>
      </c>
      <c r="E2837" t="s">
        <v>90</v>
      </c>
      <c r="F2837">
        <v>69.8</v>
      </c>
      <c r="G2837" t="s">
        <v>351</v>
      </c>
      <c r="H2837">
        <f>electric_vehicles_dataset[[#This Row],[Battery_Capacity_kWh]]/electric_vehicles_dataset[[#This Row],[Range_km]]</f>
        <v>0.27588932806324107</v>
      </c>
      <c r="I2837">
        <v>253</v>
      </c>
      <c r="J2837" t="s">
        <v>364</v>
      </c>
      <c r="K2837">
        <v>2</v>
      </c>
      <c r="L2837" s="1">
        <v>68292.460000000006</v>
      </c>
      <c r="M2837" s="1" t="str" cm="1">
        <f t="array" ref="M28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37" t="s">
        <v>114</v>
      </c>
      <c r="O2837" t="s">
        <v>121</v>
      </c>
      <c r="P2837" s="2" t="s">
        <v>398</v>
      </c>
      <c r="Q2837">
        <v>4</v>
      </c>
      <c r="R2837" t="s">
        <v>392</v>
      </c>
      <c r="S2837" s="1">
        <f>electric_vehicles_dataset[[#This Row],[Units_Sold_2024]]*electric_vehicles_dataset[[#This Row],[Price_USD]]</f>
        <v>1227215506.2</v>
      </c>
      <c r="T2837">
        <v>5</v>
      </c>
      <c r="U2837">
        <v>17970</v>
      </c>
      <c r="V2837">
        <v>5</v>
      </c>
    </row>
    <row r="2838" spans="1:22" x14ac:dyDescent="0.35">
      <c r="A2838">
        <v>2837</v>
      </c>
      <c r="B2838" t="s">
        <v>51</v>
      </c>
      <c r="C2838" t="s">
        <v>162</v>
      </c>
      <c r="D2838">
        <v>2021</v>
      </c>
      <c r="E2838" t="s">
        <v>183</v>
      </c>
      <c r="F2838">
        <v>24</v>
      </c>
      <c r="G2838" t="s">
        <v>357</v>
      </c>
      <c r="H2838">
        <f>electric_vehicles_dataset[[#This Row],[Battery_Capacity_kWh]]/electric_vehicles_dataset[[#This Row],[Range_km]]</f>
        <v>0.17777777777777778</v>
      </c>
      <c r="I2838">
        <v>135</v>
      </c>
      <c r="J2838" t="s">
        <v>364</v>
      </c>
      <c r="K2838">
        <v>11</v>
      </c>
      <c r="L2838" s="1">
        <v>30435.06</v>
      </c>
      <c r="M2838" s="1" t="str" cm="1">
        <f t="array" ref="M283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38" t="s">
        <v>175</v>
      </c>
      <c r="O2838" t="s">
        <v>265</v>
      </c>
      <c r="P2838" s="2" t="s">
        <v>389</v>
      </c>
      <c r="Q2838">
        <v>1</v>
      </c>
      <c r="R2838" t="s">
        <v>391</v>
      </c>
      <c r="S2838" s="1">
        <f>electric_vehicles_dataset[[#This Row],[Units_Sold_2024]]*electric_vehicles_dataset[[#This Row],[Price_USD]]</f>
        <v>25595885.460000001</v>
      </c>
      <c r="T2838">
        <v>4</v>
      </c>
      <c r="U2838">
        <v>841</v>
      </c>
      <c r="V2838">
        <v>3</v>
      </c>
    </row>
    <row r="2839" spans="1:22" x14ac:dyDescent="0.35">
      <c r="A2839">
        <v>2838</v>
      </c>
      <c r="B2839" t="s">
        <v>193</v>
      </c>
      <c r="C2839" t="s">
        <v>312</v>
      </c>
      <c r="D2839">
        <v>2023</v>
      </c>
      <c r="E2839" t="s">
        <v>84</v>
      </c>
      <c r="F2839">
        <v>86</v>
      </c>
      <c r="G2839" t="s">
        <v>350</v>
      </c>
      <c r="H2839">
        <f>electric_vehicles_dataset[[#This Row],[Battery_Capacity_kWh]]/electric_vehicles_dataset[[#This Row],[Range_km]]</f>
        <v>0.31851851851851853</v>
      </c>
      <c r="I2839">
        <v>270</v>
      </c>
      <c r="J2839" t="s">
        <v>54</v>
      </c>
      <c r="K2839">
        <v>4</v>
      </c>
      <c r="L2839" s="1">
        <v>122384.74</v>
      </c>
      <c r="M2839" s="1" t="str" cm="1">
        <f t="array" ref="M283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39" t="s">
        <v>205</v>
      </c>
      <c r="O2839" t="s">
        <v>230</v>
      </c>
      <c r="P2839" s="2" t="s">
        <v>389</v>
      </c>
      <c r="Q2839">
        <v>1</v>
      </c>
      <c r="R2839" t="s">
        <v>391</v>
      </c>
      <c r="S2839" s="1">
        <f>electric_vehicles_dataset[[#This Row],[Units_Sold_2024]]*electric_vehicles_dataset[[#This Row],[Price_USD]]</f>
        <v>1982388018.52</v>
      </c>
      <c r="T2839">
        <v>4</v>
      </c>
      <c r="U2839">
        <v>16198</v>
      </c>
      <c r="V2839">
        <v>4</v>
      </c>
    </row>
    <row r="2840" spans="1:22" x14ac:dyDescent="0.35">
      <c r="A2840">
        <v>2839</v>
      </c>
      <c r="B2840" t="s">
        <v>125</v>
      </c>
      <c r="C2840" t="s">
        <v>291</v>
      </c>
      <c r="D2840">
        <v>2023</v>
      </c>
      <c r="E2840" t="s">
        <v>183</v>
      </c>
      <c r="F2840">
        <v>143.9</v>
      </c>
      <c r="G2840" t="s">
        <v>386</v>
      </c>
      <c r="H2840">
        <f>electric_vehicles_dataset[[#This Row],[Battery_Capacity_kWh]]/electric_vehicles_dataset[[#This Row],[Range_km]]</f>
        <v>0.28953722334004023</v>
      </c>
      <c r="I2840">
        <v>497</v>
      </c>
      <c r="J2840" t="s">
        <v>364</v>
      </c>
      <c r="K2840">
        <v>9</v>
      </c>
      <c r="L2840" s="1">
        <v>39110.76</v>
      </c>
      <c r="M2840" s="1" t="str" cm="1">
        <f t="array" ref="M284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40" t="s">
        <v>246</v>
      </c>
      <c r="O2840" t="s">
        <v>67</v>
      </c>
      <c r="P2840" s="2" t="s">
        <v>394</v>
      </c>
      <c r="Q2840">
        <v>1</v>
      </c>
      <c r="R2840" t="s">
        <v>391</v>
      </c>
      <c r="S2840" s="1">
        <f>electric_vehicles_dataset[[#This Row],[Units_Sold_2024]]*electric_vehicles_dataset[[#This Row],[Price_USD]]</f>
        <v>59761241.280000001</v>
      </c>
      <c r="T2840">
        <v>3</v>
      </c>
      <c r="U2840">
        <v>1528</v>
      </c>
      <c r="V2840">
        <v>5</v>
      </c>
    </row>
    <row r="2841" spans="1:22" x14ac:dyDescent="0.35">
      <c r="A2841">
        <v>2840</v>
      </c>
      <c r="B2841" t="s">
        <v>173</v>
      </c>
      <c r="C2841" t="s">
        <v>306</v>
      </c>
      <c r="D2841">
        <v>2022</v>
      </c>
      <c r="E2841" t="s">
        <v>104</v>
      </c>
      <c r="F2841">
        <v>144.6</v>
      </c>
      <c r="G2841" t="s">
        <v>386</v>
      </c>
      <c r="H2841">
        <f>electric_vehicles_dataset[[#This Row],[Battery_Capacity_kWh]]/electric_vehicles_dataset[[#This Row],[Range_km]]</f>
        <v>0.49520547945205479</v>
      </c>
      <c r="I2841">
        <v>292</v>
      </c>
      <c r="J2841" t="s">
        <v>105</v>
      </c>
      <c r="K2841">
        <v>3</v>
      </c>
      <c r="L2841" s="1">
        <v>96638.88</v>
      </c>
      <c r="M2841" s="1" t="str" cm="1">
        <f t="array" ref="M28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41" t="s">
        <v>114</v>
      </c>
      <c r="O2841" t="s">
        <v>95</v>
      </c>
      <c r="P2841" s="2" t="s">
        <v>394</v>
      </c>
      <c r="Q2841">
        <v>1</v>
      </c>
      <c r="R2841" t="s">
        <v>391</v>
      </c>
      <c r="S2841" s="1">
        <f>electric_vehicles_dataset[[#This Row],[Units_Sold_2024]]*electric_vehicles_dataset[[#This Row],[Price_USD]]</f>
        <v>1465045420.8</v>
      </c>
      <c r="T2841">
        <v>4</v>
      </c>
      <c r="U2841">
        <v>15160</v>
      </c>
      <c r="V2841">
        <v>3</v>
      </c>
    </row>
    <row r="2842" spans="1:22" x14ac:dyDescent="0.35">
      <c r="A2842">
        <v>2841</v>
      </c>
      <c r="B2842" t="s">
        <v>157</v>
      </c>
      <c r="C2842" t="s">
        <v>296</v>
      </c>
      <c r="D2842">
        <v>2018</v>
      </c>
      <c r="E2842" t="s">
        <v>58</v>
      </c>
      <c r="F2842">
        <v>36</v>
      </c>
      <c r="G2842" t="s">
        <v>357</v>
      </c>
      <c r="H2842">
        <f>electric_vehicles_dataset[[#This Row],[Battery_Capacity_kWh]]/electric_vehicles_dataset[[#This Row],[Range_km]]</f>
        <v>6.0708263069139963E-2</v>
      </c>
      <c r="I2842">
        <v>593</v>
      </c>
      <c r="J2842" t="s">
        <v>34</v>
      </c>
      <c r="K2842">
        <v>5</v>
      </c>
      <c r="L2842" s="1">
        <v>113010.36</v>
      </c>
      <c r="M2842" s="1" t="str" cm="1">
        <f t="array" ref="M284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42" t="s">
        <v>127</v>
      </c>
      <c r="O2842" t="s">
        <v>110</v>
      </c>
      <c r="P2842" s="2" t="s">
        <v>394</v>
      </c>
      <c r="Q2842">
        <v>1</v>
      </c>
      <c r="R2842" t="s">
        <v>391</v>
      </c>
      <c r="S2842" s="1">
        <f>electric_vehicles_dataset[[#This Row],[Units_Sold_2024]]*electric_vehicles_dataset[[#This Row],[Price_USD]]</f>
        <v>492160117.80000001</v>
      </c>
      <c r="T2842">
        <v>3</v>
      </c>
      <c r="U2842">
        <v>4355</v>
      </c>
      <c r="V2842">
        <v>3</v>
      </c>
    </row>
    <row r="2843" spans="1:22" x14ac:dyDescent="0.35">
      <c r="A2843">
        <v>2842</v>
      </c>
      <c r="B2843" t="s">
        <v>262</v>
      </c>
      <c r="C2843" t="s">
        <v>263</v>
      </c>
      <c r="D2843">
        <v>2022</v>
      </c>
      <c r="E2843" t="s">
        <v>183</v>
      </c>
      <c r="F2843">
        <v>117.7</v>
      </c>
      <c r="G2843" t="s">
        <v>361</v>
      </c>
      <c r="H2843">
        <f>electric_vehicles_dataset[[#This Row],[Battery_Capacity_kWh]]/electric_vehicles_dataset[[#This Row],[Range_km]]</f>
        <v>0.45797665369649809</v>
      </c>
      <c r="I2843">
        <v>257</v>
      </c>
      <c r="J2843" t="s">
        <v>85</v>
      </c>
      <c r="K2843">
        <v>9</v>
      </c>
      <c r="L2843" s="1">
        <v>134239.53</v>
      </c>
      <c r="M2843" s="1" t="str" cm="1">
        <f t="array" ref="M284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43" t="s">
        <v>214</v>
      </c>
      <c r="O2843" t="s">
        <v>89</v>
      </c>
      <c r="P2843" s="2" t="s">
        <v>389</v>
      </c>
      <c r="Q2843">
        <v>4</v>
      </c>
      <c r="R2843" t="s">
        <v>392</v>
      </c>
      <c r="S2843" s="1">
        <f>electric_vehicles_dataset[[#This Row],[Units_Sold_2024]]*electric_vehicles_dataset[[#This Row],[Price_USD]]</f>
        <v>1396359591.0599999</v>
      </c>
      <c r="T2843">
        <v>4</v>
      </c>
      <c r="U2843">
        <v>10402</v>
      </c>
      <c r="V2843">
        <v>5</v>
      </c>
    </row>
    <row r="2844" spans="1:22" x14ac:dyDescent="0.35">
      <c r="A2844">
        <v>2843</v>
      </c>
      <c r="B2844" t="s">
        <v>74</v>
      </c>
      <c r="C2844" t="s">
        <v>75</v>
      </c>
      <c r="D2844">
        <v>2015</v>
      </c>
      <c r="E2844" t="s">
        <v>42</v>
      </c>
      <c r="F2844">
        <v>48.4</v>
      </c>
      <c r="G2844" t="s">
        <v>348</v>
      </c>
      <c r="H2844">
        <f>electric_vehicles_dataset[[#This Row],[Battery_Capacity_kWh]]/electric_vehicles_dataset[[#This Row],[Range_km]]</f>
        <v>8.9962825278810402E-2</v>
      </c>
      <c r="I2844">
        <v>538</v>
      </c>
      <c r="J2844" t="s">
        <v>105</v>
      </c>
      <c r="K2844">
        <v>2</v>
      </c>
      <c r="L2844" s="1">
        <v>71288.36</v>
      </c>
      <c r="M2844" s="1" t="str" cm="1">
        <f t="array" ref="M284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44" t="s">
        <v>32</v>
      </c>
      <c r="O2844" t="s">
        <v>23</v>
      </c>
      <c r="P2844" s="2" t="s">
        <v>389</v>
      </c>
      <c r="Q2844">
        <v>0</v>
      </c>
      <c r="R2844" t="s">
        <v>390</v>
      </c>
      <c r="S2844" s="1">
        <f>electric_vehicles_dataset[[#This Row],[Units_Sold_2024]]*electric_vehicles_dataset[[#This Row],[Price_USD]]</f>
        <v>1342644972.24</v>
      </c>
      <c r="T2844">
        <v>3</v>
      </c>
      <c r="U2844">
        <v>18834</v>
      </c>
      <c r="V2844">
        <v>4</v>
      </c>
    </row>
    <row r="2845" spans="1:22" x14ac:dyDescent="0.35">
      <c r="A2845">
        <v>2844</v>
      </c>
      <c r="B2845" t="s">
        <v>128</v>
      </c>
      <c r="C2845" t="s">
        <v>284</v>
      </c>
      <c r="D2845">
        <v>2015</v>
      </c>
      <c r="E2845" t="s">
        <v>84</v>
      </c>
      <c r="F2845">
        <v>146.6</v>
      </c>
      <c r="G2845" t="s">
        <v>386</v>
      </c>
      <c r="H2845">
        <f>electric_vehicles_dataset[[#This Row],[Battery_Capacity_kWh]]/electric_vehicles_dataset[[#This Row],[Range_km]]</f>
        <v>0.28084291187739463</v>
      </c>
      <c r="I2845">
        <v>522</v>
      </c>
      <c r="J2845" t="s">
        <v>364</v>
      </c>
      <c r="K2845">
        <v>6</v>
      </c>
      <c r="L2845" s="1">
        <v>109057.37</v>
      </c>
      <c r="M2845" s="1" t="str" cm="1">
        <f t="array" ref="M284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45" t="s">
        <v>229</v>
      </c>
      <c r="O2845" t="s">
        <v>89</v>
      </c>
      <c r="P2845" s="2" t="s">
        <v>389</v>
      </c>
      <c r="Q2845">
        <v>0</v>
      </c>
      <c r="R2845" t="s">
        <v>390</v>
      </c>
      <c r="S2845" s="1">
        <f>electric_vehicles_dataset[[#This Row],[Units_Sold_2024]]*electric_vehicles_dataset[[#This Row],[Price_USD]]</f>
        <v>696658479.55999994</v>
      </c>
      <c r="T2845">
        <v>3</v>
      </c>
      <c r="U2845">
        <v>6388</v>
      </c>
      <c r="V2845">
        <v>5</v>
      </c>
    </row>
    <row r="2846" spans="1:22" x14ac:dyDescent="0.35">
      <c r="A2846">
        <v>2845</v>
      </c>
      <c r="B2846" t="s">
        <v>224</v>
      </c>
      <c r="C2846" t="s">
        <v>280</v>
      </c>
      <c r="D2846">
        <v>2016</v>
      </c>
      <c r="E2846" t="s">
        <v>31</v>
      </c>
      <c r="F2846">
        <v>106.1</v>
      </c>
      <c r="G2846" t="s">
        <v>361</v>
      </c>
      <c r="H2846">
        <f>electric_vehicles_dataset[[#This Row],[Battery_Capacity_kWh]]/electric_vehicles_dataset[[#This Row],[Range_km]]</f>
        <v>0.18044217687074829</v>
      </c>
      <c r="I2846">
        <v>588</v>
      </c>
      <c r="J2846" t="s">
        <v>27</v>
      </c>
      <c r="K2846">
        <v>3</v>
      </c>
      <c r="L2846" s="1">
        <v>132068.6</v>
      </c>
      <c r="M2846" s="1" t="str" cm="1">
        <f t="array" ref="M284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46" t="s">
        <v>39</v>
      </c>
      <c r="O2846" t="s">
        <v>354</v>
      </c>
      <c r="P2846" s="2" t="s">
        <v>394</v>
      </c>
      <c r="Q2846">
        <v>0</v>
      </c>
      <c r="R2846" t="s">
        <v>390</v>
      </c>
      <c r="S2846" s="1">
        <f>electric_vehicles_dataset[[#This Row],[Units_Sold_2024]]*electric_vehicles_dataset[[#This Row],[Price_USD]]</f>
        <v>1199711162.4000001</v>
      </c>
      <c r="T2846">
        <v>3</v>
      </c>
      <c r="U2846">
        <v>9084</v>
      </c>
      <c r="V2846">
        <v>4</v>
      </c>
    </row>
    <row r="2847" spans="1:22" x14ac:dyDescent="0.35">
      <c r="A2847">
        <v>2846</v>
      </c>
      <c r="B2847" t="s">
        <v>155</v>
      </c>
      <c r="C2847" t="s">
        <v>190</v>
      </c>
      <c r="D2847">
        <v>2016</v>
      </c>
      <c r="E2847" t="s">
        <v>26</v>
      </c>
      <c r="F2847">
        <v>111.6</v>
      </c>
      <c r="G2847" t="s">
        <v>361</v>
      </c>
      <c r="H2847">
        <f>electric_vehicles_dataset[[#This Row],[Battery_Capacity_kWh]]/electric_vehicles_dataset[[#This Row],[Range_km]]</f>
        <v>0.21586073500967118</v>
      </c>
      <c r="I2847">
        <v>517</v>
      </c>
      <c r="J2847" t="s">
        <v>34</v>
      </c>
      <c r="K2847">
        <v>1</v>
      </c>
      <c r="L2847" s="1">
        <v>85850.93</v>
      </c>
      <c r="M2847" s="1" t="str" cm="1">
        <f t="array" ref="M284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47" t="s">
        <v>240</v>
      </c>
      <c r="O2847" t="s">
        <v>230</v>
      </c>
      <c r="P2847" s="2" t="s">
        <v>389</v>
      </c>
      <c r="Q2847">
        <v>5</v>
      </c>
      <c r="R2847" t="s">
        <v>392</v>
      </c>
      <c r="S2847" s="1">
        <f>electric_vehicles_dataset[[#This Row],[Units_Sold_2024]]*electric_vehicles_dataset[[#This Row],[Price_USD]]</f>
        <v>1607386962.3899999</v>
      </c>
      <c r="T2847">
        <v>5</v>
      </c>
      <c r="U2847">
        <v>18723</v>
      </c>
      <c r="V2847">
        <v>5</v>
      </c>
    </row>
    <row r="2848" spans="1:22" x14ac:dyDescent="0.35">
      <c r="A2848">
        <v>2847</v>
      </c>
      <c r="B2848" t="s">
        <v>79</v>
      </c>
      <c r="C2848" t="s">
        <v>80</v>
      </c>
      <c r="D2848">
        <v>2018</v>
      </c>
      <c r="E2848" t="s">
        <v>17</v>
      </c>
      <c r="F2848">
        <v>109.1</v>
      </c>
      <c r="G2848" t="s">
        <v>361</v>
      </c>
      <c r="H2848">
        <f>electric_vehicles_dataset[[#This Row],[Battery_Capacity_kWh]]/electric_vehicles_dataset[[#This Row],[Range_km]]</f>
        <v>0.19728752260397828</v>
      </c>
      <c r="I2848">
        <v>553</v>
      </c>
      <c r="J2848" t="s">
        <v>149</v>
      </c>
      <c r="K2848">
        <v>3</v>
      </c>
      <c r="L2848" s="1">
        <v>145270.93</v>
      </c>
      <c r="M2848" s="1" t="str" cm="1">
        <f t="array" ref="M284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48" t="s">
        <v>165</v>
      </c>
      <c r="O2848" t="s">
        <v>135</v>
      </c>
      <c r="P2848" s="2" t="s">
        <v>389</v>
      </c>
      <c r="Q2848">
        <v>5</v>
      </c>
      <c r="R2848" t="s">
        <v>392</v>
      </c>
      <c r="S2848" s="1">
        <f>electric_vehicles_dataset[[#This Row],[Units_Sold_2024]]*electric_vehicles_dataset[[#This Row],[Price_USD]]</f>
        <v>1549169197.52</v>
      </c>
      <c r="T2848">
        <v>3</v>
      </c>
      <c r="U2848">
        <v>10664</v>
      </c>
      <c r="V2848">
        <v>3</v>
      </c>
    </row>
    <row r="2849" spans="1:22" x14ac:dyDescent="0.35">
      <c r="A2849">
        <v>2848</v>
      </c>
      <c r="B2849" t="s">
        <v>108</v>
      </c>
      <c r="C2849" t="s">
        <v>369</v>
      </c>
      <c r="D2849">
        <v>2024</v>
      </c>
      <c r="E2849" t="s">
        <v>133</v>
      </c>
      <c r="F2849">
        <v>69.099999999999994</v>
      </c>
      <c r="G2849" t="s">
        <v>351</v>
      </c>
      <c r="H2849">
        <f>electric_vehicles_dataset[[#This Row],[Battery_Capacity_kWh]]/electric_vehicles_dataset[[#This Row],[Range_km]]</f>
        <v>0.42919254658385092</v>
      </c>
      <c r="I2849">
        <v>161</v>
      </c>
      <c r="J2849" t="s">
        <v>356</v>
      </c>
      <c r="K2849">
        <v>3</v>
      </c>
      <c r="L2849" s="1">
        <v>135418.32</v>
      </c>
      <c r="M2849" s="1" t="str" cm="1">
        <f t="array" ref="M284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49" t="s">
        <v>165</v>
      </c>
      <c r="O2849" t="s">
        <v>92</v>
      </c>
      <c r="P2849" s="2" t="s">
        <v>394</v>
      </c>
      <c r="Q2849">
        <v>2</v>
      </c>
      <c r="R2849" t="s">
        <v>391</v>
      </c>
      <c r="S2849" s="1">
        <f>electric_vehicles_dataset[[#This Row],[Units_Sold_2024]]*electric_vehicles_dataset[[#This Row],[Price_USD]]</f>
        <v>130001587.2</v>
      </c>
      <c r="T2849">
        <v>3</v>
      </c>
      <c r="U2849">
        <v>960</v>
      </c>
      <c r="V2849">
        <v>5</v>
      </c>
    </row>
    <row r="2850" spans="1:22" x14ac:dyDescent="0.35">
      <c r="A2850">
        <v>2849</v>
      </c>
      <c r="B2850" t="s">
        <v>36</v>
      </c>
      <c r="C2850" t="s">
        <v>211</v>
      </c>
      <c r="D2850">
        <v>2018</v>
      </c>
      <c r="E2850" t="s">
        <v>84</v>
      </c>
      <c r="F2850">
        <v>132.4</v>
      </c>
      <c r="G2850" t="s">
        <v>352</v>
      </c>
      <c r="H2850">
        <f>electric_vehicles_dataset[[#This Row],[Battery_Capacity_kWh]]/electric_vehicles_dataset[[#This Row],[Range_km]]</f>
        <v>0.22906574394463669</v>
      </c>
      <c r="I2850">
        <v>578</v>
      </c>
      <c r="J2850" t="s">
        <v>18</v>
      </c>
      <c r="K2850">
        <v>4</v>
      </c>
      <c r="L2850" s="1">
        <v>30014.46</v>
      </c>
      <c r="M2850" s="1" t="str" cm="1">
        <f t="array" ref="M285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50" t="s">
        <v>127</v>
      </c>
      <c r="O2850" t="s">
        <v>20</v>
      </c>
      <c r="P2850" s="2" t="s">
        <v>389</v>
      </c>
      <c r="Q2850">
        <v>1</v>
      </c>
      <c r="R2850" t="s">
        <v>391</v>
      </c>
      <c r="S2850" s="1">
        <f>electric_vehicles_dataset[[#This Row],[Units_Sold_2024]]*electric_vehicles_dataset[[#This Row],[Price_USD]]</f>
        <v>408016569.24000001</v>
      </c>
      <c r="T2850">
        <v>4</v>
      </c>
      <c r="U2850">
        <v>13594</v>
      </c>
      <c r="V2850">
        <v>4</v>
      </c>
    </row>
    <row r="2851" spans="1:22" x14ac:dyDescent="0.35">
      <c r="A2851">
        <v>2850</v>
      </c>
      <c r="B2851" t="s">
        <v>87</v>
      </c>
      <c r="C2851" t="s">
        <v>191</v>
      </c>
      <c r="D2851">
        <v>2024</v>
      </c>
      <c r="E2851" t="s">
        <v>84</v>
      </c>
      <c r="F2851">
        <v>48.9</v>
      </c>
      <c r="G2851" t="s">
        <v>348</v>
      </c>
      <c r="H2851">
        <f>electric_vehicles_dataset[[#This Row],[Battery_Capacity_kWh]]/electric_vehicles_dataset[[#This Row],[Range_km]]</f>
        <v>0.16520270270270271</v>
      </c>
      <c r="I2851">
        <v>296</v>
      </c>
      <c r="J2851" t="s">
        <v>353</v>
      </c>
      <c r="K2851">
        <v>8</v>
      </c>
      <c r="L2851" s="1">
        <v>92097.37</v>
      </c>
      <c r="M2851" s="1" t="str" cm="1">
        <f t="array" ref="M285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51" t="s">
        <v>165</v>
      </c>
      <c r="O2851" t="s">
        <v>226</v>
      </c>
      <c r="P2851" s="2" t="s">
        <v>395</v>
      </c>
      <c r="Q2851">
        <v>1</v>
      </c>
      <c r="R2851" t="s">
        <v>391</v>
      </c>
      <c r="S2851" s="1">
        <f>electric_vehicles_dataset[[#This Row],[Units_Sold_2024]]*electric_vehicles_dataset[[#This Row],[Price_USD]]</f>
        <v>58573927.32</v>
      </c>
      <c r="T2851">
        <v>5</v>
      </c>
      <c r="U2851">
        <v>636</v>
      </c>
      <c r="V2851">
        <v>5</v>
      </c>
    </row>
    <row r="2852" spans="1:22" x14ac:dyDescent="0.35">
      <c r="A2852">
        <v>2851</v>
      </c>
      <c r="B2852" t="s">
        <v>79</v>
      </c>
      <c r="C2852" t="s">
        <v>267</v>
      </c>
      <c r="D2852">
        <v>2023</v>
      </c>
      <c r="E2852" t="s">
        <v>133</v>
      </c>
      <c r="F2852">
        <v>33.299999999999997</v>
      </c>
      <c r="G2852" t="s">
        <v>357</v>
      </c>
      <c r="H2852">
        <f>electric_vehicles_dataset[[#This Row],[Battery_Capacity_kWh]]/electric_vehicles_dataset[[#This Row],[Range_km]]</f>
        <v>0.19360465116279069</v>
      </c>
      <c r="I2852">
        <v>172</v>
      </c>
      <c r="J2852" t="s">
        <v>34</v>
      </c>
      <c r="K2852">
        <v>6</v>
      </c>
      <c r="L2852" s="1">
        <v>35255.94</v>
      </c>
      <c r="M2852" s="1" t="str" cm="1">
        <f t="array" ref="M285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52" t="s">
        <v>66</v>
      </c>
      <c r="O2852" t="s">
        <v>111</v>
      </c>
      <c r="P2852" s="2" t="s">
        <v>389</v>
      </c>
      <c r="Q2852">
        <v>1</v>
      </c>
      <c r="R2852" t="s">
        <v>391</v>
      </c>
      <c r="S2852" s="1">
        <f>electric_vehicles_dataset[[#This Row],[Units_Sold_2024]]*electric_vehicles_dataset[[#This Row],[Price_USD]]</f>
        <v>6275557.3200000003</v>
      </c>
      <c r="T2852">
        <v>4</v>
      </c>
      <c r="U2852">
        <v>178</v>
      </c>
      <c r="V2852">
        <v>3</v>
      </c>
    </row>
    <row r="2853" spans="1:22" x14ac:dyDescent="0.35">
      <c r="A2853">
        <v>2852</v>
      </c>
      <c r="B2853" t="s">
        <v>128</v>
      </c>
      <c r="C2853" t="s">
        <v>129</v>
      </c>
      <c r="D2853">
        <v>2025</v>
      </c>
      <c r="E2853" t="s">
        <v>53</v>
      </c>
      <c r="F2853">
        <v>148.1</v>
      </c>
      <c r="G2853" t="s">
        <v>386</v>
      </c>
      <c r="H2853">
        <f>electric_vehicles_dataset[[#This Row],[Battery_Capacity_kWh]]/electric_vehicles_dataset[[#This Row],[Range_km]]</f>
        <v>0.27224264705882351</v>
      </c>
      <c r="I2853">
        <v>544</v>
      </c>
      <c r="J2853" t="s">
        <v>149</v>
      </c>
      <c r="K2853">
        <v>6</v>
      </c>
      <c r="L2853" s="1">
        <v>111062.28</v>
      </c>
      <c r="M2853" s="1" t="str" cm="1">
        <f t="array" ref="M28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53" t="s">
        <v>66</v>
      </c>
      <c r="O2853" t="s">
        <v>265</v>
      </c>
      <c r="P2853" s="2" t="s">
        <v>389</v>
      </c>
      <c r="Q2853">
        <v>5</v>
      </c>
      <c r="R2853" t="s">
        <v>392</v>
      </c>
      <c r="S2853" s="1">
        <f>electric_vehicles_dataset[[#This Row],[Units_Sold_2024]]*electric_vehicles_dataset[[#This Row],[Price_USD]]</f>
        <v>1826863443.72</v>
      </c>
      <c r="T2853">
        <v>3</v>
      </c>
      <c r="U2853">
        <v>16449</v>
      </c>
      <c r="V2853">
        <v>3</v>
      </c>
    </row>
    <row r="2854" spans="1:22" x14ac:dyDescent="0.35">
      <c r="A2854">
        <v>2853</v>
      </c>
      <c r="B2854" t="s">
        <v>51</v>
      </c>
      <c r="C2854" t="s">
        <v>162</v>
      </c>
      <c r="D2854">
        <v>2024</v>
      </c>
      <c r="E2854" t="s">
        <v>84</v>
      </c>
      <c r="F2854">
        <v>38.299999999999997</v>
      </c>
      <c r="G2854" t="s">
        <v>357</v>
      </c>
      <c r="H2854">
        <f>electric_vehicles_dataset[[#This Row],[Battery_Capacity_kWh]]/electric_vehicles_dataset[[#This Row],[Range_km]]</f>
        <v>0.20591397849462365</v>
      </c>
      <c r="I2854">
        <v>186</v>
      </c>
      <c r="J2854" t="s">
        <v>76</v>
      </c>
      <c r="K2854">
        <v>2</v>
      </c>
      <c r="L2854" s="1">
        <v>147304.53</v>
      </c>
      <c r="M2854" s="1" t="str" cm="1">
        <f t="array" ref="M285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54" t="s">
        <v>175</v>
      </c>
      <c r="O2854" t="s">
        <v>139</v>
      </c>
      <c r="P2854" s="2" t="s">
        <v>389</v>
      </c>
      <c r="Q2854">
        <v>4</v>
      </c>
      <c r="R2854" t="s">
        <v>392</v>
      </c>
      <c r="S2854" s="1">
        <f>electric_vehicles_dataset[[#This Row],[Units_Sold_2024]]*electric_vehicles_dataset[[#This Row],[Price_USD]]</f>
        <v>541049538.68999994</v>
      </c>
      <c r="T2854">
        <v>5</v>
      </c>
      <c r="U2854">
        <v>3673</v>
      </c>
      <c r="V2854">
        <v>4</v>
      </c>
    </row>
    <row r="2855" spans="1:22" x14ac:dyDescent="0.35">
      <c r="A2855">
        <v>2854</v>
      </c>
      <c r="B2855" t="s">
        <v>193</v>
      </c>
      <c r="C2855" t="s">
        <v>312</v>
      </c>
      <c r="D2855">
        <v>2015</v>
      </c>
      <c r="E2855" t="s">
        <v>130</v>
      </c>
      <c r="F2855">
        <v>146</v>
      </c>
      <c r="G2855" t="s">
        <v>386</v>
      </c>
      <c r="H2855">
        <f>electric_vehicles_dataset[[#This Row],[Battery_Capacity_kWh]]/electric_vehicles_dataset[[#This Row],[Range_km]]</f>
        <v>0.90683229813664601</v>
      </c>
      <c r="I2855">
        <v>161</v>
      </c>
      <c r="J2855" t="s">
        <v>85</v>
      </c>
      <c r="K2855">
        <v>5</v>
      </c>
      <c r="L2855" s="1">
        <v>138432.79</v>
      </c>
      <c r="M2855" s="1" t="str" cm="1">
        <f t="array" ref="M285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55" t="s">
        <v>152</v>
      </c>
      <c r="O2855" t="s">
        <v>202</v>
      </c>
      <c r="P2855" s="2" t="s">
        <v>393</v>
      </c>
      <c r="Q2855">
        <v>2</v>
      </c>
      <c r="R2855" t="s">
        <v>391</v>
      </c>
      <c r="S2855" s="1">
        <f>electric_vehicles_dataset[[#This Row],[Units_Sold_2024]]*electric_vehicles_dataset[[#This Row],[Price_USD]]</f>
        <v>723449760.54000008</v>
      </c>
      <c r="T2855">
        <v>5</v>
      </c>
      <c r="U2855">
        <v>5226</v>
      </c>
      <c r="V2855">
        <v>5</v>
      </c>
    </row>
    <row r="2856" spans="1:22" x14ac:dyDescent="0.35">
      <c r="A2856">
        <v>2855</v>
      </c>
      <c r="B2856" t="s">
        <v>153</v>
      </c>
      <c r="C2856" t="s">
        <v>154</v>
      </c>
      <c r="D2856">
        <v>2018</v>
      </c>
      <c r="E2856" t="s">
        <v>17</v>
      </c>
      <c r="F2856">
        <v>98.5</v>
      </c>
      <c r="G2856" t="s">
        <v>350</v>
      </c>
      <c r="H2856">
        <f>electric_vehicles_dataset[[#This Row],[Battery_Capacity_kWh]]/electric_vehicles_dataset[[#This Row],[Range_km]]</f>
        <v>0.30781249999999999</v>
      </c>
      <c r="I2856">
        <v>320</v>
      </c>
      <c r="J2856" t="s">
        <v>149</v>
      </c>
      <c r="K2856">
        <v>5</v>
      </c>
      <c r="L2856" s="1">
        <v>135571.29999999999</v>
      </c>
      <c r="M2856" s="1" t="str" cm="1">
        <f t="array" ref="M285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56" t="s">
        <v>238</v>
      </c>
      <c r="O2856" t="s">
        <v>354</v>
      </c>
      <c r="P2856" s="2" t="s">
        <v>394</v>
      </c>
      <c r="Q2856">
        <v>5</v>
      </c>
      <c r="R2856" t="s">
        <v>392</v>
      </c>
      <c r="S2856" s="1">
        <f>electric_vehicles_dataset[[#This Row],[Units_Sold_2024]]*electric_vehicles_dataset[[#This Row],[Price_USD]]</f>
        <v>631626686.69999993</v>
      </c>
      <c r="T2856">
        <v>3</v>
      </c>
      <c r="U2856">
        <v>4659</v>
      </c>
      <c r="V2856">
        <v>3</v>
      </c>
    </row>
    <row r="2857" spans="1:22" x14ac:dyDescent="0.35">
      <c r="A2857">
        <v>2856</v>
      </c>
      <c r="B2857" t="s">
        <v>180</v>
      </c>
      <c r="C2857" t="s">
        <v>379</v>
      </c>
      <c r="D2857">
        <v>2022</v>
      </c>
      <c r="E2857" t="s">
        <v>58</v>
      </c>
      <c r="F2857">
        <v>135.69999999999999</v>
      </c>
      <c r="G2857" t="s">
        <v>352</v>
      </c>
      <c r="H2857">
        <f>electric_vehicles_dataset[[#This Row],[Battery_Capacity_kWh]]/electric_vehicles_dataset[[#This Row],[Range_km]]</f>
        <v>0.25896946564885492</v>
      </c>
      <c r="I2857">
        <v>524</v>
      </c>
      <c r="J2857" t="s">
        <v>353</v>
      </c>
      <c r="K2857">
        <v>5</v>
      </c>
      <c r="L2857" s="1">
        <v>110835.13</v>
      </c>
      <c r="M2857" s="1" t="str" cm="1">
        <f t="array" ref="M285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57" t="s">
        <v>102</v>
      </c>
      <c r="O2857" t="s">
        <v>265</v>
      </c>
      <c r="P2857" s="2" t="s">
        <v>389</v>
      </c>
      <c r="Q2857">
        <v>2</v>
      </c>
      <c r="R2857" t="s">
        <v>391</v>
      </c>
      <c r="S2857" s="1">
        <f>electric_vehicles_dataset[[#This Row],[Units_Sold_2024]]*electric_vehicles_dataset[[#This Row],[Price_USD]]</f>
        <v>1703314277.8400002</v>
      </c>
      <c r="T2857">
        <v>3</v>
      </c>
      <c r="U2857">
        <v>15368</v>
      </c>
      <c r="V2857">
        <v>3</v>
      </c>
    </row>
    <row r="2858" spans="1:22" x14ac:dyDescent="0.35">
      <c r="A2858">
        <v>2857</v>
      </c>
      <c r="B2858" t="s">
        <v>94</v>
      </c>
      <c r="C2858" t="s">
        <v>360</v>
      </c>
      <c r="D2858">
        <v>2022</v>
      </c>
      <c r="E2858" t="s">
        <v>133</v>
      </c>
      <c r="F2858">
        <v>63.8</v>
      </c>
      <c r="G2858" t="s">
        <v>351</v>
      </c>
      <c r="H2858">
        <f>electric_vehicles_dataset[[#This Row],[Battery_Capacity_kWh]]/electric_vehicles_dataset[[#This Row],[Range_km]]</f>
        <v>0.48333333333333334</v>
      </c>
      <c r="I2858">
        <v>132</v>
      </c>
      <c r="J2858" t="s">
        <v>54</v>
      </c>
      <c r="K2858">
        <v>5</v>
      </c>
      <c r="L2858" s="1">
        <v>74184.350000000006</v>
      </c>
      <c r="M2858" s="1" t="str" cm="1">
        <f t="array" ref="M285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58" t="s">
        <v>22</v>
      </c>
      <c r="O2858" t="s">
        <v>354</v>
      </c>
      <c r="P2858" s="2" t="s">
        <v>394</v>
      </c>
      <c r="Q2858">
        <v>0</v>
      </c>
      <c r="R2858" t="s">
        <v>390</v>
      </c>
      <c r="S2858" s="1">
        <f>electric_vehicles_dataset[[#This Row],[Units_Sold_2024]]*electric_vehicles_dataset[[#This Row],[Price_USD]]</f>
        <v>1036800475.6</v>
      </c>
      <c r="T2858">
        <v>3</v>
      </c>
      <c r="U2858">
        <v>13976</v>
      </c>
      <c r="V2858">
        <v>5</v>
      </c>
    </row>
    <row r="2859" spans="1:22" x14ac:dyDescent="0.35">
      <c r="A2859">
        <v>2858</v>
      </c>
      <c r="B2859" t="s">
        <v>41</v>
      </c>
      <c r="C2859" t="s">
        <v>148</v>
      </c>
      <c r="D2859">
        <v>2019</v>
      </c>
      <c r="E2859" t="s">
        <v>130</v>
      </c>
      <c r="F2859">
        <v>45.5</v>
      </c>
      <c r="G2859" t="s">
        <v>348</v>
      </c>
      <c r="H2859">
        <f>electric_vehicles_dataset[[#This Row],[Battery_Capacity_kWh]]/electric_vehicles_dataset[[#This Row],[Range_km]]</f>
        <v>0.17432950191570881</v>
      </c>
      <c r="I2859">
        <v>261</v>
      </c>
      <c r="J2859" t="s">
        <v>358</v>
      </c>
      <c r="K2859">
        <v>11</v>
      </c>
      <c r="L2859" s="1">
        <v>60513.2</v>
      </c>
      <c r="M2859" s="1" t="str" cm="1">
        <f t="array" ref="M285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59" t="s">
        <v>271</v>
      </c>
      <c r="O2859" t="s">
        <v>236</v>
      </c>
      <c r="P2859" s="2" t="s">
        <v>394</v>
      </c>
      <c r="Q2859">
        <v>4</v>
      </c>
      <c r="R2859" t="s">
        <v>392</v>
      </c>
      <c r="S2859" s="1">
        <f>electric_vehicles_dataset[[#This Row],[Units_Sold_2024]]*electric_vehicles_dataset[[#This Row],[Price_USD]]</f>
        <v>75338934</v>
      </c>
      <c r="T2859">
        <v>3</v>
      </c>
      <c r="U2859">
        <v>1245</v>
      </c>
      <c r="V2859">
        <v>5</v>
      </c>
    </row>
    <row r="2860" spans="1:22" x14ac:dyDescent="0.35">
      <c r="A2860">
        <v>2859</v>
      </c>
      <c r="B2860" t="s">
        <v>144</v>
      </c>
      <c r="C2860" t="s">
        <v>273</v>
      </c>
      <c r="D2860">
        <v>2019</v>
      </c>
      <c r="E2860" t="s">
        <v>104</v>
      </c>
      <c r="F2860">
        <v>27.4</v>
      </c>
      <c r="G2860" t="s">
        <v>357</v>
      </c>
      <c r="H2860">
        <f>electric_vehicles_dataset[[#This Row],[Battery_Capacity_kWh]]/electric_vehicles_dataset[[#This Row],[Range_km]]</f>
        <v>7.465940054495912E-2</v>
      </c>
      <c r="I2860">
        <v>367</v>
      </c>
      <c r="J2860" t="s">
        <v>48</v>
      </c>
      <c r="K2860">
        <v>4</v>
      </c>
      <c r="L2860" s="1">
        <v>81672.75</v>
      </c>
      <c r="M2860" s="1" t="str" cm="1">
        <f t="array" ref="M286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60" t="s">
        <v>127</v>
      </c>
      <c r="O2860" t="s">
        <v>236</v>
      </c>
      <c r="P2860" s="2" t="s">
        <v>394</v>
      </c>
      <c r="Q2860">
        <v>4</v>
      </c>
      <c r="R2860" t="s">
        <v>392</v>
      </c>
      <c r="S2860" s="1">
        <f>electric_vehicles_dataset[[#This Row],[Units_Sold_2024]]*electric_vehicles_dataset[[#This Row],[Price_USD]]</f>
        <v>791082256.5</v>
      </c>
      <c r="T2860">
        <v>4</v>
      </c>
      <c r="U2860">
        <v>9686</v>
      </c>
      <c r="V2860">
        <v>3</v>
      </c>
    </row>
    <row r="2861" spans="1:22" x14ac:dyDescent="0.35">
      <c r="A2861">
        <v>2860</v>
      </c>
      <c r="B2861" t="s">
        <v>262</v>
      </c>
      <c r="C2861" t="s">
        <v>263</v>
      </c>
      <c r="D2861">
        <v>2021</v>
      </c>
      <c r="E2861" t="s">
        <v>84</v>
      </c>
      <c r="F2861">
        <v>41.8</v>
      </c>
      <c r="G2861" t="s">
        <v>348</v>
      </c>
      <c r="H2861">
        <f>electric_vehicles_dataset[[#This Row],[Battery_Capacity_kWh]]/electric_vehicles_dataset[[#This Row],[Range_km]]</f>
        <v>0.14666666666666667</v>
      </c>
      <c r="I2861">
        <v>285</v>
      </c>
      <c r="J2861" t="s">
        <v>85</v>
      </c>
      <c r="K2861">
        <v>4</v>
      </c>
      <c r="L2861" s="1">
        <v>138967.96</v>
      </c>
      <c r="M2861" s="1" t="str" cm="1">
        <f t="array" ref="M286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61" t="s">
        <v>55</v>
      </c>
      <c r="O2861" t="s">
        <v>20</v>
      </c>
      <c r="P2861" s="2" t="s">
        <v>389</v>
      </c>
      <c r="Q2861">
        <v>5</v>
      </c>
      <c r="R2861" t="s">
        <v>392</v>
      </c>
      <c r="S2861" s="1">
        <f>electric_vehicles_dataset[[#This Row],[Units_Sold_2024]]*electric_vehicles_dataset[[#This Row],[Price_USD]]</f>
        <v>2486136804.3999996</v>
      </c>
      <c r="T2861">
        <v>3</v>
      </c>
      <c r="U2861">
        <v>17890</v>
      </c>
      <c r="V2861">
        <v>3</v>
      </c>
    </row>
    <row r="2862" spans="1:22" x14ac:dyDescent="0.35">
      <c r="A2862">
        <v>2861</v>
      </c>
      <c r="B2862" t="s">
        <v>261</v>
      </c>
      <c r="C2862" t="s">
        <v>278</v>
      </c>
      <c r="D2862">
        <v>2019</v>
      </c>
      <c r="E2862" t="s">
        <v>53</v>
      </c>
      <c r="F2862">
        <v>29</v>
      </c>
      <c r="G2862" t="s">
        <v>357</v>
      </c>
      <c r="H2862">
        <f>electric_vehicles_dataset[[#This Row],[Battery_Capacity_kWh]]/electric_vehicles_dataset[[#This Row],[Range_km]]</f>
        <v>0.10034602076124567</v>
      </c>
      <c r="I2862">
        <v>289</v>
      </c>
      <c r="J2862" t="s">
        <v>105</v>
      </c>
      <c r="K2862">
        <v>8</v>
      </c>
      <c r="L2862" s="1">
        <v>41545.760000000002</v>
      </c>
      <c r="M2862" s="1" t="str" cm="1">
        <f t="array" ref="M286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62" t="s">
        <v>100</v>
      </c>
      <c r="O2862" t="s">
        <v>236</v>
      </c>
      <c r="P2862" s="2" t="s">
        <v>394</v>
      </c>
      <c r="Q2862">
        <v>2</v>
      </c>
      <c r="R2862" t="s">
        <v>391</v>
      </c>
      <c r="S2862" s="1">
        <f>electric_vehicles_dataset[[#This Row],[Units_Sold_2024]]*electric_vehicles_dataset[[#This Row],[Price_USD]]</f>
        <v>753764723.68000007</v>
      </c>
      <c r="T2862">
        <v>3</v>
      </c>
      <c r="U2862">
        <v>18143</v>
      </c>
      <c r="V2862">
        <v>3</v>
      </c>
    </row>
    <row r="2863" spans="1:22" x14ac:dyDescent="0.35">
      <c r="A2863">
        <v>2862</v>
      </c>
      <c r="B2863" t="s">
        <v>96</v>
      </c>
      <c r="C2863" t="s">
        <v>292</v>
      </c>
      <c r="D2863">
        <v>2024</v>
      </c>
      <c r="E2863" t="s">
        <v>31</v>
      </c>
      <c r="F2863">
        <v>47.5</v>
      </c>
      <c r="G2863" t="s">
        <v>348</v>
      </c>
      <c r="H2863">
        <f>electric_vehicles_dataset[[#This Row],[Battery_Capacity_kWh]]/electric_vehicles_dataset[[#This Row],[Range_km]]</f>
        <v>8.8951310861423216E-2</v>
      </c>
      <c r="I2863">
        <v>534</v>
      </c>
      <c r="J2863" t="s">
        <v>34</v>
      </c>
      <c r="K2863">
        <v>8</v>
      </c>
      <c r="L2863" s="1">
        <v>138456.63</v>
      </c>
      <c r="M2863" s="1" t="str" cm="1">
        <f t="array" ref="M286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63" t="s">
        <v>301</v>
      </c>
      <c r="O2863" t="s">
        <v>107</v>
      </c>
      <c r="P2863" s="2" t="s">
        <v>394</v>
      </c>
      <c r="Q2863">
        <v>4</v>
      </c>
      <c r="R2863" t="s">
        <v>392</v>
      </c>
      <c r="S2863" s="1">
        <f>electric_vehicles_dataset[[#This Row],[Units_Sold_2024]]*electric_vehicles_dataset[[#This Row],[Price_USD]]</f>
        <v>1969268648.49</v>
      </c>
      <c r="T2863">
        <v>4</v>
      </c>
      <c r="U2863">
        <v>14223</v>
      </c>
      <c r="V2863">
        <v>3</v>
      </c>
    </row>
    <row r="2864" spans="1:22" x14ac:dyDescent="0.35">
      <c r="A2864">
        <v>2863</v>
      </c>
      <c r="B2864" t="s">
        <v>60</v>
      </c>
      <c r="C2864" t="s">
        <v>233</v>
      </c>
      <c r="D2864">
        <v>2015</v>
      </c>
      <c r="E2864" t="s">
        <v>183</v>
      </c>
      <c r="F2864">
        <v>129.30000000000001</v>
      </c>
      <c r="G2864" t="s">
        <v>352</v>
      </c>
      <c r="H2864">
        <f>electric_vehicles_dataset[[#This Row],[Battery_Capacity_kWh]]/electric_vehicles_dataset[[#This Row],[Range_km]]</f>
        <v>0.43830508474576274</v>
      </c>
      <c r="I2864">
        <v>295</v>
      </c>
      <c r="J2864" t="s">
        <v>54</v>
      </c>
      <c r="K2864">
        <v>5</v>
      </c>
      <c r="L2864" s="1">
        <v>116502.32</v>
      </c>
      <c r="M2864" s="1" t="str" cm="1">
        <f t="array" ref="M286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64" t="s">
        <v>142</v>
      </c>
      <c r="O2864" t="s">
        <v>226</v>
      </c>
      <c r="P2864" s="2" t="s">
        <v>395</v>
      </c>
      <c r="Q2864">
        <v>3</v>
      </c>
      <c r="R2864" t="s">
        <v>397</v>
      </c>
      <c r="S2864" s="1">
        <f>electric_vehicles_dataset[[#This Row],[Units_Sold_2024]]*electric_vehicles_dataset[[#This Row],[Price_USD]]</f>
        <v>1263118153.4400001</v>
      </c>
      <c r="T2864">
        <v>3</v>
      </c>
      <c r="U2864">
        <v>10842</v>
      </c>
      <c r="V2864">
        <v>3</v>
      </c>
    </row>
    <row r="2865" spans="1:22" x14ac:dyDescent="0.35">
      <c r="A2865">
        <v>2864</v>
      </c>
      <c r="B2865" t="s">
        <v>21</v>
      </c>
      <c r="C2865" t="s">
        <v>363</v>
      </c>
      <c r="D2865">
        <v>2020</v>
      </c>
      <c r="E2865" t="s">
        <v>84</v>
      </c>
      <c r="F2865">
        <v>116.8</v>
      </c>
      <c r="G2865" t="s">
        <v>361</v>
      </c>
      <c r="H2865">
        <f>electric_vehicles_dataset[[#This Row],[Battery_Capacity_kWh]]/electric_vehicles_dataset[[#This Row],[Range_km]]</f>
        <v>0.84028776978417263</v>
      </c>
      <c r="I2865">
        <v>139</v>
      </c>
      <c r="J2865" t="s">
        <v>54</v>
      </c>
      <c r="K2865">
        <v>3</v>
      </c>
      <c r="L2865" s="1">
        <v>148103.98000000001</v>
      </c>
      <c r="M2865" s="1" t="str" cm="1">
        <f t="array" ref="M286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65" t="s">
        <v>59</v>
      </c>
      <c r="O2865" t="s">
        <v>167</v>
      </c>
      <c r="P2865" s="2" t="s">
        <v>394</v>
      </c>
      <c r="Q2865">
        <v>2</v>
      </c>
      <c r="R2865" t="s">
        <v>391</v>
      </c>
      <c r="S2865" s="1">
        <f>electric_vehicles_dataset[[#This Row],[Units_Sold_2024]]*electric_vehicles_dataset[[#This Row],[Price_USD]]</f>
        <v>2815308555.8200002</v>
      </c>
      <c r="T2865">
        <v>4</v>
      </c>
      <c r="U2865">
        <v>19009</v>
      </c>
      <c r="V2865">
        <v>5</v>
      </c>
    </row>
    <row r="2866" spans="1:22" x14ac:dyDescent="0.35">
      <c r="A2866">
        <v>2865</v>
      </c>
      <c r="B2866" t="s">
        <v>220</v>
      </c>
      <c r="C2866" t="s">
        <v>274</v>
      </c>
      <c r="D2866">
        <v>2016</v>
      </c>
      <c r="E2866" t="s">
        <v>84</v>
      </c>
      <c r="F2866">
        <v>38.799999999999997</v>
      </c>
      <c r="G2866" t="s">
        <v>357</v>
      </c>
      <c r="H2866">
        <f>electric_vehicles_dataset[[#This Row],[Battery_Capacity_kWh]]/electric_vehicles_dataset[[#This Row],[Range_km]]</f>
        <v>0.14057971014492754</v>
      </c>
      <c r="I2866">
        <v>276</v>
      </c>
      <c r="J2866" t="s">
        <v>38</v>
      </c>
      <c r="K2866">
        <v>9</v>
      </c>
      <c r="L2866" s="1">
        <v>42848.21</v>
      </c>
      <c r="M2866" s="1" t="str" cm="1">
        <f t="array" ref="M286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66" t="s">
        <v>100</v>
      </c>
      <c r="O2866" t="s">
        <v>121</v>
      </c>
      <c r="P2866" s="2" t="s">
        <v>398</v>
      </c>
      <c r="Q2866">
        <v>1</v>
      </c>
      <c r="R2866" t="s">
        <v>391</v>
      </c>
      <c r="S2866" s="1">
        <f>electric_vehicles_dataset[[#This Row],[Units_Sold_2024]]*electric_vehicles_dataset[[#This Row],[Price_USD]]</f>
        <v>345527965.44</v>
      </c>
      <c r="T2866">
        <v>3</v>
      </c>
      <c r="U2866">
        <v>8064</v>
      </c>
      <c r="V2866">
        <v>3</v>
      </c>
    </row>
    <row r="2867" spans="1:22" x14ac:dyDescent="0.35">
      <c r="A2867">
        <v>2866</v>
      </c>
      <c r="B2867" t="s">
        <v>94</v>
      </c>
      <c r="C2867" t="s">
        <v>360</v>
      </c>
      <c r="D2867">
        <v>2023</v>
      </c>
      <c r="E2867" t="s">
        <v>183</v>
      </c>
      <c r="F2867">
        <v>73.2</v>
      </c>
      <c r="G2867" t="s">
        <v>351</v>
      </c>
      <c r="H2867">
        <f>electric_vehicles_dataset[[#This Row],[Battery_Capacity_kWh]]/electric_vehicles_dataset[[#This Row],[Range_km]]</f>
        <v>0.13916349809885933</v>
      </c>
      <c r="I2867">
        <v>526</v>
      </c>
      <c r="J2867" t="s">
        <v>48</v>
      </c>
      <c r="K2867">
        <v>7</v>
      </c>
      <c r="L2867" s="1">
        <v>145742.67000000001</v>
      </c>
      <c r="M2867" s="1" t="str" cm="1">
        <f t="array" ref="M286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67" t="s">
        <v>142</v>
      </c>
      <c r="O2867" t="s">
        <v>182</v>
      </c>
      <c r="P2867" s="2" t="s">
        <v>394</v>
      </c>
      <c r="Q2867">
        <v>4</v>
      </c>
      <c r="R2867" t="s">
        <v>392</v>
      </c>
      <c r="S2867" s="1">
        <f>electric_vehicles_dataset[[#This Row],[Units_Sold_2024]]*electric_vehicles_dataset[[#This Row],[Price_USD]]</f>
        <v>979682227.74000013</v>
      </c>
      <c r="T2867">
        <v>5</v>
      </c>
      <c r="U2867">
        <v>6722</v>
      </c>
      <c r="V2867">
        <v>5</v>
      </c>
    </row>
    <row r="2868" spans="1:22" x14ac:dyDescent="0.35">
      <c r="A2868">
        <v>2867</v>
      </c>
      <c r="B2868" t="s">
        <v>193</v>
      </c>
      <c r="C2868" t="s">
        <v>194</v>
      </c>
      <c r="D2868">
        <v>2020</v>
      </c>
      <c r="E2868" t="s">
        <v>31</v>
      </c>
      <c r="F2868">
        <v>22</v>
      </c>
      <c r="G2868" t="s">
        <v>357</v>
      </c>
      <c r="H2868">
        <f>electric_vehicles_dataset[[#This Row],[Battery_Capacity_kWh]]/electric_vehicles_dataset[[#This Row],[Range_km]]</f>
        <v>6.8535825545171333E-2</v>
      </c>
      <c r="I2868">
        <v>321</v>
      </c>
      <c r="J2868" t="s">
        <v>356</v>
      </c>
      <c r="K2868">
        <v>3</v>
      </c>
      <c r="L2868" s="1">
        <v>31796.38</v>
      </c>
      <c r="M2868" s="1" t="str" cm="1">
        <f t="array" ref="M286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68" t="s">
        <v>117</v>
      </c>
      <c r="O2868" t="s">
        <v>107</v>
      </c>
      <c r="P2868" s="2" t="s">
        <v>394</v>
      </c>
      <c r="Q2868">
        <v>0</v>
      </c>
      <c r="R2868" t="s">
        <v>390</v>
      </c>
      <c r="S2868" s="1">
        <f>electric_vehicles_dataset[[#This Row],[Units_Sold_2024]]*electric_vehicles_dataset[[#This Row],[Price_USD]]</f>
        <v>19332199.039999999</v>
      </c>
      <c r="T2868">
        <v>4</v>
      </c>
      <c r="U2868">
        <v>608</v>
      </c>
      <c r="V2868">
        <v>3</v>
      </c>
    </row>
    <row r="2869" spans="1:22" x14ac:dyDescent="0.35">
      <c r="A2869">
        <v>2868</v>
      </c>
      <c r="B2869" t="s">
        <v>269</v>
      </c>
      <c r="C2869" t="s">
        <v>340</v>
      </c>
      <c r="D2869">
        <v>2025</v>
      </c>
      <c r="E2869" t="s">
        <v>130</v>
      </c>
      <c r="F2869">
        <v>80.3</v>
      </c>
      <c r="G2869" t="s">
        <v>350</v>
      </c>
      <c r="H2869">
        <f>electric_vehicles_dataset[[#This Row],[Battery_Capacity_kWh]]/electric_vehicles_dataset[[#This Row],[Range_km]]</f>
        <v>0.26327868852459013</v>
      </c>
      <c r="I2869">
        <v>305</v>
      </c>
      <c r="J2869" t="s">
        <v>18</v>
      </c>
      <c r="K2869">
        <v>9</v>
      </c>
      <c r="L2869" s="1">
        <v>134518.70000000001</v>
      </c>
      <c r="M2869" s="1" t="str" cm="1">
        <f t="array" ref="M286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69" t="s">
        <v>98</v>
      </c>
      <c r="O2869" t="s">
        <v>147</v>
      </c>
      <c r="P2869" s="2" t="s">
        <v>396</v>
      </c>
      <c r="Q2869">
        <v>2</v>
      </c>
      <c r="R2869" t="s">
        <v>391</v>
      </c>
      <c r="S2869" s="1">
        <f>electric_vehicles_dataset[[#This Row],[Units_Sold_2024]]*electric_vehicles_dataset[[#This Row],[Price_USD]]</f>
        <v>2550474552</v>
      </c>
      <c r="T2869">
        <v>3</v>
      </c>
      <c r="U2869">
        <v>18960</v>
      </c>
      <c r="V2869">
        <v>4</v>
      </c>
    </row>
    <row r="2870" spans="1:22" x14ac:dyDescent="0.35">
      <c r="A2870">
        <v>2869</v>
      </c>
      <c r="B2870" t="s">
        <v>108</v>
      </c>
      <c r="C2870" t="s">
        <v>308</v>
      </c>
      <c r="D2870">
        <v>2020</v>
      </c>
      <c r="E2870" t="s">
        <v>130</v>
      </c>
      <c r="F2870">
        <v>58.1</v>
      </c>
      <c r="G2870" t="s">
        <v>348</v>
      </c>
      <c r="H2870">
        <f>electric_vehicles_dataset[[#This Row],[Battery_Capacity_kWh]]/electric_vehicles_dataset[[#This Row],[Range_km]]</f>
        <v>0.10265017667844523</v>
      </c>
      <c r="I2870">
        <v>566</v>
      </c>
      <c r="J2870" t="s">
        <v>54</v>
      </c>
      <c r="K2870">
        <v>5</v>
      </c>
      <c r="L2870" s="1">
        <v>114799.75</v>
      </c>
      <c r="M2870" s="1" t="str" cm="1">
        <f t="array" ref="M287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70" t="s">
        <v>301</v>
      </c>
      <c r="O2870" t="s">
        <v>199</v>
      </c>
      <c r="P2870" s="2" t="s">
        <v>394</v>
      </c>
      <c r="Q2870">
        <v>0</v>
      </c>
      <c r="R2870" t="s">
        <v>390</v>
      </c>
      <c r="S2870" s="1">
        <f>electric_vehicles_dataset[[#This Row],[Units_Sold_2024]]*electric_vehicles_dataset[[#This Row],[Price_USD]]</f>
        <v>1632452445</v>
      </c>
      <c r="T2870">
        <v>4</v>
      </c>
      <c r="U2870">
        <v>14220</v>
      </c>
      <c r="V2870">
        <v>4</v>
      </c>
    </row>
    <row r="2871" spans="1:22" x14ac:dyDescent="0.35">
      <c r="A2871">
        <v>2870</v>
      </c>
      <c r="B2871" t="s">
        <v>192</v>
      </c>
      <c r="C2871" t="s">
        <v>366</v>
      </c>
      <c r="D2871">
        <v>2025</v>
      </c>
      <c r="E2871" t="s">
        <v>133</v>
      </c>
      <c r="F2871">
        <v>51.9</v>
      </c>
      <c r="G2871" t="s">
        <v>348</v>
      </c>
      <c r="H2871">
        <f>electric_vehicles_dataset[[#This Row],[Battery_Capacity_kWh]]/electric_vehicles_dataset[[#This Row],[Range_km]]</f>
        <v>0.10484848484848484</v>
      </c>
      <c r="I2871">
        <v>495</v>
      </c>
      <c r="J2871" t="s">
        <v>38</v>
      </c>
      <c r="K2871">
        <v>9</v>
      </c>
      <c r="L2871" s="1">
        <v>74719.02</v>
      </c>
      <c r="M2871" s="1" t="str" cm="1">
        <f t="array" ref="M287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71" t="s">
        <v>214</v>
      </c>
      <c r="O2871" t="s">
        <v>199</v>
      </c>
      <c r="P2871" s="2" t="s">
        <v>394</v>
      </c>
      <c r="Q2871">
        <v>4</v>
      </c>
      <c r="R2871" t="s">
        <v>392</v>
      </c>
      <c r="S2871" s="1">
        <f>electric_vehicles_dataset[[#This Row],[Units_Sold_2024]]*electric_vehicles_dataset[[#This Row],[Price_USD]]</f>
        <v>923302930.1400001</v>
      </c>
      <c r="T2871">
        <v>5</v>
      </c>
      <c r="U2871">
        <v>12357</v>
      </c>
      <c r="V2871">
        <v>3</v>
      </c>
    </row>
    <row r="2872" spans="1:22" x14ac:dyDescent="0.35">
      <c r="A2872">
        <v>2871</v>
      </c>
      <c r="B2872" t="s">
        <v>269</v>
      </c>
      <c r="C2872" t="s">
        <v>340</v>
      </c>
      <c r="D2872">
        <v>2018</v>
      </c>
      <c r="E2872" t="s">
        <v>101</v>
      </c>
      <c r="F2872">
        <v>113.1</v>
      </c>
      <c r="G2872" t="s">
        <v>361</v>
      </c>
      <c r="H2872">
        <f>electric_vehicles_dataset[[#This Row],[Battery_Capacity_kWh]]/electric_vehicles_dataset[[#This Row],[Range_km]]</f>
        <v>0.53601895734597149</v>
      </c>
      <c r="I2872">
        <v>211</v>
      </c>
      <c r="J2872" t="s">
        <v>85</v>
      </c>
      <c r="K2872">
        <v>12</v>
      </c>
      <c r="L2872" s="1">
        <v>143732.41</v>
      </c>
      <c r="M2872" s="1" t="str" cm="1">
        <f t="array" ref="M287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72" t="s">
        <v>214</v>
      </c>
      <c r="O2872" t="s">
        <v>95</v>
      </c>
      <c r="P2872" s="2" t="s">
        <v>394</v>
      </c>
      <c r="Q2872">
        <v>5</v>
      </c>
      <c r="R2872" t="s">
        <v>392</v>
      </c>
      <c r="S2872" s="1">
        <f>electric_vehicles_dataset[[#This Row],[Units_Sold_2024]]*electric_vehicles_dataset[[#This Row],[Price_USD]]</f>
        <v>1537505589.77</v>
      </c>
      <c r="T2872">
        <v>3</v>
      </c>
      <c r="U2872">
        <v>10697</v>
      </c>
      <c r="V2872">
        <v>4</v>
      </c>
    </row>
    <row r="2873" spans="1:22" x14ac:dyDescent="0.35">
      <c r="A2873">
        <v>2872</v>
      </c>
      <c r="B2873" t="s">
        <v>36</v>
      </c>
      <c r="C2873" t="s">
        <v>37</v>
      </c>
      <c r="D2873">
        <v>2025</v>
      </c>
      <c r="E2873" t="s">
        <v>183</v>
      </c>
      <c r="F2873">
        <v>146.80000000000001</v>
      </c>
      <c r="G2873" t="s">
        <v>386</v>
      </c>
      <c r="H2873">
        <f>electric_vehicles_dataset[[#This Row],[Battery_Capacity_kWh]]/electric_vehicles_dataset[[#This Row],[Range_km]]</f>
        <v>0.25619546247818503</v>
      </c>
      <c r="I2873">
        <v>573</v>
      </c>
      <c r="J2873" t="s">
        <v>105</v>
      </c>
      <c r="K2873">
        <v>1</v>
      </c>
      <c r="L2873" s="1">
        <v>58028.82</v>
      </c>
      <c r="M2873" s="1" t="str" cm="1">
        <f t="array" ref="M287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73" t="s">
        <v>55</v>
      </c>
      <c r="O2873" t="s">
        <v>135</v>
      </c>
      <c r="P2873" s="2" t="s">
        <v>389</v>
      </c>
      <c r="Q2873">
        <v>3</v>
      </c>
      <c r="R2873" t="s">
        <v>397</v>
      </c>
      <c r="S2873" s="1">
        <f>electric_vehicles_dataset[[#This Row],[Units_Sold_2024]]*electric_vehicles_dataset[[#This Row],[Price_USD]]</f>
        <v>1097673159.1199999</v>
      </c>
      <c r="T2873">
        <v>3</v>
      </c>
      <c r="U2873">
        <v>18916</v>
      </c>
      <c r="V2873">
        <v>5</v>
      </c>
    </row>
    <row r="2874" spans="1:22" x14ac:dyDescent="0.35">
      <c r="A2874">
        <v>2873</v>
      </c>
      <c r="B2874" t="s">
        <v>96</v>
      </c>
      <c r="C2874" t="s">
        <v>116</v>
      </c>
      <c r="D2874">
        <v>2023</v>
      </c>
      <c r="E2874" t="s">
        <v>58</v>
      </c>
      <c r="F2874">
        <v>103.3</v>
      </c>
      <c r="G2874" t="s">
        <v>361</v>
      </c>
      <c r="H2874">
        <f>electric_vehicles_dataset[[#This Row],[Battery_Capacity_kWh]]/electric_vehicles_dataset[[#This Row],[Range_km]]</f>
        <v>0.21387163561076605</v>
      </c>
      <c r="I2874">
        <v>483</v>
      </c>
      <c r="J2874" t="s">
        <v>358</v>
      </c>
      <c r="K2874">
        <v>1</v>
      </c>
      <c r="L2874" s="1">
        <v>72506.7</v>
      </c>
      <c r="M2874" s="1" t="str" cm="1">
        <f t="array" ref="M287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74" t="s">
        <v>254</v>
      </c>
      <c r="O2874" t="s">
        <v>20</v>
      </c>
      <c r="P2874" s="2" t="s">
        <v>389</v>
      </c>
      <c r="Q2874">
        <v>3</v>
      </c>
      <c r="R2874" t="s">
        <v>397</v>
      </c>
      <c r="S2874" s="1">
        <f>electric_vehicles_dataset[[#This Row],[Units_Sold_2024]]*electric_vehicles_dataset[[#This Row],[Price_USD]]</f>
        <v>442073349.89999998</v>
      </c>
      <c r="T2874">
        <v>4</v>
      </c>
      <c r="U2874">
        <v>6097</v>
      </c>
      <c r="V2874">
        <v>3</v>
      </c>
    </row>
    <row r="2875" spans="1:22" x14ac:dyDescent="0.35">
      <c r="A2875">
        <v>2874</v>
      </c>
      <c r="B2875" t="s">
        <v>222</v>
      </c>
      <c r="C2875" t="s">
        <v>231</v>
      </c>
      <c r="D2875">
        <v>2022</v>
      </c>
      <c r="E2875" t="s">
        <v>133</v>
      </c>
      <c r="F2875">
        <v>114.8</v>
      </c>
      <c r="G2875" t="s">
        <v>361</v>
      </c>
      <c r="H2875">
        <f>electric_vehicles_dataset[[#This Row],[Battery_Capacity_kWh]]/electric_vehicles_dataset[[#This Row],[Range_km]]</f>
        <v>0.54666666666666663</v>
      </c>
      <c r="I2875">
        <v>210</v>
      </c>
      <c r="J2875" t="s">
        <v>345</v>
      </c>
      <c r="K2875">
        <v>3</v>
      </c>
      <c r="L2875" s="1">
        <v>35431.1</v>
      </c>
      <c r="M2875" s="1" t="str" cm="1">
        <f t="array" ref="M287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75" t="s">
        <v>205</v>
      </c>
      <c r="O2875" t="s">
        <v>92</v>
      </c>
      <c r="P2875" s="2" t="s">
        <v>394</v>
      </c>
      <c r="Q2875">
        <v>2</v>
      </c>
      <c r="R2875" t="s">
        <v>391</v>
      </c>
      <c r="S2875" s="1">
        <f>electric_vehicles_dataset[[#This Row],[Units_Sold_2024]]*electric_vehicles_dataset[[#This Row],[Price_USD]]</f>
        <v>399910825.69999999</v>
      </c>
      <c r="T2875">
        <v>4</v>
      </c>
      <c r="U2875">
        <v>11287</v>
      </c>
      <c r="V2875">
        <v>5</v>
      </c>
    </row>
    <row r="2876" spans="1:22" x14ac:dyDescent="0.35">
      <c r="A2876">
        <v>2875</v>
      </c>
      <c r="B2876" t="s">
        <v>173</v>
      </c>
      <c r="C2876" t="s">
        <v>306</v>
      </c>
      <c r="D2876">
        <v>2016</v>
      </c>
      <c r="E2876" t="s">
        <v>183</v>
      </c>
      <c r="F2876">
        <v>76.900000000000006</v>
      </c>
      <c r="G2876" t="s">
        <v>351</v>
      </c>
      <c r="H2876">
        <f>electric_vehicles_dataset[[#This Row],[Battery_Capacity_kWh]]/electric_vehicles_dataset[[#This Row],[Range_km]]</f>
        <v>0.19870801033591734</v>
      </c>
      <c r="I2876">
        <v>387</v>
      </c>
      <c r="J2876" t="s">
        <v>18</v>
      </c>
      <c r="K2876">
        <v>5</v>
      </c>
      <c r="L2876" s="1">
        <v>37845.54</v>
      </c>
      <c r="M2876" s="1" t="str" cm="1">
        <f t="array" ref="M287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76" t="s">
        <v>277</v>
      </c>
      <c r="O2876" t="s">
        <v>265</v>
      </c>
      <c r="P2876" s="2" t="s">
        <v>389</v>
      </c>
      <c r="Q2876">
        <v>1</v>
      </c>
      <c r="R2876" t="s">
        <v>391</v>
      </c>
      <c r="S2876" s="1">
        <f>electric_vehicles_dataset[[#This Row],[Units_Sold_2024]]*electric_vehicles_dataset[[#This Row],[Price_USD]]</f>
        <v>668011626.53999996</v>
      </c>
      <c r="T2876">
        <v>4</v>
      </c>
      <c r="U2876">
        <v>17651</v>
      </c>
      <c r="V2876">
        <v>4</v>
      </c>
    </row>
    <row r="2877" spans="1:22" x14ac:dyDescent="0.35">
      <c r="A2877">
        <v>2876</v>
      </c>
      <c r="B2877" t="s">
        <v>170</v>
      </c>
      <c r="C2877" t="s">
        <v>171</v>
      </c>
      <c r="D2877">
        <v>2020</v>
      </c>
      <c r="E2877" t="s">
        <v>133</v>
      </c>
      <c r="F2877">
        <v>35.700000000000003</v>
      </c>
      <c r="G2877" t="s">
        <v>357</v>
      </c>
      <c r="H2877">
        <f>electric_vehicles_dataset[[#This Row],[Battery_Capacity_kWh]]/electric_vehicles_dataset[[#This Row],[Range_km]]</f>
        <v>6.8390804597701152E-2</v>
      </c>
      <c r="I2877">
        <v>522</v>
      </c>
      <c r="J2877" t="s">
        <v>38</v>
      </c>
      <c r="K2877">
        <v>11</v>
      </c>
      <c r="L2877" s="1">
        <v>125220.18</v>
      </c>
      <c r="M2877" s="1" t="str" cm="1">
        <f t="array" ref="M287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77" t="s">
        <v>70</v>
      </c>
      <c r="O2877" t="s">
        <v>111</v>
      </c>
      <c r="P2877" s="2" t="s">
        <v>389</v>
      </c>
      <c r="Q2877">
        <v>1</v>
      </c>
      <c r="R2877" t="s">
        <v>391</v>
      </c>
      <c r="S2877" s="1">
        <f>electric_vehicles_dataset[[#This Row],[Units_Sold_2024]]*electric_vehicles_dataset[[#This Row],[Price_USD]]</f>
        <v>1626610138.1999998</v>
      </c>
      <c r="T2877">
        <v>4</v>
      </c>
      <c r="U2877">
        <v>12990</v>
      </c>
      <c r="V2877">
        <v>5</v>
      </c>
    </row>
    <row r="2878" spans="1:22" x14ac:dyDescent="0.35">
      <c r="A2878">
        <v>2877</v>
      </c>
      <c r="B2878" t="s">
        <v>82</v>
      </c>
      <c r="C2878" t="s">
        <v>281</v>
      </c>
      <c r="D2878">
        <v>2024</v>
      </c>
      <c r="E2878" t="s">
        <v>101</v>
      </c>
      <c r="F2878">
        <v>72.599999999999994</v>
      </c>
      <c r="G2878" t="s">
        <v>351</v>
      </c>
      <c r="H2878">
        <f>electric_vehicles_dataset[[#This Row],[Battery_Capacity_kWh]]/electric_vehicles_dataset[[#This Row],[Range_km]]</f>
        <v>0.33302752293577981</v>
      </c>
      <c r="I2878">
        <v>218</v>
      </c>
      <c r="J2878" t="s">
        <v>356</v>
      </c>
      <c r="K2878">
        <v>8</v>
      </c>
      <c r="L2878" s="1">
        <v>32260.06</v>
      </c>
      <c r="M2878" s="1" t="str" cm="1">
        <f t="array" ref="M287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78" t="s">
        <v>19</v>
      </c>
      <c r="O2878" t="s">
        <v>121</v>
      </c>
      <c r="P2878" s="2" t="s">
        <v>398</v>
      </c>
      <c r="Q2878">
        <v>2</v>
      </c>
      <c r="R2878" t="s">
        <v>391</v>
      </c>
      <c r="S2878" s="1">
        <f>electric_vehicles_dataset[[#This Row],[Units_Sold_2024]]*electric_vehicles_dataset[[#This Row],[Price_USD]]</f>
        <v>315213046.25999999</v>
      </c>
      <c r="T2878">
        <v>3</v>
      </c>
      <c r="U2878">
        <v>9771</v>
      </c>
      <c r="V2878">
        <v>5</v>
      </c>
    </row>
    <row r="2879" spans="1:22" x14ac:dyDescent="0.35">
      <c r="A2879">
        <v>2878</v>
      </c>
      <c r="B2879" t="s">
        <v>68</v>
      </c>
      <c r="C2879" t="s">
        <v>69</v>
      </c>
      <c r="D2879">
        <v>2022</v>
      </c>
      <c r="E2879" t="s">
        <v>47</v>
      </c>
      <c r="F2879">
        <v>115.7</v>
      </c>
      <c r="G2879" t="s">
        <v>361</v>
      </c>
      <c r="H2879">
        <f>electric_vehicles_dataset[[#This Row],[Battery_Capacity_kWh]]/electric_vehicles_dataset[[#This Row],[Range_km]]</f>
        <v>0.20846846846846848</v>
      </c>
      <c r="I2879">
        <v>555</v>
      </c>
      <c r="J2879" t="s">
        <v>48</v>
      </c>
      <c r="K2879">
        <v>5</v>
      </c>
      <c r="L2879" s="1">
        <v>138236.82999999999</v>
      </c>
      <c r="M2879" s="1" t="str" cm="1">
        <f t="array" ref="M2879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79" t="s">
        <v>22</v>
      </c>
      <c r="O2879" t="s">
        <v>121</v>
      </c>
      <c r="P2879" s="2" t="s">
        <v>398</v>
      </c>
      <c r="Q2879">
        <v>0</v>
      </c>
      <c r="R2879" t="s">
        <v>390</v>
      </c>
      <c r="S2879" s="1">
        <f>electric_vehicles_dataset[[#This Row],[Units_Sold_2024]]*electric_vehicles_dataset[[#This Row],[Price_USD]]</f>
        <v>310341683.34999996</v>
      </c>
      <c r="T2879">
        <v>4</v>
      </c>
      <c r="U2879">
        <v>2245</v>
      </c>
      <c r="V2879">
        <v>5</v>
      </c>
    </row>
    <row r="2880" spans="1:22" x14ac:dyDescent="0.35">
      <c r="A2880">
        <v>2879</v>
      </c>
      <c r="B2880" t="s">
        <v>94</v>
      </c>
      <c r="C2880" t="s">
        <v>360</v>
      </c>
      <c r="D2880">
        <v>2015</v>
      </c>
      <c r="E2880" t="s">
        <v>183</v>
      </c>
      <c r="F2880">
        <v>143.5</v>
      </c>
      <c r="G2880" t="s">
        <v>386</v>
      </c>
      <c r="H2880">
        <f>electric_vehicles_dataset[[#This Row],[Battery_Capacity_kWh]]/electric_vehicles_dataset[[#This Row],[Range_km]]</f>
        <v>0.86445783132530118</v>
      </c>
      <c r="I2880">
        <v>166</v>
      </c>
      <c r="J2880" t="s">
        <v>54</v>
      </c>
      <c r="K2880">
        <v>4</v>
      </c>
      <c r="L2880" s="1">
        <v>78257.61</v>
      </c>
      <c r="M2880" s="1" t="str" cm="1">
        <f t="array" ref="M288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80" t="s">
        <v>66</v>
      </c>
      <c r="O2880" t="s">
        <v>86</v>
      </c>
      <c r="P2880" s="2" t="s">
        <v>389</v>
      </c>
      <c r="Q2880">
        <v>1</v>
      </c>
      <c r="R2880" t="s">
        <v>391</v>
      </c>
      <c r="S2880" s="1">
        <f>electric_vehicles_dataset[[#This Row],[Units_Sold_2024]]*electric_vehicles_dataset[[#This Row],[Price_USD]]</f>
        <v>968124893.31000006</v>
      </c>
      <c r="T2880">
        <v>4</v>
      </c>
      <c r="U2880">
        <v>12371</v>
      </c>
      <c r="V2880">
        <v>3</v>
      </c>
    </row>
    <row r="2881" spans="1:22" x14ac:dyDescent="0.35">
      <c r="A2881">
        <v>2880</v>
      </c>
      <c r="B2881" t="s">
        <v>74</v>
      </c>
      <c r="C2881" t="s">
        <v>75</v>
      </c>
      <c r="D2881">
        <v>2018</v>
      </c>
      <c r="E2881" t="s">
        <v>183</v>
      </c>
      <c r="F2881">
        <v>125.1</v>
      </c>
      <c r="G2881" t="s">
        <v>352</v>
      </c>
      <c r="H2881">
        <f>electric_vehicles_dataset[[#This Row],[Battery_Capacity_kWh]]/electric_vehicles_dataset[[#This Row],[Range_km]]</f>
        <v>0.23738140417457304</v>
      </c>
      <c r="I2881">
        <v>527</v>
      </c>
      <c r="J2881" t="s">
        <v>359</v>
      </c>
      <c r="K2881">
        <v>1</v>
      </c>
      <c r="L2881" s="1">
        <v>97676.93</v>
      </c>
      <c r="M2881" s="1" t="str" cm="1">
        <f t="array" ref="M28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81" t="s">
        <v>35</v>
      </c>
      <c r="O2881" t="s">
        <v>20</v>
      </c>
      <c r="P2881" s="2" t="s">
        <v>389</v>
      </c>
      <c r="Q2881">
        <v>1</v>
      </c>
      <c r="R2881" t="s">
        <v>391</v>
      </c>
      <c r="S2881" s="1">
        <f>electric_vehicles_dataset[[#This Row],[Units_Sold_2024]]*electric_vehicles_dataset[[#This Row],[Price_USD]]</f>
        <v>1886629902.9499998</v>
      </c>
      <c r="T2881">
        <v>3</v>
      </c>
      <c r="U2881">
        <v>19315</v>
      </c>
      <c r="V2881">
        <v>5</v>
      </c>
    </row>
    <row r="2882" spans="1:22" x14ac:dyDescent="0.35">
      <c r="A2882">
        <v>2881</v>
      </c>
      <c r="B2882" t="s">
        <v>112</v>
      </c>
      <c r="C2882" t="s">
        <v>237</v>
      </c>
      <c r="D2882">
        <v>2015</v>
      </c>
      <c r="E2882" t="s">
        <v>133</v>
      </c>
      <c r="F2882">
        <v>64.099999999999994</v>
      </c>
      <c r="G2882" t="s">
        <v>351</v>
      </c>
      <c r="H2882">
        <f>electric_vehicles_dataset[[#This Row],[Battery_Capacity_kWh]]/electric_vehicles_dataset[[#This Row],[Range_km]]</f>
        <v>0.14837962962962961</v>
      </c>
      <c r="I2882">
        <v>432</v>
      </c>
      <c r="J2882" t="s">
        <v>353</v>
      </c>
      <c r="K2882">
        <v>1</v>
      </c>
      <c r="L2882" s="1">
        <v>137771.94</v>
      </c>
      <c r="M2882" s="1" t="str" cm="1">
        <f t="array" ref="M288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82" t="s">
        <v>212</v>
      </c>
      <c r="O2882" t="s">
        <v>159</v>
      </c>
      <c r="P2882" s="2" t="s">
        <v>389</v>
      </c>
      <c r="Q2882">
        <v>0</v>
      </c>
      <c r="R2882" t="s">
        <v>390</v>
      </c>
      <c r="S2882" s="1">
        <f>electric_vehicles_dataset[[#This Row],[Units_Sold_2024]]*electric_vehicles_dataset[[#This Row],[Price_USD]]</f>
        <v>1861849997.1600001</v>
      </c>
      <c r="T2882">
        <v>4</v>
      </c>
      <c r="U2882">
        <v>13514</v>
      </c>
      <c r="V2882">
        <v>4</v>
      </c>
    </row>
    <row r="2883" spans="1:22" x14ac:dyDescent="0.35">
      <c r="A2883">
        <v>2882</v>
      </c>
      <c r="B2883" t="s">
        <v>41</v>
      </c>
      <c r="C2883" t="s">
        <v>374</v>
      </c>
      <c r="D2883">
        <v>2022</v>
      </c>
      <c r="E2883" t="s">
        <v>31</v>
      </c>
      <c r="F2883">
        <v>92.9</v>
      </c>
      <c r="G2883" t="s">
        <v>350</v>
      </c>
      <c r="H2883">
        <f>electric_vehicles_dataset[[#This Row],[Battery_Capacity_kWh]]/electric_vehicles_dataset[[#This Row],[Range_km]]</f>
        <v>0.15535117056856187</v>
      </c>
      <c r="I2883">
        <v>598</v>
      </c>
      <c r="J2883" t="s">
        <v>358</v>
      </c>
      <c r="K2883">
        <v>7</v>
      </c>
      <c r="L2883" s="1">
        <v>41491.15</v>
      </c>
      <c r="M2883" s="1" t="str" cm="1">
        <f t="array" ref="M288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83" t="s">
        <v>102</v>
      </c>
      <c r="O2883" t="s">
        <v>226</v>
      </c>
      <c r="P2883" s="2" t="s">
        <v>395</v>
      </c>
      <c r="Q2883">
        <v>5</v>
      </c>
      <c r="R2883" t="s">
        <v>392</v>
      </c>
      <c r="S2883" s="1">
        <f>electric_vehicles_dataset[[#This Row],[Units_Sold_2024]]*electric_vehicles_dataset[[#This Row],[Price_USD]]</f>
        <v>759163571.55000007</v>
      </c>
      <c r="T2883">
        <v>5</v>
      </c>
      <c r="U2883">
        <v>18297</v>
      </c>
      <c r="V2883">
        <v>3</v>
      </c>
    </row>
    <row r="2884" spans="1:22" x14ac:dyDescent="0.35">
      <c r="A2884">
        <v>2883</v>
      </c>
      <c r="B2884" t="s">
        <v>21</v>
      </c>
      <c r="C2884" t="s">
        <v>349</v>
      </c>
      <c r="D2884">
        <v>2020</v>
      </c>
      <c r="E2884" t="s">
        <v>104</v>
      </c>
      <c r="F2884">
        <v>136.69999999999999</v>
      </c>
      <c r="G2884" t="s">
        <v>352</v>
      </c>
      <c r="H2884">
        <f>electric_vehicles_dataset[[#This Row],[Battery_Capacity_kWh]]/electric_vehicles_dataset[[#This Row],[Range_km]]</f>
        <v>0.31281464530892444</v>
      </c>
      <c r="I2884">
        <v>437</v>
      </c>
      <c r="J2884" t="s">
        <v>85</v>
      </c>
      <c r="K2884">
        <v>5</v>
      </c>
      <c r="L2884" s="1">
        <v>90462.37</v>
      </c>
      <c r="M2884" s="1" t="str" cm="1">
        <f t="array" ref="M288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84" t="s">
        <v>100</v>
      </c>
      <c r="O2884" t="s">
        <v>95</v>
      </c>
      <c r="P2884" s="2" t="s">
        <v>394</v>
      </c>
      <c r="Q2884">
        <v>0</v>
      </c>
      <c r="R2884" t="s">
        <v>390</v>
      </c>
      <c r="S2884" s="1">
        <f>electric_vehicles_dataset[[#This Row],[Units_Sold_2024]]*electric_vehicles_dataset[[#This Row],[Price_USD]]</f>
        <v>152157706.34</v>
      </c>
      <c r="T2884">
        <v>4</v>
      </c>
      <c r="U2884">
        <v>1682</v>
      </c>
      <c r="V2884">
        <v>5</v>
      </c>
    </row>
    <row r="2885" spans="1:22" x14ac:dyDescent="0.35">
      <c r="A2885">
        <v>2884</v>
      </c>
      <c r="B2885" t="s">
        <v>87</v>
      </c>
      <c r="C2885" t="s">
        <v>191</v>
      </c>
      <c r="D2885">
        <v>2023</v>
      </c>
      <c r="E2885" t="s">
        <v>133</v>
      </c>
      <c r="F2885">
        <v>29.4</v>
      </c>
      <c r="G2885" t="s">
        <v>357</v>
      </c>
      <c r="H2885">
        <f>electric_vehicles_dataset[[#This Row],[Battery_Capacity_kWh]]/electric_vehicles_dataset[[#This Row],[Range_km]]</f>
        <v>6.2420382165605096E-2</v>
      </c>
      <c r="I2885">
        <v>471</v>
      </c>
      <c r="J2885" t="s">
        <v>356</v>
      </c>
      <c r="K2885">
        <v>9</v>
      </c>
      <c r="L2885" s="1">
        <v>84609.2</v>
      </c>
      <c r="M2885" s="1" t="str" cm="1">
        <f t="array" ref="M288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85" t="s">
        <v>22</v>
      </c>
      <c r="O2885" t="s">
        <v>44</v>
      </c>
      <c r="P2885" s="2" t="s">
        <v>389</v>
      </c>
      <c r="Q2885">
        <v>2</v>
      </c>
      <c r="R2885" t="s">
        <v>391</v>
      </c>
      <c r="S2885" s="1">
        <f>electric_vehicles_dataset[[#This Row],[Units_Sold_2024]]*electric_vehicles_dataset[[#This Row],[Price_USD]]</f>
        <v>443182989.59999996</v>
      </c>
      <c r="T2885">
        <v>4</v>
      </c>
      <c r="U2885">
        <v>5238</v>
      </c>
      <c r="V2885">
        <v>4</v>
      </c>
    </row>
    <row r="2886" spans="1:22" x14ac:dyDescent="0.35">
      <c r="A2886">
        <v>2885</v>
      </c>
      <c r="B2886" t="s">
        <v>136</v>
      </c>
      <c r="C2886" t="s">
        <v>137</v>
      </c>
      <c r="D2886">
        <v>2023</v>
      </c>
      <c r="E2886" t="s">
        <v>47</v>
      </c>
      <c r="F2886">
        <v>29.2</v>
      </c>
      <c r="G2886" t="s">
        <v>357</v>
      </c>
      <c r="H2886">
        <f>electric_vehicles_dataset[[#This Row],[Battery_Capacity_kWh]]/electric_vehicles_dataset[[#This Row],[Range_km]]</f>
        <v>0.10695970695970695</v>
      </c>
      <c r="I2886">
        <v>273</v>
      </c>
      <c r="J2886" t="s">
        <v>76</v>
      </c>
      <c r="K2886">
        <v>3</v>
      </c>
      <c r="L2886" s="1">
        <v>40569.14</v>
      </c>
      <c r="M2886" s="1" t="str" cm="1">
        <f t="array" ref="M288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86" t="s">
        <v>152</v>
      </c>
      <c r="O2886" t="s">
        <v>107</v>
      </c>
      <c r="P2886" s="2" t="s">
        <v>394</v>
      </c>
      <c r="Q2886">
        <v>2</v>
      </c>
      <c r="R2886" t="s">
        <v>391</v>
      </c>
      <c r="S2886" s="1">
        <f>electric_vehicles_dataset[[#This Row],[Units_Sold_2024]]*electric_vehicles_dataset[[#This Row],[Price_USD]]</f>
        <v>810328002.36000001</v>
      </c>
      <c r="T2886">
        <v>4</v>
      </c>
      <c r="U2886">
        <v>19974</v>
      </c>
      <c r="V2886">
        <v>5</v>
      </c>
    </row>
    <row r="2887" spans="1:22" x14ac:dyDescent="0.35">
      <c r="A2887">
        <v>2886</v>
      </c>
      <c r="B2887" t="s">
        <v>128</v>
      </c>
      <c r="C2887" t="s">
        <v>129</v>
      </c>
      <c r="D2887">
        <v>2025</v>
      </c>
      <c r="E2887" t="s">
        <v>90</v>
      </c>
      <c r="F2887">
        <v>49</v>
      </c>
      <c r="G2887" t="s">
        <v>348</v>
      </c>
      <c r="H2887">
        <f>electric_vehicles_dataset[[#This Row],[Battery_Capacity_kWh]]/electric_vehicles_dataset[[#This Row],[Range_km]]</f>
        <v>0.10061601642710473</v>
      </c>
      <c r="I2887">
        <v>487</v>
      </c>
      <c r="J2887" t="s">
        <v>27</v>
      </c>
      <c r="K2887">
        <v>9</v>
      </c>
      <c r="L2887" s="1">
        <v>137131.24</v>
      </c>
      <c r="M2887" s="1" t="str" cm="1">
        <f t="array" ref="M288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87" t="s">
        <v>81</v>
      </c>
      <c r="O2887" t="s">
        <v>86</v>
      </c>
      <c r="P2887" s="2" t="s">
        <v>389</v>
      </c>
      <c r="Q2887">
        <v>5</v>
      </c>
      <c r="R2887" t="s">
        <v>392</v>
      </c>
      <c r="S2887" s="1">
        <f>electric_vehicles_dataset[[#This Row],[Units_Sold_2024]]*electric_vehicles_dataset[[#This Row],[Price_USD]]</f>
        <v>1912843666.7599998</v>
      </c>
      <c r="T2887">
        <v>4</v>
      </c>
      <c r="U2887">
        <v>13949</v>
      </c>
      <c r="V2887">
        <v>5</v>
      </c>
    </row>
    <row r="2888" spans="1:22" x14ac:dyDescent="0.35">
      <c r="A2888">
        <v>2887</v>
      </c>
      <c r="B2888" t="s">
        <v>243</v>
      </c>
      <c r="C2888" t="s">
        <v>244</v>
      </c>
      <c r="D2888">
        <v>2024</v>
      </c>
      <c r="E2888" t="s">
        <v>104</v>
      </c>
      <c r="F2888">
        <v>51.9</v>
      </c>
      <c r="G2888" t="s">
        <v>348</v>
      </c>
      <c r="H2888">
        <f>electric_vehicles_dataset[[#This Row],[Battery_Capacity_kWh]]/electric_vehicles_dataset[[#This Row],[Range_km]]</f>
        <v>0.10463709677419354</v>
      </c>
      <c r="I2888">
        <v>496</v>
      </c>
      <c r="J2888" t="s">
        <v>358</v>
      </c>
      <c r="K2888">
        <v>7</v>
      </c>
      <c r="L2888" s="1">
        <v>117494.54</v>
      </c>
      <c r="M2888" s="1" t="str" cm="1">
        <f t="array" ref="M288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88" t="s">
        <v>100</v>
      </c>
      <c r="O2888" t="s">
        <v>86</v>
      </c>
      <c r="P2888" s="2" t="s">
        <v>389</v>
      </c>
      <c r="Q2888">
        <v>5</v>
      </c>
      <c r="R2888" t="s">
        <v>392</v>
      </c>
      <c r="S2888" s="1">
        <f>electric_vehicles_dataset[[#This Row],[Units_Sold_2024]]*electric_vehicles_dataset[[#This Row],[Price_USD]]</f>
        <v>1595105875.04</v>
      </c>
      <c r="T2888">
        <v>5</v>
      </c>
      <c r="U2888">
        <v>13576</v>
      </c>
      <c r="V2888">
        <v>3</v>
      </c>
    </row>
    <row r="2889" spans="1:22" x14ac:dyDescent="0.35">
      <c r="A2889">
        <v>2888</v>
      </c>
      <c r="B2889" t="s">
        <v>94</v>
      </c>
      <c r="C2889" t="s">
        <v>99</v>
      </c>
      <c r="D2889">
        <v>2020</v>
      </c>
      <c r="E2889" t="s">
        <v>42</v>
      </c>
      <c r="F2889">
        <v>124</v>
      </c>
      <c r="G2889" t="s">
        <v>352</v>
      </c>
      <c r="H2889">
        <f>electric_vehicles_dataset[[#This Row],[Battery_Capacity_kWh]]/electric_vehicles_dataset[[#This Row],[Range_km]]</f>
        <v>0.27927927927927926</v>
      </c>
      <c r="I2889">
        <v>444</v>
      </c>
      <c r="J2889" t="s">
        <v>85</v>
      </c>
      <c r="K2889">
        <v>3</v>
      </c>
      <c r="L2889" s="1">
        <v>36238.300000000003</v>
      </c>
      <c r="M2889" s="1" t="str" cm="1">
        <f t="array" ref="M288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89" t="s">
        <v>35</v>
      </c>
      <c r="O2889" t="s">
        <v>110</v>
      </c>
      <c r="P2889" s="2" t="s">
        <v>394</v>
      </c>
      <c r="Q2889">
        <v>0</v>
      </c>
      <c r="R2889" t="s">
        <v>390</v>
      </c>
      <c r="S2889" s="1">
        <f>electric_vehicles_dataset[[#This Row],[Units_Sold_2024]]*electric_vehicles_dataset[[#This Row],[Price_USD]]</f>
        <v>583291676.80000007</v>
      </c>
      <c r="T2889">
        <v>4</v>
      </c>
      <c r="U2889">
        <v>16096</v>
      </c>
      <c r="V2889">
        <v>3</v>
      </c>
    </row>
    <row r="2890" spans="1:22" x14ac:dyDescent="0.35">
      <c r="A2890">
        <v>2889</v>
      </c>
      <c r="B2890" t="s">
        <v>200</v>
      </c>
      <c r="C2890" t="s">
        <v>327</v>
      </c>
      <c r="D2890">
        <v>2016</v>
      </c>
      <c r="E2890" t="s">
        <v>26</v>
      </c>
      <c r="F2890">
        <v>39.6</v>
      </c>
      <c r="G2890" t="s">
        <v>357</v>
      </c>
      <c r="H2890">
        <f>electric_vehicles_dataset[[#This Row],[Battery_Capacity_kWh]]/electric_vehicles_dataset[[#This Row],[Range_km]]</f>
        <v>7.1480144404332133E-2</v>
      </c>
      <c r="I2890">
        <v>554</v>
      </c>
      <c r="J2890" t="s">
        <v>76</v>
      </c>
      <c r="K2890">
        <v>3</v>
      </c>
      <c r="L2890" s="1">
        <v>82502.789999999994</v>
      </c>
      <c r="M2890" s="1" t="str" cm="1">
        <f t="array" ref="M289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90" t="s">
        <v>177</v>
      </c>
      <c r="O2890" t="s">
        <v>95</v>
      </c>
      <c r="P2890" s="2" t="s">
        <v>394</v>
      </c>
      <c r="Q2890">
        <v>1</v>
      </c>
      <c r="R2890" t="s">
        <v>391</v>
      </c>
      <c r="S2890" s="1">
        <f>electric_vehicles_dataset[[#This Row],[Units_Sold_2024]]*electric_vehicles_dataset[[#This Row],[Price_USD]]</f>
        <v>1206850812.1199999</v>
      </c>
      <c r="T2890">
        <v>5</v>
      </c>
      <c r="U2890">
        <v>14628</v>
      </c>
      <c r="V2890">
        <v>4</v>
      </c>
    </row>
    <row r="2891" spans="1:22" x14ac:dyDescent="0.35">
      <c r="A2891">
        <v>2890</v>
      </c>
      <c r="B2891" t="s">
        <v>140</v>
      </c>
      <c r="C2891" t="s">
        <v>141</v>
      </c>
      <c r="D2891">
        <v>2021</v>
      </c>
      <c r="E2891" t="s">
        <v>101</v>
      </c>
      <c r="F2891">
        <v>47.8</v>
      </c>
      <c r="G2891" t="s">
        <v>348</v>
      </c>
      <c r="H2891">
        <f>electric_vehicles_dataset[[#This Row],[Battery_Capacity_kWh]]/electric_vehicles_dataset[[#This Row],[Range_km]]</f>
        <v>0.1452887537993921</v>
      </c>
      <c r="I2891">
        <v>329</v>
      </c>
      <c r="J2891" t="s">
        <v>358</v>
      </c>
      <c r="K2891">
        <v>9</v>
      </c>
      <c r="L2891" s="1">
        <v>87557.67</v>
      </c>
      <c r="M2891" s="1" t="str" cm="1">
        <f t="array" ref="M289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91" t="s">
        <v>102</v>
      </c>
      <c r="O2891" t="s">
        <v>150</v>
      </c>
      <c r="P2891" s="2" t="s">
        <v>389</v>
      </c>
      <c r="Q2891">
        <v>3</v>
      </c>
      <c r="R2891" t="s">
        <v>397</v>
      </c>
      <c r="S2891" s="1">
        <f>electric_vehicles_dataset[[#This Row],[Units_Sold_2024]]*electric_vehicles_dataset[[#This Row],[Price_USD]]</f>
        <v>1193498599.77</v>
      </c>
      <c r="T2891">
        <v>4</v>
      </c>
      <c r="U2891">
        <v>13631</v>
      </c>
      <c r="V2891">
        <v>3</v>
      </c>
    </row>
    <row r="2892" spans="1:22" x14ac:dyDescent="0.35">
      <c r="A2892">
        <v>2891</v>
      </c>
      <c r="B2892" t="s">
        <v>155</v>
      </c>
      <c r="C2892" t="s">
        <v>190</v>
      </c>
      <c r="D2892">
        <v>2025</v>
      </c>
      <c r="E2892" t="s">
        <v>58</v>
      </c>
      <c r="F2892">
        <v>111.8</v>
      </c>
      <c r="G2892" t="s">
        <v>361</v>
      </c>
      <c r="H2892">
        <f>electric_vehicles_dataset[[#This Row],[Battery_Capacity_kWh]]/electric_vehicles_dataset[[#This Row],[Range_km]]</f>
        <v>0.36298701298701297</v>
      </c>
      <c r="I2892">
        <v>308</v>
      </c>
      <c r="J2892" t="s">
        <v>27</v>
      </c>
      <c r="K2892">
        <v>5</v>
      </c>
      <c r="L2892" s="1">
        <v>122712.57</v>
      </c>
      <c r="M2892" s="1" t="str" cm="1">
        <f t="array" ref="M28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92" t="s">
        <v>179</v>
      </c>
      <c r="O2892" t="s">
        <v>92</v>
      </c>
      <c r="P2892" s="2" t="s">
        <v>394</v>
      </c>
      <c r="Q2892">
        <v>4</v>
      </c>
      <c r="R2892" t="s">
        <v>392</v>
      </c>
      <c r="S2892" s="1">
        <f>electric_vehicles_dataset[[#This Row],[Units_Sold_2024]]*electric_vehicles_dataset[[#This Row],[Price_USD]]</f>
        <v>1627168678.2</v>
      </c>
      <c r="T2892">
        <v>4</v>
      </c>
      <c r="U2892">
        <v>13260</v>
      </c>
      <c r="V2892">
        <v>5</v>
      </c>
    </row>
    <row r="2893" spans="1:22" x14ac:dyDescent="0.35">
      <c r="A2893">
        <v>2892</v>
      </c>
      <c r="B2893" t="s">
        <v>87</v>
      </c>
      <c r="C2893" t="s">
        <v>191</v>
      </c>
      <c r="D2893">
        <v>2022</v>
      </c>
      <c r="E2893" t="s">
        <v>17</v>
      </c>
      <c r="F2893">
        <v>128.5</v>
      </c>
      <c r="G2893" t="s">
        <v>352</v>
      </c>
      <c r="H2893">
        <f>electric_vehicles_dataset[[#This Row],[Battery_Capacity_kWh]]/electric_vehicles_dataset[[#This Row],[Range_km]]</f>
        <v>0.44310344827586207</v>
      </c>
      <c r="I2893">
        <v>290</v>
      </c>
      <c r="J2893" t="s">
        <v>358</v>
      </c>
      <c r="K2893">
        <v>10</v>
      </c>
      <c r="L2893" s="1">
        <v>138743.20000000001</v>
      </c>
      <c r="M2893" s="1" t="str" cm="1">
        <f t="array" ref="M289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893" t="s">
        <v>246</v>
      </c>
      <c r="O2893" t="s">
        <v>134</v>
      </c>
      <c r="P2893" s="2" t="s">
        <v>389</v>
      </c>
      <c r="Q2893">
        <v>2</v>
      </c>
      <c r="R2893" t="s">
        <v>391</v>
      </c>
      <c r="S2893" s="1">
        <f>electric_vehicles_dataset[[#This Row],[Units_Sold_2024]]*electric_vehicles_dataset[[#This Row],[Price_USD]]</f>
        <v>2384856864.8000002</v>
      </c>
      <c r="T2893">
        <v>4</v>
      </c>
      <c r="U2893">
        <v>17189</v>
      </c>
      <c r="V2893">
        <v>4</v>
      </c>
    </row>
    <row r="2894" spans="1:22" x14ac:dyDescent="0.35">
      <c r="A2894">
        <v>2893</v>
      </c>
      <c r="B2894" t="s">
        <v>261</v>
      </c>
      <c r="C2894" t="s">
        <v>372</v>
      </c>
      <c r="D2894">
        <v>2024</v>
      </c>
      <c r="E2894" t="s">
        <v>133</v>
      </c>
      <c r="F2894">
        <v>145.4</v>
      </c>
      <c r="G2894" t="s">
        <v>386</v>
      </c>
      <c r="H2894">
        <f>electric_vehicles_dataset[[#This Row],[Battery_Capacity_kWh]]/electric_vehicles_dataset[[#This Row],[Range_km]]</f>
        <v>0.40614525139664809</v>
      </c>
      <c r="I2894">
        <v>358</v>
      </c>
      <c r="J2894" t="s">
        <v>353</v>
      </c>
      <c r="K2894">
        <v>5</v>
      </c>
      <c r="L2894" s="1">
        <v>94286.77</v>
      </c>
      <c r="M2894" s="1" t="str" cm="1">
        <f t="array" ref="M289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94" t="s">
        <v>106</v>
      </c>
      <c r="O2894" t="s">
        <v>206</v>
      </c>
      <c r="P2894" s="2" t="s">
        <v>394</v>
      </c>
      <c r="Q2894">
        <v>1</v>
      </c>
      <c r="R2894" t="s">
        <v>391</v>
      </c>
      <c r="S2894" s="1">
        <f>electric_vehicles_dataset[[#This Row],[Units_Sold_2024]]*electric_vehicles_dataset[[#This Row],[Price_USD]]</f>
        <v>513391462.65000004</v>
      </c>
      <c r="T2894">
        <v>5</v>
      </c>
      <c r="U2894">
        <v>5445</v>
      </c>
      <c r="V2894">
        <v>3</v>
      </c>
    </row>
    <row r="2895" spans="1:22" x14ac:dyDescent="0.35">
      <c r="A2895">
        <v>2894</v>
      </c>
      <c r="B2895" t="s">
        <v>51</v>
      </c>
      <c r="C2895" t="s">
        <v>162</v>
      </c>
      <c r="D2895">
        <v>2021</v>
      </c>
      <c r="E2895" t="s">
        <v>84</v>
      </c>
      <c r="F2895">
        <v>56.7</v>
      </c>
      <c r="G2895" t="s">
        <v>348</v>
      </c>
      <c r="H2895">
        <f>electric_vehicles_dataset[[#This Row],[Battery_Capacity_kWh]]/electric_vehicles_dataset[[#This Row],[Range_km]]</f>
        <v>0.23924050632911392</v>
      </c>
      <c r="I2895">
        <v>237</v>
      </c>
      <c r="J2895" t="s">
        <v>105</v>
      </c>
      <c r="K2895">
        <v>4</v>
      </c>
      <c r="L2895" s="1">
        <v>51889.81</v>
      </c>
      <c r="M2895" s="1" t="str" cm="1">
        <f t="array" ref="M289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95" t="s">
        <v>142</v>
      </c>
      <c r="O2895" t="s">
        <v>110</v>
      </c>
      <c r="P2895" s="2" t="s">
        <v>394</v>
      </c>
      <c r="Q2895">
        <v>0</v>
      </c>
      <c r="R2895" t="s">
        <v>390</v>
      </c>
      <c r="S2895" s="1">
        <f>electric_vehicles_dataset[[#This Row],[Units_Sold_2024]]*electric_vehicles_dataset[[#This Row],[Price_USD]]</f>
        <v>294215222.69999999</v>
      </c>
      <c r="T2895">
        <v>5</v>
      </c>
      <c r="U2895">
        <v>5670</v>
      </c>
      <c r="V2895">
        <v>5</v>
      </c>
    </row>
    <row r="2896" spans="1:22" x14ac:dyDescent="0.35">
      <c r="A2896">
        <v>2895</v>
      </c>
      <c r="B2896" t="s">
        <v>313</v>
      </c>
      <c r="C2896" t="s">
        <v>314</v>
      </c>
      <c r="D2896">
        <v>2021</v>
      </c>
      <c r="E2896" t="s">
        <v>183</v>
      </c>
      <c r="F2896">
        <v>34.1</v>
      </c>
      <c r="G2896" t="s">
        <v>357</v>
      </c>
      <c r="H2896">
        <f>electric_vehicles_dataset[[#This Row],[Battery_Capacity_kWh]]/electric_vehicles_dataset[[#This Row],[Range_km]]</f>
        <v>0.33762376237623765</v>
      </c>
      <c r="I2896">
        <v>101</v>
      </c>
      <c r="J2896" t="s">
        <v>353</v>
      </c>
      <c r="K2896">
        <v>6</v>
      </c>
      <c r="L2896" s="1">
        <v>79324.179999999993</v>
      </c>
      <c r="M2896" s="1" t="str" cm="1">
        <f t="array" ref="M289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96" t="s">
        <v>62</v>
      </c>
      <c r="O2896" t="s">
        <v>23</v>
      </c>
      <c r="P2896" s="2" t="s">
        <v>389</v>
      </c>
      <c r="Q2896">
        <v>0</v>
      </c>
      <c r="R2896" t="s">
        <v>390</v>
      </c>
      <c r="S2896" s="1">
        <f>electric_vehicles_dataset[[#This Row],[Units_Sold_2024]]*electric_vehicles_dataset[[#This Row],[Price_USD]]</f>
        <v>80434718.519999996</v>
      </c>
      <c r="T2896">
        <v>5</v>
      </c>
      <c r="U2896">
        <v>1014</v>
      </c>
      <c r="V2896">
        <v>4</v>
      </c>
    </row>
    <row r="2897" spans="1:22" x14ac:dyDescent="0.35">
      <c r="A2897">
        <v>2896</v>
      </c>
      <c r="B2897" t="s">
        <v>192</v>
      </c>
      <c r="C2897" t="s">
        <v>198</v>
      </c>
      <c r="D2897">
        <v>2019</v>
      </c>
      <c r="E2897" t="s">
        <v>58</v>
      </c>
      <c r="F2897">
        <v>101.3</v>
      </c>
      <c r="G2897" t="s">
        <v>361</v>
      </c>
      <c r="H2897">
        <f>electric_vehicles_dataset[[#This Row],[Battery_Capacity_kWh]]/electric_vehicles_dataset[[#This Row],[Range_km]]</f>
        <v>0.31362229102167183</v>
      </c>
      <c r="I2897">
        <v>323</v>
      </c>
      <c r="J2897" t="s">
        <v>76</v>
      </c>
      <c r="K2897">
        <v>6</v>
      </c>
      <c r="L2897" s="1">
        <v>75038.73</v>
      </c>
      <c r="M2897" s="1" t="str" cm="1">
        <f t="array" ref="M289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97" t="s">
        <v>146</v>
      </c>
      <c r="O2897" t="s">
        <v>147</v>
      </c>
      <c r="P2897" s="2" t="s">
        <v>396</v>
      </c>
      <c r="Q2897">
        <v>0</v>
      </c>
      <c r="R2897" t="s">
        <v>390</v>
      </c>
      <c r="S2897" s="1">
        <f>electric_vehicles_dataset[[#This Row],[Units_Sold_2024]]*electric_vehicles_dataset[[#This Row],[Price_USD]]</f>
        <v>1459503298.5</v>
      </c>
      <c r="T2897">
        <v>5</v>
      </c>
      <c r="U2897">
        <v>19450</v>
      </c>
      <c r="V2897">
        <v>4</v>
      </c>
    </row>
    <row r="2898" spans="1:22" x14ac:dyDescent="0.35">
      <c r="A2898">
        <v>2897</v>
      </c>
      <c r="B2898" t="s">
        <v>79</v>
      </c>
      <c r="C2898" t="s">
        <v>80</v>
      </c>
      <c r="D2898">
        <v>2023</v>
      </c>
      <c r="E2898" t="s">
        <v>31</v>
      </c>
      <c r="F2898">
        <v>101.2</v>
      </c>
      <c r="G2898" t="s">
        <v>361</v>
      </c>
      <c r="H2898">
        <f>electric_vehicles_dataset[[#This Row],[Battery_Capacity_kWh]]/electric_vehicles_dataset[[#This Row],[Range_km]]</f>
        <v>0.49365853658536585</v>
      </c>
      <c r="I2898">
        <v>205</v>
      </c>
      <c r="J2898" t="s">
        <v>364</v>
      </c>
      <c r="K2898">
        <v>3</v>
      </c>
      <c r="L2898" s="1">
        <v>104697.82</v>
      </c>
      <c r="M2898" s="1" t="str" cm="1">
        <f t="array" ref="M289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898" t="s">
        <v>210</v>
      </c>
      <c r="O2898" t="s">
        <v>23</v>
      </c>
      <c r="P2898" s="2" t="s">
        <v>389</v>
      </c>
      <c r="Q2898">
        <v>2</v>
      </c>
      <c r="R2898" t="s">
        <v>391</v>
      </c>
      <c r="S2898" s="1">
        <f>electric_vehicles_dataset[[#This Row],[Units_Sold_2024]]*electric_vehicles_dataset[[#This Row],[Price_USD]]</f>
        <v>226251989.02000001</v>
      </c>
      <c r="T2898">
        <v>3</v>
      </c>
      <c r="U2898">
        <v>2161</v>
      </c>
      <c r="V2898">
        <v>4</v>
      </c>
    </row>
    <row r="2899" spans="1:22" x14ac:dyDescent="0.35">
      <c r="A2899">
        <v>2898</v>
      </c>
      <c r="B2899" t="s">
        <v>187</v>
      </c>
      <c r="C2899" t="s">
        <v>293</v>
      </c>
      <c r="D2899">
        <v>2020</v>
      </c>
      <c r="E2899" t="s">
        <v>104</v>
      </c>
      <c r="F2899">
        <v>61.5</v>
      </c>
      <c r="G2899" t="s">
        <v>351</v>
      </c>
      <c r="H2899">
        <f>electric_vehicles_dataset[[#This Row],[Battery_Capacity_kWh]]/electric_vehicles_dataset[[#This Row],[Range_km]]</f>
        <v>0.24212598425196849</v>
      </c>
      <c r="I2899">
        <v>254</v>
      </c>
      <c r="J2899" t="s">
        <v>34</v>
      </c>
      <c r="K2899">
        <v>3</v>
      </c>
      <c r="L2899" s="1">
        <v>47815.37</v>
      </c>
      <c r="M2899" s="1" t="str" cm="1">
        <f t="array" ref="M28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899" t="s">
        <v>228</v>
      </c>
      <c r="O2899" t="s">
        <v>115</v>
      </c>
      <c r="P2899" s="2" t="s">
        <v>396</v>
      </c>
      <c r="Q2899">
        <v>5</v>
      </c>
      <c r="R2899" t="s">
        <v>392</v>
      </c>
      <c r="S2899" s="1">
        <f>electric_vehicles_dataset[[#This Row],[Units_Sold_2024]]*electric_vehicles_dataset[[#This Row],[Price_USD]]</f>
        <v>534049867.53000003</v>
      </c>
      <c r="T2899">
        <v>3</v>
      </c>
      <c r="U2899">
        <v>11169</v>
      </c>
      <c r="V2899">
        <v>4</v>
      </c>
    </row>
    <row r="2900" spans="1:22" x14ac:dyDescent="0.35">
      <c r="A2900">
        <v>2899</v>
      </c>
      <c r="B2900" t="s">
        <v>71</v>
      </c>
      <c r="C2900" t="s">
        <v>330</v>
      </c>
      <c r="D2900">
        <v>2020</v>
      </c>
      <c r="E2900" t="s">
        <v>130</v>
      </c>
      <c r="F2900">
        <v>47.3</v>
      </c>
      <c r="G2900" t="s">
        <v>348</v>
      </c>
      <c r="H2900">
        <f>electric_vehicles_dataset[[#This Row],[Battery_Capacity_kWh]]/electric_vehicles_dataset[[#This Row],[Range_km]]</f>
        <v>0.10128479657387579</v>
      </c>
      <c r="I2900">
        <v>467</v>
      </c>
      <c r="J2900" t="s">
        <v>54</v>
      </c>
      <c r="K2900">
        <v>2</v>
      </c>
      <c r="L2900" s="1">
        <v>98669.32</v>
      </c>
      <c r="M2900" s="1" t="str" cm="1">
        <f t="array" ref="M290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00" t="s">
        <v>22</v>
      </c>
      <c r="O2900" t="s">
        <v>135</v>
      </c>
      <c r="P2900" s="2" t="s">
        <v>389</v>
      </c>
      <c r="Q2900">
        <v>3</v>
      </c>
      <c r="R2900" t="s">
        <v>397</v>
      </c>
      <c r="S2900" s="1">
        <f>electric_vehicles_dataset[[#This Row],[Units_Sold_2024]]*electric_vehicles_dataset[[#This Row],[Price_USD]]</f>
        <v>216085810.80000001</v>
      </c>
      <c r="T2900">
        <v>5</v>
      </c>
      <c r="U2900">
        <v>2190</v>
      </c>
      <c r="V2900">
        <v>5</v>
      </c>
    </row>
    <row r="2901" spans="1:22" x14ac:dyDescent="0.35">
      <c r="A2901">
        <v>2900</v>
      </c>
      <c r="B2901" t="s">
        <v>313</v>
      </c>
      <c r="C2901" t="s">
        <v>314</v>
      </c>
      <c r="D2901">
        <v>2016</v>
      </c>
      <c r="E2901" t="s">
        <v>130</v>
      </c>
      <c r="F2901">
        <v>69.2</v>
      </c>
      <c r="G2901" t="s">
        <v>351</v>
      </c>
      <c r="H2901">
        <f>electric_vehicles_dataset[[#This Row],[Battery_Capacity_kWh]]/electric_vehicles_dataset[[#This Row],[Range_km]]</f>
        <v>0.62909090909090915</v>
      </c>
      <c r="I2901">
        <v>110</v>
      </c>
      <c r="J2901" t="s">
        <v>85</v>
      </c>
      <c r="K2901">
        <v>4</v>
      </c>
      <c r="L2901" s="1">
        <v>113234.3</v>
      </c>
      <c r="M2901" s="1" t="str" cm="1">
        <f t="array" ref="M29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01" t="s">
        <v>28</v>
      </c>
      <c r="O2901" t="s">
        <v>139</v>
      </c>
      <c r="P2901" s="2" t="s">
        <v>389</v>
      </c>
      <c r="Q2901">
        <v>4</v>
      </c>
      <c r="R2901" t="s">
        <v>392</v>
      </c>
      <c r="S2901" s="1">
        <f>electric_vehicles_dataset[[#This Row],[Units_Sold_2024]]*electric_vehicles_dataset[[#This Row],[Price_USD]]</f>
        <v>790035711.10000002</v>
      </c>
      <c r="T2901">
        <v>4</v>
      </c>
      <c r="U2901">
        <v>6977</v>
      </c>
      <c r="V2901">
        <v>3</v>
      </c>
    </row>
    <row r="2902" spans="1:22" x14ac:dyDescent="0.35">
      <c r="A2902">
        <v>2901</v>
      </c>
      <c r="B2902" t="s">
        <v>51</v>
      </c>
      <c r="C2902" t="s">
        <v>162</v>
      </c>
      <c r="D2902">
        <v>2021</v>
      </c>
      <c r="E2902" t="s">
        <v>26</v>
      </c>
      <c r="F2902">
        <v>100.6</v>
      </c>
      <c r="G2902" t="s">
        <v>361</v>
      </c>
      <c r="H2902">
        <f>electric_vehicles_dataset[[#This Row],[Battery_Capacity_kWh]]/electric_vehicles_dataset[[#This Row],[Range_km]]</f>
        <v>0.30392749244712991</v>
      </c>
      <c r="I2902">
        <v>331</v>
      </c>
      <c r="J2902" t="s">
        <v>38</v>
      </c>
      <c r="K2902">
        <v>6</v>
      </c>
      <c r="L2902" s="1">
        <v>131634.85</v>
      </c>
      <c r="M2902" s="1" t="str" cm="1">
        <f t="array" ref="M290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02" t="s">
        <v>165</v>
      </c>
      <c r="O2902" t="s">
        <v>161</v>
      </c>
      <c r="P2902" s="2" t="s">
        <v>389</v>
      </c>
      <c r="Q2902">
        <v>0</v>
      </c>
      <c r="R2902" t="s">
        <v>390</v>
      </c>
      <c r="S2902" s="1">
        <f>electric_vehicles_dataset[[#This Row],[Units_Sold_2024]]*electric_vehicles_dataset[[#This Row],[Price_USD]]</f>
        <v>1802607635.9000001</v>
      </c>
      <c r="T2902">
        <v>3</v>
      </c>
      <c r="U2902">
        <v>13694</v>
      </c>
      <c r="V2902">
        <v>3</v>
      </c>
    </row>
    <row r="2903" spans="1:22" x14ac:dyDescent="0.35">
      <c r="A2903">
        <v>2902</v>
      </c>
      <c r="B2903" t="s">
        <v>187</v>
      </c>
      <c r="C2903" t="s">
        <v>302</v>
      </c>
      <c r="D2903">
        <v>2018</v>
      </c>
      <c r="E2903" t="s">
        <v>26</v>
      </c>
      <c r="F2903">
        <v>88.2</v>
      </c>
      <c r="G2903" t="s">
        <v>350</v>
      </c>
      <c r="H2903">
        <f>electric_vehicles_dataset[[#This Row],[Battery_Capacity_kWh]]/electric_vehicles_dataset[[#This Row],[Range_km]]</f>
        <v>0.49</v>
      </c>
      <c r="I2903">
        <v>180</v>
      </c>
      <c r="J2903" t="s">
        <v>54</v>
      </c>
      <c r="K2903">
        <v>8</v>
      </c>
      <c r="L2903" s="1">
        <v>100658.5</v>
      </c>
      <c r="M2903" s="1" t="str" cm="1">
        <f t="array" ref="M290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03" t="s">
        <v>196</v>
      </c>
      <c r="O2903" t="s">
        <v>167</v>
      </c>
      <c r="P2903" s="2" t="s">
        <v>394</v>
      </c>
      <c r="Q2903">
        <v>5</v>
      </c>
      <c r="R2903" t="s">
        <v>392</v>
      </c>
      <c r="S2903" s="1">
        <f>electric_vehicles_dataset[[#This Row],[Units_Sold_2024]]*electric_vehicles_dataset[[#This Row],[Price_USD]]</f>
        <v>380287813</v>
      </c>
      <c r="T2903">
        <v>5</v>
      </c>
      <c r="U2903">
        <v>3778</v>
      </c>
      <c r="V2903">
        <v>5</v>
      </c>
    </row>
    <row r="2904" spans="1:22" x14ac:dyDescent="0.35">
      <c r="A2904">
        <v>2903</v>
      </c>
      <c r="B2904" t="s">
        <v>45</v>
      </c>
      <c r="C2904" t="s">
        <v>283</v>
      </c>
      <c r="D2904">
        <v>2023</v>
      </c>
      <c r="E2904" t="s">
        <v>47</v>
      </c>
      <c r="F2904">
        <v>24.7</v>
      </c>
      <c r="G2904" t="s">
        <v>357</v>
      </c>
      <c r="H2904">
        <f>electric_vehicles_dataset[[#This Row],[Battery_Capacity_kWh]]/electric_vehicles_dataset[[#This Row],[Range_km]]</f>
        <v>0.15935483870967743</v>
      </c>
      <c r="I2904">
        <v>155</v>
      </c>
      <c r="J2904" t="s">
        <v>54</v>
      </c>
      <c r="K2904">
        <v>8</v>
      </c>
      <c r="L2904" s="1">
        <v>53155.57</v>
      </c>
      <c r="M2904" s="1" t="str" cm="1">
        <f t="array" ref="M290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04" t="s">
        <v>102</v>
      </c>
      <c r="O2904" t="s">
        <v>111</v>
      </c>
      <c r="P2904" s="2" t="s">
        <v>389</v>
      </c>
      <c r="Q2904">
        <v>2</v>
      </c>
      <c r="R2904" t="s">
        <v>391</v>
      </c>
      <c r="S2904" s="1">
        <f>electric_vehicles_dataset[[#This Row],[Units_Sold_2024]]*electric_vehicles_dataset[[#This Row],[Price_USD]]</f>
        <v>679859740.29999995</v>
      </c>
      <c r="T2904">
        <v>5</v>
      </c>
      <c r="U2904">
        <v>12790</v>
      </c>
      <c r="V2904">
        <v>3</v>
      </c>
    </row>
    <row r="2905" spans="1:22" x14ac:dyDescent="0.35">
      <c r="A2905">
        <v>2904</v>
      </c>
      <c r="B2905" t="s">
        <v>261</v>
      </c>
      <c r="C2905" t="s">
        <v>372</v>
      </c>
      <c r="D2905">
        <v>2022</v>
      </c>
      <c r="E2905" t="s">
        <v>90</v>
      </c>
      <c r="F2905">
        <v>27.3</v>
      </c>
      <c r="G2905" t="s">
        <v>357</v>
      </c>
      <c r="H2905">
        <f>electric_vehicles_dataset[[#This Row],[Battery_Capacity_kWh]]/electric_vehicles_dataset[[#This Row],[Range_km]]</f>
        <v>0.14836956521739131</v>
      </c>
      <c r="I2905">
        <v>184</v>
      </c>
      <c r="J2905" t="s">
        <v>85</v>
      </c>
      <c r="K2905">
        <v>8</v>
      </c>
      <c r="L2905" s="1">
        <v>137261.53</v>
      </c>
      <c r="M2905" s="1" t="str" cm="1">
        <f t="array" ref="M290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05" t="s">
        <v>205</v>
      </c>
      <c r="O2905" t="s">
        <v>135</v>
      </c>
      <c r="P2905" s="2" t="s">
        <v>389</v>
      </c>
      <c r="Q2905">
        <v>5</v>
      </c>
      <c r="R2905" t="s">
        <v>392</v>
      </c>
      <c r="S2905" s="1">
        <f>electric_vehicles_dataset[[#This Row],[Units_Sold_2024]]*electric_vehicles_dataset[[#This Row],[Price_USD]]</f>
        <v>734486447.02999997</v>
      </c>
      <c r="T2905">
        <v>3</v>
      </c>
      <c r="U2905">
        <v>5351</v>
      </c>
      <c r="V2905">
        <v>3</v>
      </c>
    </row>
    <row r="2906" spans="1:22" x14ac:dyDescent="0.35">
      <c r="A2906">
        <v>2905</v>
      </c>
      <c r="B2906" t="s">
        <v>170</v>
      </c>
      <c r="C2906" t="s">
        <v>171</v>
      </c>
      <c r="D2906">
        <v>2019</v>
      </c>
      <c r="E2906" t="s">
        <v>26</v>
      </c>
      <c r="F2906">
        <v>112.7</v>
      </c>
      <c r="G2906" t="s">
        <v>361</v>
      </c>
      <c r="H2906">
        <f>electric_vehicles_dataset[[#This Row],[Battery_Capacity_kWh]]/electric_vehicles_dataset[[#This Row],[Range_km]]</f>
        <v>0.41895910780669143</v>
      </c>
      <c r="I2906">
        <v>269</v>
      </c>
      <c r="J2906" t="s">
        <v>345</v>
      </c>
      <c r="K2906">
        <v>8</v>
      </c>
      <c r="L2906" s="1">
        <v>101588.05</v>
      </c>
      <c r="M2906" s="1" t="str" cm="1">
        <f t="array" ref="M290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06" t="s">
        <v>210</v>
      </c>
      <c r="O2906" t="s">
        <v>226</v>
      </c>
      <c r="P2906" s="2" t="s">
        <v>395</v>
      </c>
      <c r="Q2906">
        <v>3</v>
      </c>
      <c r="R2906" t="s">
        <v>397</v>
      </c>
      <c r="S2906" s="1">
        <f>electric_vehicles_dataset[[#This Row],[Units_Sold_2024]]*electric_vehicles_dataset[[#This Row],[Price_USD]]</f>
        <v>1614843642.8</v>
      </c>
      <c r="T2906">
        <v>5</v>
      </c>
      <c r="U2906">
        <v>15896</v>
      </c>
      <c r="V2906">
        <v>3</v>
      </c>
    </row>
    <row r="2907" spans="1:22" x14ac:dyDescent="0.35">
      <c r="A2907">
        <v>2906</v>
      </c>
      <c r="B2907" t="s">
        <v>87</v>
      </c>
      <c r="C2907" t="s">
        <v>88</v>
      </c>
      <c r="D2907">
        <v>2021</v>
      </c>
      <c r="E2907" t="s">
        <v>73</v>
      </c>
      <c r="F2907">
        <v>47.3</v>
      </c>
      <c r="G2907" t="s">
        <v>348</v>
      </c>
      <c r="H2907">
        <f>electric_vehicles_dataset[[#This Row],[Battery_Capacity_kWh]]/electric_vehicles_dataset[[#This Row],[Range_km]]</f>
        <v>0.15063694267515923</v>
      </c>
      <c r="I2907">
        <v>314</v>
      </c>
      <c r="J2907" t="s">
        <v>149</v>
      </c>
      <c r="K2907">
        <v>6</v>
      </c>
      <c r="L2907" s="1">
        <v>93225.72</v>
      </c>
      <c r="M2907" s="1" t="str" cm="1">
        <f t="array" ref="M29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07" t="s">
        <v>55</v>
      </c>
      <c r="O2907" t="s">
        <v>236</v>
      </c>
      <c r="P2907" s="2" t="s">
        <v>394</v>
      </c>
      <c r="Q2907">
        <v>5</v>
      </c>
      <c r="R2907" t="s">
        <v>392</v>
      </c>
      <c r="S2907" s="1">
        <f>electric_vehicles_dataset[[#This Row],[Units_Sold_2024]]*electric_vehicles_dataset[[#This Row],[Price_USD]]</f>
        <v>869982419.03999996</v>
      </c>
      <c r="T2907">
        <v>3</v>
      </c>
      <c r="U2907">
        <v>9332</v>
      </c>
      <c r="V2907">
        <v>3</v>
      </c>
    </row>
    <row r="2908" spans="1:22" x14ac:dyDescent="0.35">
      <c r="A2908">
        <v>2907</v>
      </c>
      <c r="B2908" t="s">
        <v>87</v>
      </c>
      <c r="C2908" t="s">
        <v>381</v>
      </c>
      <c r="D2908">
        <v>2022</v>
      </c>
      <c r="E2908" t="s">
        <v>130</v>
      </c>
      <c r="F2908">
        <v>82.8</v>
      </c>
      <c r="G2908" t="s">
        <v>350</v>
      </c>
      <c r="H2908">
        <f>electric_vehicles_dataset[[#This Row],[Battery_Capacity_kWh]]/electric_vehicles_dataset[[#This Row],[Range_km]]</f>
        <v>0.28163265306122448</v>
      </c>
      <c r="I2908">
        <v>294</v>
      </c>
      <c r="J2908" t="s">
        <v>356</v>
      </c>
      <c r="K2908">
        <v>8</v>
      </c>
      <c r="L2908" s="1">
        <v>126545.1</v>
      </c>
      <c r="M2908" s="1" t="str" cm="1">
        <f t="array" ref="M290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08" t="s">
        <v>117</v>
      </c>
      <c r="O2908" t="s">
        <v>63</v>
      </c>
      <c r="P2908" s="2" t="s">
        <v>389</v>
      </c>
      <c r="Q2908">
        <v>5</v>
      </c>
      <c r="R2908" t="s">
        <v>392</v>
      </c>
      <c r="S2908" s="1">
        <f>electric_vehicles_dataset[[#This Row],[Units_Sold_2024]]*electric_vehicles_dataset[[#This Row],[Price_USD]]</f>
        <v>1588267550.1000001</v>
      </c>
      <c r="T2908">
        <v>5</v>
      </c>
      <c r="U2908">
        <v>12551</v>
      </c>
      <c r="V2908">
        <v>4</v>
      </c>
    </row>
    <row r="2909" spans="1:22" x14ac:dyDescent="0.35">
      <c r="A2909">
        <v>2908</v>
      </c>
      <c r="B2909" t="s">
        <v>192</v>
      </c>
      <c r="C2909" t="s">
        <v>198</v>
      </c>
      <c r="D2909">
        <v>2016</v>
      </c>
      <c r="E2909" t="s">
        <v>90</v>
      </c>
      <c r="F2909">
        <v>74.8</v>
      </c>
      <c r="G2909" t="s">
        <v>351</v>
      </c>
      <c r="H2909">
        <f>electric_vehicles_dataset[[#This Row],[Battery_Capacity_kWh]]/electric_vehicles_dataset[[#This Row],[Range_km]]</f>
        <v>0.28769230769230769</v>
      </c>
      <c r="I2909">
        <v>260</v>
      </c>
      <c r="J2909" t="s">
        <v>38</v>
      </c>
      <c r="K2909">
        <v>10</v>
      </c>
      <c r="L2909" s="1">
        <v>99914.52</v>
      </c>
      <c r="M2909" s="1" t="str" cm="1">
        <f t="array" ref="M290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09" t="s">
        <v>43</v>
      </c>
      <c r="O2909" t="s">
        <v>150</v>
      </c>
      <c r="P2909" s="2" t="s">
        <v>389</v>
      </c>
      <c r="Q2909">
        <v>5</v>
      </c>
      <c r="R2909" t="s">
        <v>392</v>
      </c>
      <c r="S2909" s="1">
        <f>electric_vehicles_dataset[[#This Row],[Units_Sold_2024]]*electric_vehicles_dataset[[#This Row],[Price_USD]]</f>
        <v>78233069.159999996</v>
      </c>
      <c r="T2909">
        <v>5</v>
      </c>
      <c r="U2909">
        <v>783</v>
      </c>
      <c r="V2909">
        <v>3</v>
      </c>
    </row>
    <row r="2910" spans="1:22" x14ac:dyDescent="0.35">
      <c r="A2910">
        <v>2909</v>
      </c>
      <c r="B2910" t="s">
        <v>82</v>
      </c>
      <c r="C2910" t="s">
        <v>281</v>
      </c>
      <c r="D2910">
        <v>2019</v>
      </c>
      <c r="E2910" t="s">
        <v>31</v>
      </c>
      <c r="F2910">
        <v>92.8</v>
      </c>
      <c r="G2910" t="s">
        <v>350</v>
      </c>
      <c r="H2910">
        <f>electric_vehicles_dataset[[#This Row],[Battery_Capacity_kWh]]/electric_vehicles_dataset[[#This Row],[Range_km]]</f>
        <v>0.19454926624737945</v>
      </c>
      <c r="I2910">
        <v>477</v>
      </c>
      <c r="J2910" t="s">
        <v>18</v>
      </c>
      <c r="K2910">
        <v>5</v>
      </c>
      <c r="L2910" s="1">
        <v>100560.66</v>
      </c>
      <c r="M2910" s="1" t="str" cm="1">
        <f t="array" ref="M291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10" t="s">
        <v>253</v>
      </c>
      <c r="O2910" t="s">
        <v>182</v>
      </c>
      <c r="P2910" s="2" t="s">
        <v>394</v>
      </c>
      <c r="Q2910">
        <v>0</v>
      </c>
      <c r="R2910" t="s">
        <v>390</v>
      </c>
      <c r="S2910" s="1">
        <f>electric_vehicles_dataset[[#This Row],[Units_Sold_2024]]*electric_vehicles_dataset[[#This Row],[Price_USD]]</f>
        <v>888151749.12</v>
      </c>
      <c r="T2910">
        <v>4</v>
      </c>
      <c r="U2910">
        <v>8832</v>
      </c>
      <c r="V2910">
        <v>5</v>
      </c>
    </row>
    <row r="2911" spans="1:22" x14ac:dyDescent="0.35">
      <c r="A2911">
        <v>2910</v>
      </c>
      <c r="B2911" t="s">
        <v>207</v>
      </c>
      <c r="C2911" t="s">
        <v>287</v>
      </c>
      <c r="D2911">
        <v>2023</v>
      </c>
      <c r="E2911" t="s">
        <v>90</v>
      </c>
      <c r="F2911">
        <v>148.69999999999999</v>
      </c>
      <c r="G2911" t="s">
        <v>386</v>
      </c>
      <c r="H2911">
        <f>electric_vehicles_dataset[[#This Row],[Battery_Capacity_kWh]]/electric_vehicles_dataset[[#This Row],[Range_km]]</f>
        <v>0.49566666666666664</v>
      </c>
      <c r="I2911">
        <v>300</v>
      </c>
      <c r="J2911" t="s">
        <v>76</v>
      </c>
      <c r="K2911">
        <v>7</v>
      </c>
      <c r="L2911" s="1">
        <v>87471.51</v>
      </c>
      <c r="M2911" s="1" t="str" cm="1">
        <f t="array" ref="M29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11" t="s">
        <v>196</v>
      </c>
      <c r="O2911" t="s">
        <v>159</v>
      </c>
      <c r="P2911" s="2" t="s">
        <v>389</v>
      </c>
      <c r="Q2911">
        <v>0</v>
      </c>
      <c r="R2911" t="s">
        <v>390</v>
      </c>
      <c r="S2911" s="1">
        <f>electric_vehicles_dataset[[#This Row],[Units_Sold_2024]]*electric_vehicles_dataset[[#This Row],[Price_USD]]</f>
        <v>686039052.92999995</v>
      </c>
      <c r="T2911">
        <v>5</v>
      </c>
      <c r="U2911">
        <v>7843</v>
      </c>
      <c r="V2911">
        <v>4</v>
      </c>
    </row>
    <row r="2912" spans="1:22" x14ac:dyDescent="0.35">
      <c r="A2912">
        <v>2911</v>
      </c>
      <c r="B2912" t="s">
        <v>41</v>
      </c>
      <c r="C2912" t="s">
        <v>380</v>
      </c>
      <c r="D2912">
        <v>2024</v>
      </c>
      <c r="E2912" t="s">
        <v>133</v>
      </c>
      <c r="F2912">
        <v>99.3</v>
      </c>
      <c r="G2912" t="s">
        <v>350</v>
      </c>
      <c r="H2912">
        <f>electric_vehicles_dataset[[#This Row],[Battery_Capacity_kWh]]/electric_vehicles_dataset[[#This Row],[Range_km]]</f>
        <v>0.22017738359201774</v>
      </c>
      <c r="I2912">
        <v>451</v>
      </c>
      <c r="J2912" t="s">
        <v>54</v>
      </c>
      <c r="K2912">
        <v>10</v>
      </c>
      <c r="L2912" s="1">
        <v>61249.440000000002</v>
      </c>
      <c r="M2912" s="1" t="str" cm="1">
        <f t="array" ref="M291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12" t="s">
        <v>49</v>
      </c>
      <c r="O2912" t="s">
        <v>86</v>
      </c>
      <c r="P2912" s="2" t="s">
        <v>389</v>
      </c>
      <c r="Q2912">
        <v>3</v>
      </c>
      <c r="R2912" t="s">
        <v>397</v>
      </c>
      <c r="S2912" s="1">
        <f>electric_vehicles_dataset[[#This Row],[Units_Sold_2024]]*electric_vehicles_dataset[[#This Row],[Price_USD]]</f>
        <v>302143487.52000004</v>
      </c>
      <c r="T2912">
        <v>4</v>
      </c>
      <c r="U2912">
        <v>4933</v>
      </c>
      <c r="V2912">
        <v>4</v>
      </c>
    </row>
    <row r="2913" spans="1:22" x14ac:dyDescent="0.35">
      <c r="A2913">
        <v>2912</v>
      </c>
      <c r="B2913" t="s">
        <v>21</v>
      </c>
      <c r="C2913" t="s">
        <v>363</v>
      </c>
      <c r="D2913">
        <v>2016</v>
      </c>
      <c r="E2913" t="s">
        <v>84</v>
      </c>
      <c r="F2913">
        <v>98.2</v>
      </c>
      <c r="G2913" t="s">
        <v>350</v>
      </c>
      <c r="H2913">
        <f>electric_vehicles_dataset[[#This Row],[Battery_Capacity_kWh]]/electric_vehicles_dataset[[#This Row],[Range_km]]</f>
        <v>0.42882096069868997</v>
      </c>
      <c r="I2913">
        <v>229</v>
      </c>
      <c r="J2913" t="s">
        <v>345</v>
      </c>
      <c r="K2913">
        <v>10</v>
      </c>
      <c r="L2913" s="1">
        <v>49573.14</v>
      </c>
      <c r="M2913" s="1" t="str" cm="1">
        <f t="array" ref="M29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13" t="s">
        <v>152</v>
      </c>
      <c r="O2913" t="s">
        <v>134</v>
      </c>
      <c r="P2913" s="2" t="s">
        <v>389</v>
      </c>
      <c r="Q2913">
        <v>3</v>
      </c>
      <c r="R2913" t="s">
        <v>397</v>
      </c>
      <c r="S2913" s="1">
        <f>electric_vehicles_dataset[[#This Row],[Units_Sold_2024]]*electric_vehicles_dataset[[#This Row],[Price_USD]]</f>
        <v>399063777</v>
      </c>
      <c r="T2913">
        <v>4</v>
      </c>
      <c r="U2913">
        <v>8050</v>
      </c>
      <c r="V2913">
        <v>5</v>
      </c>
    </row>
    <row r="2914" spans="1:22" x14ac:dyDescent="0.35">
      <c r="A2914">
        <v>2913</v>
      </c>
      <c r="B2914" t="s">
        <v>64</v>
      </c>
      <c r="C2914" t="s">
        <v>65</v>
      </c>
      <c r="D2914">
        <v>2021</v>
      </c>
      <c r="E2914" t="s">
        <v>183</v>
      </c>
      <c r="F2914">
        <v>20.9</v>
      </c>
      <c r="G2914" t="s">
        <v>357</v>
      </c>
      <c r="H2914">
        <f>electric_vehicles_dataset[[#This Row],[Battery_Capacity_kWh]]/electric_vehicles_dataset[[#This Row],[Range_km]]</f>
        <v>6.3525835866261399E-2</v>
      </c>
      <c r="I2914">
        <v>329</v>
      </c>
      <c r="J2914" t="s">
        <v>85</v>
      </c>
      <c r="K2914">
        <v>12</v>
      </c>
      <c r="L2914" s="1">
        <v>142875.35999999999</v>
      </c>
      <c r="M2914" s="1" t="str" cm="1">
        <f t="array" ref="M291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14" t="s">
        <v>301</v>
      </c>
      <c r="O2914" t="s">
        <v>159</v>
      </c>
      <c r="P2914" s="2" t="s">
        <v>389</v>
      </c>
      <c r="Q2914">
        <v>4</v>
      </c>
      <c r="R2914" t="s">
        <v>392</v>
      </c>
      <c r="S2914" s="1">
        <f>electric_vehicles_dataset[[#This Row],[Units_Sold_2024]]*electric_vehicles_dataset[[#This Row],[Price_USD]]</f>
        <v>87011094.239999995</v>
      </c>
      <c r="T2914">
        <v>3</v>
      </c>
      <c r="U2914">
        <v>609</v>
      </c>
      <c r="V2914">
        <v>5</v>
      </c>
    </row>
    <row r="2915" spans="1:22" x14ac:dyDescent="0.35">
      <c r="A2915">
        <v>2914</v>
      </c>
      <c r="B2915" t="s">
        <v>224</v>
      </c>
      <c r="C2915" t="s">
        <v>225</v>
      </c>
      <c r="D2915">
        <v>2023</v>
      </c>
      <c r="E2915" t="s">
        <v>130</v>
      </c>
      <c r="F2915">
        <v>82.4</v>
      </c>
      <c r="G2915" t="s">
        <v>350</v>
      </c>
      <c r="H2915">
        <f>electric_vehicles_dataset[[#This Row],[Battery_Capacity_kWh]]/electric_vehicles_dataset[[#This Row],[Range_km]]</f>
        <v>0.82400000000000007</v>
      </c>
      <c r="I2915">
        <v>100</v>
      </c>
      <c r="J2915" t="s">
        <v>356</v>
      </c>
      <c r="K2915">
        <v>5</v>
      </c>
      <c r="L2915" s="1">
        <v>42757.43</v>
      </c>
      <c r="M2915" s="1" t="str" cm="1">
        <f t="array" ref="M291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15" t="s">
        <v>59</v>
      </c>
      <c r="O2915" t="s">
        <v>118</v>
      </c>
      <c r="P2915" s="2" t="s">
        <v>389</v>
      </c>
      <c r="Q2915">
        <v>4</v>
      </c>
      <c r="R2915" t="s">
        <v>392</v>
      </c>
      <c r="S2915" s="1">
        <f>electric_vehicles_dataset[[#This Row],[Units_Sold_2024]]*electric_vehicles_dataset[[#This Row],[Price_USD]]</f>
        <v>633066508.58000004</v>
      </c>
      <c r="T2915">
        <v>4</v>
      </c>
      <c r="U2915">
        <v>14806</v>
      </c>
      <c r="V2915">
        <v>5</v>
      </c>
    </row>
    <row r="2916" spans="1:22" x14ac:dyDescent="0.35">
      <c r="A2916">
        <v>2915</v>
      </c>
      <c r="B2916" t="s">
        <v>173</v>
      </c>
      <c r="C2916" t="s">
        <v>306</v>
      </c>
      <c r="D2916">
        <v>2019</v>
      </c>
      <c r="E2916" t="s">
        <v>183</v>
      </c>
      <c r="F2916">
        <v>107.9</v>
      </c>
      <c r="G2916" t="s">
        <v>361</v>
      </c>
      <c r="H2916">
        <f>electric_vehicles_dataset[[#This Row],[Battery_Capacity_kWh]]/electric_vehicles_dataset[[#This Row],[Range_km]]</f>
        <v>0.35847176079734222</v>
      </c>
      <c r="I2916">
        <v>301</v>
      </c>
      <c r="J2916" t="s">
        <v>353</v>
      </c>
      <c r="K2916">
        <v>2</v>
      </c>
      <c r="L2916" s="1">
        <v>147890.82999999999</v>
      </c>
      <c r="M2916" s="1" t="str" cm="1">
        <f t="array" ref="M291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16" t="s">
        <v>168</v>
      </c>
      <c r="O2916" t="s">
        <v>226</v>
      </c>
      <c r="P2916" s="2" t="s">
        <v>395</v>
      </c>
      <c r="Q2916">
        <v>4</v>
      </c>
      <c r="R2916" t="s">
        <v>392</v>
      </c>
      <c r="S2916" s="1">
        <f>electric_vehicles_dataset[[#This Row],[Units_Sold_2024]]*electric_vehicles_dataset[[#This Row],[Price_USD]]</f>
        <v>2130515296.9799998</v>
      </c>
      <c r="T2916">
        <v>5</v>
      </c>
      <c r="U2916">
        <v>14406</v>
      </c>
      <c r="V2916">
        <v>5</v>
      </c>
    </row>
    <row r="2917" spans="1:22" x14ac:dyDescent="0.35">
      <c r="A2917">
        <v>2916</v>
      </c>
      <c r="B2917" t="s">
        <v>51</v>
      </c>
      <c r="C2917" t="s">
        <v>162</v>
      </c>
      <c r="D2917">
        <v>2021</v>
      </c>
      <c r="E2917" t="s">
        <v>58</v>
      </c>
      <c r="F2917">
        <v>72.5</v>
      </c>
      <c r="G2917" t="s">
        <v>351</v>
      </c>
      <c r="H2917">
        <f>electric_vehicles_dataset[[#This Row],[Battery_Capacity_kWh]]/electric_vehicles_dataset[[#This Row],[Range_km]]</f>
        <v>0.33105022831050229</v>
      </c>
      <c r="I2917">
        <v>219</v>
      </c>
      <c r="J2917" t="s">
        <v>353</v>
      </c>
      <c r="K2917">
        <v>9</v>
      </c>
      <c r="L2917" s="1">
        <v>77079.42</v>
      </c>
      <c r="M2917" s="1" t="str" cm="1">
        <f t="array" ref="M291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17" t="s">
        <v>81</v>
      </c>
      <c r="O2917" t="s">
        <v>107</v>
      </c>
      <c r="P2917" s="2" t="s">
        <v>394</v>
      </c>
      <c r="Q2917">
        <v>4</v>
      </c>
      <c r="R2917" t="s">
        <v>392</v>
      </c>
      <c r="S2917" s="1">
        <f>electric_vehicles_dataset[[#This Row],[Units_Sold_2024]]*electric_vehicles_dataset[[#This Row],[Price_USD]]</f>
        <v>1035716166.54</v>
      </c>
      <c r="T2917">
        <v>5</v>
      </c>
      <c r="U2917">
        <v>13437</v>
      </c>
      <c r="V2917">
        <v>3</v>
      </c>
    </row>
    <row r="2918" spans="1:22" x14ac:dyDescent="0.35">
      <c r="A2918">
        <v>2917</v>
      </c>
      <c r="B2918" t="s">
        <v>234</v>
      </c>
      <c r="C2918" t="s">
        <v>235</v>
      </c>
      <c r="D2918">
        <v>2019</v>
      </c>
      <c r="E2918" t="s">
        <v>84</v>
      </c>
      <c r="F2918">
        <v>99.3</v>
      </c>
      <c r="G2918" t="s">
        <v>350</v>
      </c>
      <c r="H2918">
        <f>electric_vehicles_dataset[[#This Row],[Battery_Capacity_kWh]]/electric_vehicles_dataset[[#This Row],[Range_km]]</f>
        <v>0.32450980392156864</v>
      </c>
      <c r="I2918">
        <v>306</v>
      </c>
      <c r="J2918" t="s">
        <v>34</v>
      </c>
      <c r="K2918">
        <v>5</v>
      </c>
      <c r="L2918" s="1">
        <v>129006.91</v>
      </c>
      <c r="M2918" s="1" t="str" cm="1">
        <f t="array" ref="M29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18" t="s">
        <v>59</v>
      </c>
      <c r="O2918" t="s">
        <v>230</v>
      </c>
      <c r="P2918" s="2" t="s">
        <v>389</v>
      </c>
      <c r="Q2918">
        <v>2</v>
      </c>
      <c r="R2918" t="s">
        <v>391</v>
      </c>
      <c r="S2918" s="1">
        <f>electric_vehicles_dataset[[#This Row],[Units_Sold_2024]]*electric_vehicles_dataset[[#This Row],[Price_USD]]</f>
        <v>1085077120.01</v>
      </c>
      <c r="T2918">
        <v>3</v>
      </c>
      <c r="U2918">
        <v>8411</v>
      </c>
      <c r="V2918">
        <v>5</v>
      </c>
    </row>
    <row r="2919" spans="1:22" x14ac:dyDescent="0.35">
      <c r="A2919">
        <v>2918</v>
      </c>
      <c r="B2919" t="s">
        <v>224</v>
      </c>
      <c r="C2919" t="s">
        <v>225</v>
      </c>
      <c r="D2919">
        <v>2019</v>
      </c>
      <c r="E2919" t="s">
        <v>58</v>
      </c>
      <c r="F2919">
        <v>37.200000000000003</v>
      </c>
      <c r="G2919" t="s">
        <v>357</v>
      </c>
      <c r="H2919">
        <f>electric_vehicles_dataset[[#This Row],[Battery_Capacity_kWh]]/electric_vehicles_dataset[[#This Row],[Range_km]]</f>
        <v>8.5714285714285715E-2</v>
      </c>
      <c r="I2919">
        <v>434</v>
      </c>
      <c r="J2919" t="s">
        <v>345</v>
      </c>
      <c r="K2919">
        <v>5</v>
      </c>
      <c r="L2919" s="1">
        <v>35807.599999999999</v>
      </c>
      <c r="M2919" s="1" t="str" cm="1">
        <f t="array" ref="M29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19" t="s">
        <v>19</v>
      </c>
      <c r="O2919" t="s">
        <v>95</v>
      </c>
      <c r="P2919" s="2" t="s">
        <v>394</v>
      </c>
      <c r="Q2919">
        <v>5</v>
      </c>
      <c r="R2919" t="s">
        <v>392</v>
      </c>
      <c r="S2919" s="1">
        <f>electric_vehicles_dataset[[#This Row],[Units_Sold_2024]]*electric_vehicles_dataset[[#This Row],[Price_USD]]</f>
        <v>298778614.39999998</v>
      </c>
      <c r="T2919">
        <v>3</v>
      </c>
      <c r="U2919">
        <v>8344</v>
      </c>
      <c r="V2919">
        <v>5</v>
      </c>
    </row>
    <row r="2920" spans="1:22" x14ac:dyDescent="0.35">
      <c r="A2920">
        <v>2919</v>
      </c>
      <c r="B2920" t="s">
        <v>220</v>
      </c>
      <c r="C2920" t="s">
        <v>335</v>
      </c>
      <c r="D2920">
        <v>2015</v>
      </c>
      <c r="E2920" t="s">
        <v>183</v>
      </c>
      <c r="F2920">
        <v>107.6</v>
      </c>
      <c r="G2920" t="s">
        <v>361</v>
      </c>
      <c r="H2920">
        <f>electric_vehicles_dataset[[#This Row],[Battery_Capacity_kWh]]/electric_vehicles_dataset[[#This Row],[Range_km]]</f>
        <v>0.58797814207650267</v>
      </c>
      <c r="I2920">
        <v>183</v>
      </c>
      <c r="J2920" t="s">
        <v>76</v>
      </c>
      <c r="K2920">
        <v>5</v>
      </c>
      <c r="L2920" s="1">
        <v>133019.06</v>
      </c>
      <c r="M2920" s="1" t="str" cm="1">
        <f t="array" ref="M292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20" t="s">
        <v>146</v>
      </c>
      <c r="O2920" t="s">
        <v>135</v>
      </c>
      <c r="P2920" s="2" t="s">
        <v>389</v>
      </c>
      <c r="Q2920">
        <v>2</v>
      </c>
      <c r="R2920" t="s">
        <v>391</v>
      </c>
      <c r="S2920" s="1">
        <f>electric_vehicles_dataset[[#This Row],[Units_Sold_2024]]*electric_vehicles_dataset[[#This Row],[Price_USD]]</f>
        <v>2609434900.02</v>
      </c>
      <c r="T2920">
        <v>4</v>
      </c>
      <c r="U2920">
        <v>19617</v>
      </c>
      <c r="V2920">
        <v>3</v>
      </c>
    </row>
    <row r="2921" spans="1:22" x14ac:dyDescent="0.35">
      <c r="A2921">
        <v>2920</v>
      </c>
      <c r="B2921" t="s">
        <v>108</v>
      </c>
      <c r="C2921" t="s">
        <v>109</v>
      </c>
      <c r="D2921">
        <v>2024</v>
      </c>
      <c r="E2921" t="s">
        <v>101</v>
      </c>
      <c r="F2921">
        <v>134</v>
      </c>
      <c r="G2921" t="s">
        <v>352</v>
      </c>
      <c r="H2921">
        <f>electric_vehicles_dataset[[#This Row],[Battery_Capacity_kWh]]/electric_vehicles_dataset[[#This Row],[Range_km]]</f>
        <v>0.68367346938775508</v>
      </c>
      <c r="I2921">
        <v>196</v>
      </c>
      <c r="J2921" t="s">
        <v>364</v>
      </c>
      <c r="K2921">
        <v>10</v>
      </c>
      <c r="L2921" s="1">
        <v>67936.44</v>
      </c>
      <c r="M2921" s="1" t="str" cm="1">
        <f t="array" ref="M292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21" t="s">
        <v>271</v>
      </c>
      <c r="O2921" t="s">
        <v>111</v>
      </c>
      <c r="P2921" s="2" t="s">
        <v>389</v>
      </c>
      <c r="Q2921">
        <v>2</v>
      </c>
      <c r="R2921" t="s">
        <v>391</v>
      </c>
      <c r="S2921" s="1">
        <f>electric_vehicles_dataset[[#This Row],[Units_Sold_2024]]*electric_vehicles_dataset[[#This Row],[Price_USD]]</f>
        <v>1015445968.6800001</v>
      </c>
      <c r="T2921">
        <v>4</v>
      </c>
      <c r="U2921">
        <v>14947</v>
      </c>
      <c r="V2921">
        <v>4</v>
      </c>
    </row>
    <row r="2922" spans="1:22" x14ac:dyDescent="0.35">
      <c r="A2922">
        <v>2921</v>
      </c>
      <c r="B2922" t="s">
        <v>140</v>
      </c>
      <c r="C2922" t="s">
        <v>141</v>
      </c>
      <c r="D2922">
        <v>2017</v>
      </c>
      <c r="E2922" t="s">
        <v>130</v>
      </c>
      <c r="F2922">
        <v>75</v>
      </c>
      <c r="G2922" t="s">
        <v>351</v>
      </c>
      <c r="H2922">
        <f>electric_vehicles_dataset[[#This Row],[Battery_Capacity_kWh]]/electric_vehicles_dataset[[#This Row],[Range_km]]</f>
        <v>0.23961661341853036</v>
      </c>
      <c r="I2922">
        <v>313</v>
      </c>
      <c r="J2922" t="s">
        <v>364</v>
      </c>
      <c r="K2922">
        <v>8</v>
      </c>
      <c r="L2922" s="1">
        <v>50946.5</v>
      </c>
      <c r="M2922" s="1" t="str" cm="1">
        <f t="array" ref="M292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22" t="s">
        <v>172</v>
      </c>
      <c r="O2922" t="s">
        <v>182</v>
      </c>
      <c r="P2922" s="2" t="s">
        <v>394</v>
      </c>
      <c r="Q2922">
        <v>1</v>
      </c>
      <c r="R2922" t="s">
        <v>391</v>
      </c>
      <c r="S2922" s="1">
        <f>electric_vehicles_dataset[[#This Row],[Units_Sold_2024]]*electric_vehicles_dataset[[#This Row],[Price_USD]]</f>
        <v>727668859.5</v>
      </c>
      <c r="T2922">
        <v>4</v>
      </c>
      <c r="U2922">
        <v>14283</v>
      </c>
      <c r="V2922">
        <v>5</v>
      </c>
    </row>
    <row r="2923" spans="1:22" x14ac:dyDescent="0.35">
      <c r="A2923">
        <v>2922</v>
      </c>
      <c r="B2923" t="s">
        <v>234</v>
      </c>
      <c r="C2923" t="s">
        <v>235</v>
      </c>
      <c r="D2923">
        <v>2015</v>
      </c>
      <c r="E2923" t="s">
        <v>58</v>
      </c>
      <c r="F2923">
        <v>91.7</v>
      </c>
      <c r="G2923" t="s">
        <v>350</v>
      </c>
      <c r="H2923">
        <f>electric_vehicles_dataset[[#This Row],[Battery_Capacity_kWh]]/electric_vehicles_dataset[[#This Row],[Range_km]]</f>
        <v>0.39696969696969697</v>
      </c>
      <c r="I2923">
        <v>231</v>
      </c>
      <c r="J2923" t="s">
        <v>38</v>
      </c>
      <c r="K2923">
        <v>6</v>
      </c>
      <c r="L2923" s="1">
        <v>145578.70000000001</v>
      </c>
      <c r="M2923" s="1" t="str" cm="1">
        <f t="array" ref="M292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23" t="s">
        <v>143</v>
      </c>
      <c r="O2923" t="s">
        <v>169</v>
      </c>
      <c r="P2923" s="2" t="s">
        <v>394</v>
      </c>
      <c r="Q2923">
        <v>5</v>
      </c>
      <c r="R2923" t="s">
        <v>392</v>
      </c>
      <c r="S2923" s="1">
        <f>electric_vehicles_dataset[[#This Row],[Units_Sold_2024]]*electric_vehicles_dataset[[#This Row],[Price_USD]]</f>
        <v>1736317154.9000001</v>
      </c>
      <c r="T2923">
        <v>5</v>
      </c>
      <c r="U2923">
        <v>11927</v>
      </c>
      <c r="V2923">
        <v>3</v>
      </c>
    </row>
    <row r="2924" spans="1:22" x14ac:dyDescent="0.35">
      <c r="A2924">
        <v>2923</v>
      </c>
      <c r="B2924" t="s">
        <v>259</v>
      </c>
      <c r="C2924" t="s">
        <v>260</v>
      </c>
      <c r="D2924">
        <v>2019</v>
      </c>
      <c r="E2924" t="s">
        <v>58</v>
      </c>
      <c r="F2924">
        <v>21.8</v>
      </c>
      <c r="G2924" t="s">
        <v>357</v>
      </c>
      <c r="H2924">
        <f>electric_vehicles_dataset[[#This Row],[Battery_Capacity_kWh]]/electric_vehicles_dataset[[#This Row],[Range_km]]</f>
        <v>0.15683453237410072</v>
      </c>
      <c r="I2924">
        <v>139</v>
      </c>
      <c r="J2924" t="s">
        <v>54</v>
      </c>
      <c r="K2924">
        <v>1</v>
      </c>
      <c r="L2924" s="1">
        <v>108072.44</v>
      </c>
      <c r="M2924" s="1" t="str" cm="1">
        <f t="array" ref="M292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24" t="s">
        <v>214</v>
      </c>
      <c r="O2924" t="s">
        <v>78</v>
      </c>
      <c r="P2924" s="2" t="s">
        <v>389</v>
      </c>
      <c r="Q2924">
        <v>5</v>
      </c>
      <c r="R2924" t="s">
        <v>392</v>
      </c>
      <c r="S2924" s="1">
        <f>electric_vehicles_dataset[[#This Row],[Units_Sold_2024]]*electric_vehicles_dataset[[#This Row],[Price_USD]]</f>
        <v>905214757.44000006</v>
      </c>
      <c r="T2924">
        <v>3</v>
      </c>
      <c r="U2924">
        <v>8376</v>
      </c>
      <c r="V2924">
        <v>5</v>
      </c>
    </row>
    <row r="2925" spans="1:22" x14ac:dyDescent="0.35">
      <c r="A2925">
        <v>2924</v>
      </c>
      <c r="B2925" t="s">
        <v>222</v>
      </c>
      <c r="C2925" t="s">
        <v>232</v>
      </c>
      <c r="D2925">
        <v>2020</v>
      </c>
      <c r="E2925" t="s">
        <v>133</v>
      </c>
      <c r="F2925">
        <v>75.8</v>
      </c>
      <c r="G2925" t="s">
        <v>351</v>
      </c>
      <c r="H2925">
        <f>electric_vehicles_dataset[[#This Row],[Battery_Capacity_kWh]]/electric_vehicles_dataset[[#This Row],[Range_km]]</f>
        <v>0.57424242424242422</v>
      </c>
      <c r="I2925">
        <v>132</v>
      </c>
      <c r="J2925" t="s">
        <v>18</v>
      </c>
      <c r="K2925">
        <v>10</v>
      </c>
      <c r="L2925" s="1">
        <v>126025.02</v>
      </c>
      <c r="M2925" s="1" t="str" cm="1">
        <f t="array" ref="M2925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25" t="s">
        <v>102</v>
      </c>
      <c r="O2925" t="s">
        <v>107</v>
      </c>
      <c r="P2925" s="2" t="s">
        <v>394</v>
      </c>
      <c r="Q2925">
        <v>3</v>
      </c>
      <c r="R2925" t="s">
        <v>397</v>
      </c>
      <c r="S2925" s="1">
        <f>electric_vehicles_dataset[[#This Row],[Units_Sold_2024]]*electric_vehicles_dataset[[#This Row],[Price_USD]]</f>
        <v>1250042173.3800001</v>
      </c>
      <c r="T2925">
        <v>4</v>
      </c>
      <c r="U2925">
        <v>9919</v>
      </c>
      <c r="V2925">
        <v>5</v>
      </c>
    </row>
    <row r="2926" spans="1:22" x14ac:dyDescent="0.35">
      <c r="A2926">
        <v>2925</v>
      </c>
      <c r="B2926" t="s">
        <v>71</v>
      </c>
      <c r="C2926" t="s">
        <v>258</v>
      </c>
      <c r="D2926">
        <v>2024</v>
      </c>
      <c r="E2926" t="s">
        <v>26</v>
      </c>
      <c r="F2926">
        <v>118</v>
      </c>
      <c r="G2926" t="s">
        <v>361</v>
      </c>
      <c r="H2926">
        <f>electric_vehicles_dataset[[#This Row],[Battery_Capacity_kWh]]/electric_vehicles_dataset[[#This Row],[Range_km]]</f>
        <v>0.28365384615384615</v>
      </c>
      <c r="I2926">
        <v>416</v>
      </c>
      <c r="J2926" t="s">
        <v>85</v>
      </c>
      <c r="K2926">
        <v>9</v>
      </c>
      <c r="L2926" s="1">
        <v>91216.23</v>
      </c>
      <c r="M2926" s="1" t="str" cm="1">
        <f t="array" ref="M292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26" t="s">
        <v>160</v>
      </c>
      <c r="O2926" t="s">
        <v>147</v>
      </c>
      <c r="P2926" s="2" t="s">
        <v>396</v>
      </c>
      <c r="Q2926">
        <v>5</v>
      </c>
      <c r="R2926" t="s">
        <v>392</v>
      </c>
      <c r="S2926" s="1">
        <f>electric_vehicles_dataset[[#This Row],[Units_Sold_2024]]*electric_vehicles_dataset[[#This Row],[Price_USD]]</f>
        <v>1015145423.67</v>
      </c>
      <c r="T2926">
        <v>3</v>
      </c>
      <c r="U2926">
        <v>11129</v>
      </c>
      <c r="V2926">
        <v>5</v>
      </c>
    </row>
    <row r="2927" spans="1:22" x14ac:dyDescent="0.35">
      <c r="A2927">
        <v>2926</v>
      </c>
      <c r="B2927" t="s">
        <v>180</v>
      </c>
      <c r="C2927" t="s">
        <v>285</v>
      </c>
      <c r="D2927">
        <v>2020</v>
      </c>
      <c r="E2927" t="s">
        <v>73</v>
      </c>
      <c r="F2927">
        <v>113</v>
      </c>
      <c r="G2927" t="s">
        <v>361</v>
      </c>
      <c r="H2927">
        <f>electric_vehicles_dataset[[#This Row],[Battery_Capacity_kWh]]/electric_vehicles_dataset[[#This Row],[Range_km]]</f>
        <v>0.21772639691714837</v>
      </c>
      <c r="I2927">
        <v>519</v>
      </c>
      <c r="J2927" t="s">
        <v>358</v>
      </c>
      <c r="K2927">
        <v>2</v>
      </c>
      <c r="L2927" s="1">
        <v>148253.34</v>
      </c>
      <c r="M2927" s="1" t="str" cm="1">
        <f t="array" ref="M292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27" t="s">
        <v>117</v>
      </c>
      <c r="O2927" t="s">
        <v>199</v>
      </c>
      <c r="P2927" s="2" t="s">
        <v>394</v>
      </c>
      <c r="Q2927">
        <v>5</v>
      </c>
      <c r="R2927" t="s">
        <v>392</v>
      </c>
      <c r="S2927" s="1">
        <f>electric_vehicles_dataset[[#This Row],[Units_Sold_2024]]*electric_vehicles_dataset[[#This Row],[Price_USD]]</f>
        <v>411254765.15999997</v>
      </c>
      <c r="T2927">
        <v>5</v>
      </c>
      <c r="U2927">
        <v>2774</v>
      </c>
      <c r="V2927">
        <v>3</v>
      </c>
    </row>
    <row r="2928" spans="1:22" x14ac:dyDescent="0.35">
      <c r="A2928">
        <v>2927</v>
      </c>
      <c r="B2928" t="s">
        <v>170</v>
      </c>
      <c r="C2928" t="s">
        <v>367</v>
      </c>
      <c r="D2928">
        <v>2019</v>
      </c>
      <c r="E2928" t="s">
        <v>17</v>
      </c>
      <c r="F2928">
        <v>79.099999999999994</v>
      </c>
      <c r="G2928" t="s">
        <v>351</v>
      </c>
      <c r="H2928">
        <f>electric_vehicles_dataset[[#This Row],[Battery_Capacity_kWh]]/electric_vehicles_dataset[[#This Row],[Range_km]]</f>
        <v>0.29296296296296293</v>
      </c>
      <c r="I2928">
        <v>270</v>
      </c>
      <c r="J2928" t="s">
        <v>364</v>
      </c>
      <c r="K2928">
        <v>3</v>
      </c>
      <c r="L2928" s="1">
        <v>121763.76</v>
      </c>
      <c r="M2928" s="1" t="str" cm="1">
        <f t="array" ref="M292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28" t="s">
        <v>168</v>
      </c>
      <c r="O2928" t="s">
        <v>95</v>
      </c>
      <c r="P2928" s="2" t="s">
        <v>394</v>
      </c>
      <c r="Q2928">
        <v>2</v>
      </c>
      <c r="R2928" t="s">
        <v>391</v>
      </c>
      <c r="S2928" s="1">
        <f>electric_vehicles_dataset[[#This Row],[Units_Sold_2024]]*electric_vehicles_dataset[[#This Row],[Price_USD]]</f>
        <v>1265977812.72</v>
      </c>
      <c r="T2928">
        <v>5</v>
      </c>
      <c r="U2928">
        <v>10397</v>
      </c>
      <c r="V2928">
        <v>3</v>
      </c>
    </row>
    <row r="2929" spans="1:22" x14ac:dyDescent="0.35">
      <c r="A2929">
        <v>2928</v>
      </c>
      <c r="B2929" t="s">
        <v>187</v>
      </c>
      <c r="C2929" t="s">
        <v>320</v>
      </c>
      <c r="D2929">
        <v>2023</v>
      </c>
      <c r="E2929" t="s">
        <v>53</v>
      </c>
      <c r="F2929">
        <v>145.9</v>
      </c>
      <c r="G2929" t="s">
        <v>386</v>
      </c>
      <c r="H2929">
        <f>electric_vehicles_dataset[[#This Row],[Battery_Capacity_kWh]]/electric_vehicles_dataset[[#This Row],[Range_km]]</f>
        <v>0.33009049773755655</v>
      </c>
      <c r="I2929">
        <v>442</v>
      </c>
      <c r="J2929" t="s">
        <v>105</v>
      </c>
      <c r="K2929">
        <v>1</v>
      </c>
      <c r="L2929" s="1">
        <v>71492.100000000006</v>
      </c>
      <c r="M2929" s="1" t="str" cm="1">
        <f t="array" ref="M292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29" t="s">
        <v>146</v>
      </c>
      <c r="O2929" t="s">
        <v>134</v>
      </c>
      <c r="P2929" s="2" t="s">
        <v>389</v>
      </c>
      <c r="Q2929">
        <v>2</v>
      </c>
      <c r="R2929" t="s">
        <v>391</v>
      </c>
      <c r="S2929" s="1">
        <f>electric_vehicles_dataset[[#This Row],[Units_Sold_2024]]*electric_vehicles_dataset[[#This Row],[Price_USD]]</f>
        <v>54048027.600000001</v>
      </c>
      <c r="T2929">
        <v>4</v>
      </c>
      <c r="U2929">
        <v>756</v>
      </c>
      <c r="V2929">
        <v>5</v>
      </c>
    </row>
    <row r="2930" spans="1:22" x14ac:dyDescent="0.35">
      <c r="A2930">
        <v>2929</v>
      </c>
      <c r="B2930" t="s">
        <v>16</v>
      </c>
      <c r="C2930" t="s">
        <v>347</v>
      </c>
      <c r="D2930">
        <v>2016</v>
      </c>
      <c r="E2930" t="s">
        <v>58</v>
      </c>
      <c r="F2930">
        <v>101.2</v>
      </c>
      <c r="G2930" t="s">
        <v>361</v>
      </c>
      <c r="H2930">
        <f>electric_vehicles_dataset[[#This Row],[Battery_Capacity_kWh]]/electric_vehicles_dataset[[#This Row],[Range_km]]</f>
        <v>0.2024</v>
      </c>
      <c r="I2930">
        <v>500</v>
      </c>
      <c r="J2930" t="s">
        <v>149</v>
      </c>
      <c r="K2930">
        <v>9</v>
      </c>
      <c r="L2930" s="1">
        <v>84519.99</v>
      </c>
      <c r="M2930" s="1" t="str" cm="1">
        <f t="array" ref="M293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30" t="s">
        <v>238</v>
      </c>
      <c r="O2930" t="s">
        <v>236</v>
      </c>
      <c r="P2930" s="2" t="s">
        <v>394</v>
      </c>
      <c r="Q2930">
        <v>1</v>
      </c>
      <c r="R2930" t="s">
        <v>391</v>
      </c>
      <c r="S2930" s="1">
        <f>electric_vehicles_dataset[[#This Row],[Units_Sold_2024]]*electric_vehicles_dataset[[#This Row],[Price_USD]]</f>
        <v>1482058024.6500001</v>
      </c>
      <c r="T2930">
        <v>4</v>
      </c>
      <c r="U2930">
        <v>17535</v>
      </c>
      <c r="V2930">
        <v>4</v>
      </c>
    </row>
    <row r="2931" spans="1:22" x14ac:dyDescent="0.35">
      <c r="A2931">
        <v>2930</v>
      </c>
      <c r="B2931" t="s">
        <v>24</v>
      </c>
      <c r="C2931" t="s">
        <v>300</v>
      </c>
      <c r="D2931">
        <v>2018</v>
      </c>
      <c r="E2931" t="s">
        <v>183</v>
      </c>
      <c r="F2931">
        <v>97.5</v>
      </c>
      <c r="G2931" t="s">
        <v>350</v>
      </c>
      <c r="H2931">
        <f>electric_vehicles_dataset[[#This Row],[Battery_Capacity_kWh]]/electric_vehicles_dataset[[#This Row],[Range_km]]</f>
        <v>0.42763157894736842</v>
      </c>
      <c r="I2931">
        <v>228</v>
      </c>
      <c r="J2931" t="s">
        <v>105</v>
      </c>
      <c r="K2931">
        <v>11</v>
      </c>
      <c r="L2931" s="1">
        <v>121013.96</v>
      </c>
      <c r="M2931" s="1" t="str" cm="1">
        <f t="array" ref="M293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31" t="s">
        <v>114</v>
      </c>
      <c r="O2931" t="s">
        <v>135</v>
      </c>
      <c r="P2931" s="2" t="s">
        <v>389</v>
      </c>
      <c r="Q2931">
        <v>2</v>
      </c>
      <c r="R2931" t="s">
        <v>391</v>
      </c>
      <c r="S2931" s="1">
        <f>electric_vehicles_dataset[[#This Row],[Units_Sold_2024]]*electric_vehicles_dataset[[#This Row],[Price_USD]]</f>
        <v>653838425.88</v>
      </c>
      <c r="T2931">
        <v>4</v>
      </c>
      <c r="U2931">
        <v>5403</v>
      </c>
      <c r="V2931">
        <v>5</v>
      </c>
    </row>
    <row r="2932" spans="1:22" x14ac:dyDescent="0.35">
      <c r="A2932">
        <v>2931</v>
      </c>
      <c r="B2932" t="s">
        <v>51</v>
      </c>
      <c r="C2932" t="s">
        <v>52</v>
      </c>
      <c r="D2932">
        <v>2016</v>
      </c>
      <c r="E2932" t="s">
        <v>90</v>
      </c>
      <c r="F2932">
        <v>66.099999999999994</v>
      </c>
      <c r="G2932" t="s">
        <v>351</v>
      </c>
      <c r="H2932">
        <f>electric_vehicles_dataset[[#This Row],[Battery_Capacity_kWh]]/electric_vehicles_dataset[[#This Row],[Range_km]]</f>
        <v>0.11535776614310644</v>
      </c>
      <c r="I2932">
        <v>573</v>
      </c>
      <c r="J2932" t="s">
        <v>27</v>
      </c>
      <c r="K2932">
        <v>12</v>
      </c>
      <c r="L2932" s="1">
        <v>97224.11</v>
      </c>
      <c r="M2932" s="1" t="str" cm="1">
        <f t="array" ref="M293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32" t="s">
        <v>100</v>
      </c>
      <c r="O2932" t="s">
        <v>115</v>
      </c>
      <c r="P2932" s="2" t="s">
        <v>396</v>
      </c>
      <c r="Q2932">
        <v>2</v>
      </c>
      <c r="R2932" t="s">
        <v>391</v>
      </c>
      <c r="S2932" s="1">
        <f>electric_vehicles_dataset[[#This Row],[Units_Sold_2024]]*electric_vehicles_dataset[[#This Row],[Price_USD]]</f>
        <v>764181504.60000002</v>
      </c>
      <c r="T2932">
        <v>3</v>
      </c>
      <c r="U2932">
        <v>7860</v>
      </c>
      <c r="V2932">
        <v>4</v>
      </c>
    </row>
    <row r="2933" spans="1:22" x14ac:dyDescent="0.35">
      <c r="A2933">
        <v>2932</v>
      </c>
      <c r="B2933" t="s">
        <v>16</v>
      </c>
      <c r="C2933" t="s">
        <v>347</v>
      </c>
      <c r="D2933">
        <v>2017</v>
      </c>
      <c r="E2933" t="s">
        <v>17</v>
      </c>
      <c r="F2933">
        <v>101</v>
      </c>
      <c r="G2933" t="s">
        <v>361</v>
      </c>
      <c r="H2933">
        <f>electric_vehicles_dataset[[#This Row],[Battery_Capacity_kWh]]/electric_vehicles_dataset[[#This Row],[Range_km]]</f>
        <v>0.18363636363636363</v>
      </c>
      <c r="I2933">
        <v>550</v>
      </c>
      <c r="J2933" t="s">
        <v>34</v>
      </c>
      <c r="K2933">
        <v>2</v>
      </c>
      <c r="L2933" s="1">
        <v>137232.76</v>
      </c>
      <c r="M2933" s="1" t="str" cm="1">
        <f t="array" ref="M293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33" t="s">
        <v>106</v>
      </c>
      <c r="O2933" t="s">
        <v>33</v>
      </c>
      <c r="P2933" s="2" t="s">
        <v>393</v>
      </c>
      <c r="Q2933">
        <v>2</v>
      </c>
      <c r="R2933" t="s">
        <v>391</v>
      </c>
      <c r="S2933" s="1">
        <f>electric_vehicles_dataset[[#This Row],[Units_Sold_2024]]*electric_vehicles_dataset[[#This Row],[Price_USD]]</f>
        <v>1720349879.3600001</v>
      </c>
      <c r="T2933">
        <v>5</v>
      </c>
      <c r="U2933">
        <v>12536</v>
      </c>
      <c r="V2933">
        <v>3</v>
      </c>
    </row>
    <row r="2934" spans="1:22" x14ac:dyDescent="0.35">
      <c r="A2934">
        <v>2933</v>
      </c>
      <c r="B2934" t="s">
        <v>140</v>
      </c>
      <c r="C2934" t="s">
        <v>141</v>
      </c>
      <c r="D2934">
        <v>2024</v>
      </c>
      <c r="E2934" t="s">
        <v>130</v>
      </c>
      <c r="F2934">
        <v>68.3</v>
      </c>
      <c r="G2934" t="s">
        <v>351</v>
      </c>
      <c r="H2934">
        <f>electric_vehicles_dataset[[#This Row],[Battery_Capacity_kWh]]/electric_vehicles_dataset[[#This Row],[Range_km]]</f>
        <v>0.13471400394477318</v>
      </c>
      <c r="I2934">
        <v>507</v>
      </c>
      <c r="J2934" t="s">
        <v>149</v>
      </c>
      <c r="K2934">
        <v>9</v>
      </c>
      <c r="L2934" s="1">
        <v>83108.649999999994</v>
      </c>
      <c r="M2934" s="1" t="str" cm="1">
        <f t="array" ref="M293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34" t="s">
        <v>35</v>
      </c>
      <c r="O2934" t="s">
        <v>159</v>
      </c>
      <c r="P2934" s="2" t="s">
        <v>389</v>
      </c>
      <c r="Q2934">
        <v>1</v>
      </c>
      <c r="R2934" t="s">
        <v>391</v>
      </c>
      <c r="S2934" s="1">
        <f>electric_vehicles_dataset[[#This Row],[Units_Sold_2024]]*electric_vehicles_dataset[[#This Row],[Price_USD]]</f>
        <v>565138820</v>
      </c>
      <c r="T2934">
        <v>4</v>
      </c>
      <c r="U2934">
        <v>6800</v>
      </c>
      <c r="V2934">
        <v>3</v>
      </c>
    </row>
    <row r="2935" spans="1:22" x14ac:dyDescent="0.35">
      <c r="A2935">
        <v>2934</v>
      </c>
      <c r="B2935" t="s">
        <v>144</v>
      </c>
      <c r="C2935" t="s">
        <v>145</v>
      </c>
      <c r="D2935">
        <v>2016</v>
      </c>
      <c r="E2935" t="s">
        <v>47</v>
      </c>
      <c r="F2935">
        <v>85.6</v>
      </c>
      <c r="G2935" t="s">
        <v>350</v>
      </c>
      <c r="H2935">
        <f>electric_vehicles_dataset[[#This Row],[Battery_Capacity_kWh]]/electric_vehicles_dataset[[#This Row],[Range_km]]</f>
        <v>0.30571428571428572</v>
      </c>
      <c r="I2935">
        <v>280</v>
      </c>
      <c r="J2935" t="s">
        <v>345</v>
      </c>
      <c r="K2935">
        <v>7</v>
      </c>
      <c r="L2935" s="1">
        <v>93690.58</v>
      </c>
      <c r="M2935" s="1" t="str" cm="1">
        <f t="array" ref="M293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35" t="s">
        <v>229</v>
      </c>
      <c r="O2935" t="s">
        <v>121</v>
      </c>
      <c r="P2935" s="2" t="s">
        <v>398</v>
      </c>
      <c r="Q2935">
        <v>0</v>
      </c>
      <c r="R2935" t="s">
        <v>390</v>
      </c>
      <c r="S2935" s="1">
        <f>electric_vehicles_dataset[[#This Row],[Units_Sold_2024]]*electric_vehicles_dataset[[#This Row],[Price_USD]]</f>
        <v>552868112.58000004</v>
      </c>
      <c r="T2935">
        <v>4</v>
      </c>
      <c r="U2935">
        <v>5901</v>
      </c>
      <c r="V2935">
        <v>5</v>
      </c>
    </row>
    <row r="2936" spans="1:22" x14ac:dyDescent="0.35">
      <c r="A2936">
        <v>2935</v>
      </c>
      <c r="B2936" t="s">
        <v>140</v>
      </c>
      <c r="C2936" t="s">
        <v>227</v>
      </c>
      <c r="D2936">
        <v>2024</v>
      </c>
      <c r="E2936" t="s">
        <v>130</v>
      </c>
      <c r="F2936">
        <v>87.4</v>
      </c>
      <c r="G2936" t="s">
        <v>350</v>
      </c>
      <c r="H2936">
        <f>electric_vehicles_dataset[[#This Row],[Battery_Capacity_kWh]]/electric_vehicles_dataset[[#This Row],[Range_km]]</f>
        <v>0.82452830188679249</v>
      </c>
      <c r="I2936">
        <v>106</v>
      </c>
      <c r="J2936" t="s">
        <v>364</v>
      </c>
      <c r="K2936">
        <v>7</v>
      </c>
      <c r="L2936" s="1">
        <v>97494.53</v>
      </c>
      <c r="M2936" s="1" t="str" cm="1">
        <f t="array" ref="M293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36" t="s">
        <v>257</v>
      </c>
      <c r="O2936" t="s">
        <v>33</v>
      </c>
      <c r="P2936" s="2" t="s">
        <v>393</v>
      </c>
      <c r="Q2936">
        <v>4</v>
      </c>
      <c r="R2936" t="s">
        <v>392</v>
      </c>
      <c r="S2936" s="1">
        <f>electric_vehicles_dataset[[#This Row],[Units_Sold_2024]]*electric_vehicles_dataset[[#This Row],[Price_USD]]</f>
        <v>1291315049.8499999</v>
      </c>
      <c r="T2936">
        <v>4</v>
      </c>
      <c r="U2936">
        <v>13245</v>
      </c>
      <c r="V2936">
        <v>5</v>
      </c>
    </row>
    <row r="2937" spans="1:22" x14ac:dyDescent="0.35">
      <c r="A2937">
        <v>2936</v>
      </c>
      <c r="B2937" t="s">
        <v>136</v>
      </c>
      <c r="C2937" t="s">
        <v>137</v>
      </c>
      <c r="D2937">
        <v>2022</v>
      </c>
      <c r="E2937" t="s">
        <v>183</v>
      </c>
      <c r="F2937">
        <v>58</v>
      </c>
      <c r="G2937" t="s">
        <v>348</v>
      </c>
      <c r="H2937">
        <f>electric_vehicles_dataset[[#This Row],[Battery_Capacity_kWh]]/electric_vehicles_dataset[[#This Row],[Range_km]]</f>
        <v>0.10661764705882353</v>
      </c>
      <c r="I2937">
        <v>544</v>
      </c>
      <c r="J2937" t="s">
        <v>358</v>
      </c>
      <c r="K2937">
        <v>2</v>
      </c>
      <c r="L2937" s="1">
        <v>68325.81</v>
      </c>
      <c r="M2937" s="1" t="str" cm="1">
        <f t="array" ref="M293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37" t="s">
        <v>277</v>
      </c>
      <c r="O2937" t="s">
        <v>110</v>
      </c>
      <c r="P2937" s="2" t="s">
        <v>394</v>
      </c>
      <c r="Q2937">
        <v>0</v>
      </c>
      <c r="R2937" t="s">
        <v>390</v>
      </c>
      <c r="S2937" s="1">
        <f>electric_vehicles_dataset[[#This Row],[Units_Sold_2024]]*electric_vehicles_dataset[[#This Row],[Price_USD]]</f>
        <v>222537163.16999999</v>
      </c>
      <c r="T2937">
        <v>4</v>
      </c>
      <c r="U2937">
        <v>3257</v>
      </c>
      <c r="V2937">
        <v>5</v>
      </c>
    </row>
    <row r="2938" spans="1:22" x14ac:dyDescent="0.35">
      <c r="A2938">
        <v>2937</v>
      </c>
      <c r="B2938" t="s">
        <v>74</v>
      </c>
      <c r="C2938" t="s">
        <v>75</v>
      </c>
      <c r="D2938">
        <v>2020</v>
      </c>
      <c r="E2938" t="s">
        <v>47</v>
      </c>
      <c r="F2938">
        <v>78.8</v>
      </c>
      <c r="G2938" t="s">
        <v>351</v>
      </c>
      <c r="H2938">
        <f>electric_vehicles_dataset[[#This Row],[Battery_Capacity_kWh]]/electric_vehicles_dataset[[#This Row],[Range_km]]</f>
        <v>0.29402985074626864</v>
      </c>
      <c r="I2938">
        <v>268</v>
      </c>
      <c r="J2938" t="s">
        <v>27</v>
      </c>
      <c r="K2938">
        <v>10</v>
      </c>
      <c r="L2938" s="1">
        <v>96259.98</v>
      </c>
      <c r="M2938" s="1" t="str" cm="1">
        <f t="array" ref="M293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38" t="s">
        <v>210</v>
      </c>
      <c r="O2938" t="s">
        <v>150</v>
      </c>
      <c r="P2938" s="2" t="s">
        <v>389</v>
      </c>
      <c r="Q2938">
        <v>0</v>
      </c>
      <c r="R2938" t="s">
        <v>390</v>
      </c>
      <c r="S2938" s="1">
        <f>electric_vehicles_dataset[[#This Row],[Units_Sold_2024]]*electric_vehicles_dataset[[#This Row],[Price_USD]]</f>
        <v>143908670.09999999</v>
      </c>
      <c r="T2938">
        <v>3</v>
      </c>
      <c r="U2938">
        <v>1495</v>
      </c>
      <c r="V2938">
        <v>4</v>
      </c>
    </row>
    <row r="2939" spans="1:22" x14ac:dyDescent="0.35">
      <c r="A2939">
        <v>2938</v>
      </c>
      <c r="B2939" t="s">
        <v>36</v>
      </c>
      <c r="C2939" t="s">
        <v>324</v>
      </c>
      <c r="D2939">
        <v>2015</v>
      </c>
      <c r="E2939" t="s">
        <v>53</v>
      </c>
      <c r="F2939">
        <v>80.2</v>
      </c>
      <c r="G2939" t="s">
        <v>350</v>
      </c>
      <c r="H2939">
        <f>electric_vehicles_dataset[[#This Row],[Battery_Capacity_kWh]]/electric_vehicles_dataset[[#This Row],[Range_km]]</f>
        <v>0.32469635627530363</v>
      </c>
      <c r="I2939">
        <v>247</v>
      </c>
      <c r="J2939" t="s">
        <v>359</v>
      </c>
      <c r="K2939">
        <v>7</v>
      </c>
      <c r="L2939" s="1">
        <v>105934.5</v>
      </c>
      <c r="M2939" s="1" t="str" cm="1">
        <f t="array" ref="M293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39" t="s">
        <v>257</v>
      </c>
      <c r="O2939" t="s">
        <v>161</v>
      </c>
      <c r="P2939" s="2" t="s">
        <v>389</v>
      </c>
      <c r="Q2939">
        <v>2</v>
      </c>
      <c r="R2939" t="s">
        <v>391</v>
      </c>
      <c r="S2939" s="1">
        <f>electric_vehicles_dataset[[#This Row],[Units_Sold_2024]]*electric_vehicles_dataset[[#This Row],[Price_USD]]</f>
        <v>582216012</v>
      </c>
      <c r="T2939">
        <v>5</v>
      </c>
      <c r="U2939">
        <v>5496</v>
      </c>
      <c r="V2939">
        <v>3</v>
      </c>
    </row>
    <row r="2940" spans="1:22" x14ac:dyDescent="0.35">
      <c r="A2940">
        <v>2939</v>
      </c>
      <c r="B2940" t="s">
        <v>153</v>
      </c>
      <c r="C2940" t="s">
        <v>154</v>
      </c>
      <c r="D2940">
        <v>2025</v>
      </c>
      <c r="E2940" t="s">
        <v>183</v>
      </c>
      <c r="F2940">
        <v>53.2</v>
      </c>
      <c r="G2940" t="s">
        <v>348</v>
      </c>
      <c r="H2940">
        <f>electric_vehicles_dataset[[#This Row],[Battery_Capacity_kWh]]/electric_vehicles_dataset[[#This Row],[Range_km]]</f>
        <v>9.5340501792114701E-2</v>
      </c>
      <c r="I2940">
        <v>558</v>
      </c>
      <c r="J2940" t="s">
        <v>105</v>
      </c>
      <c r="K2940">
        <v>1</v>
      </c>
      <c r="L2940" s="1">
        <v>87319.8</v>
      </c>
      <c r="M2940" s="1" t="str" cm="1">
        <f t="array" ref="M294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40" t="s">
        <v>238</v>
      </c>
      <c r="O2940" t="s">
        <v>93</v>
      </c>
      <c r="P2940" s="2" t="s">
        <v>389</v>
      </c>
      <c r="Q2940">
        <v>0</v>
      </c>
      <c r="R2940" t="s">
        <v>390</v>
      </c>
      <c r="S2940" s="1">
        <f>electric_vehicles_dataset[[#This Row],[Units_Sold_2024]]*electric_vehicles_dataset[[#This Row],[Price_USD]]</f>
        <v>1135157.4000000001</v>
      </c>
      <c r="T2940">
        <v>5</v>
      </c>
      <c r="U2940">
        <v>13</v>
      </c>
      <c r="V2940">
        <v>3</v>
      </c>
    </row>
    <row r="2941" spans="1:22" x14ac:dyDescent="0.35">
      <c r="A2941">
        <v>2940</v>
      </c>
      <c r="B2941" t="s">
        <v>29</v>
      </c>
      <c r="C2941" t="s">
        <v>197</v>
      </c>
      <c r="D2941">
        <v>2015</v>
      </c>
      <c r="E2941" t="s">
        <v>183</v>
      </c>
      <c r="F2941">
        <v>45.5</v>
      </c>
      <c r="G2941" t="s">
        <v>348</v>
      </c>
      <c r="H2941">
        <f>electric_vehicles_dataset[[#This Row],[Battery_Capacity_kWh]]/electric_vehicles_dataset[[#This Row],[Range_km]]</f>
        <v>0.15016501650165018</v>
      </c>
      <c r="I2941">
        <v>303</v>
      </c>
      <c r="J2941" t="s">
        <v>356</v>
      </c>
      <c r="K2941">
        <v>11</v>
      </c>
      <c r="L2941" s="1">
        <v>103250.88</v>
      </c>
      <c r="M2941" s="1" t="str" cm="1">
        <f t="array" ref="M294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41" t="s">
        <v>39</v>
      </c>
      <c r="O2941" t="s">
        <v>92</v>
      </c>
      <c r="P2941" s="2" t="s">
        <v>394</v>
      </c>
      <c r="Q2941">
        <v>4</v>
      </c>
      <c r="R2941" t="s">
        <v>392</v>
      </c>
      <c r="S2941" s="1">
        <f>electric_vehicles_dataset[[#This Row],[Units_Sold_2024]]*electric_vehicles_dataset[[#This Row],[Price_USD]]</f>
        <v>1466782001.28</v>
      </c>
      <c r="T2941">
        <v>3</v>
      </c>
      <c r="U2941">
        <v>14206</v>
      </c>
      <c r="V2941">
        <v>3</v>
      </c>
    </row>
    <row r="2942" spans="1:22" x14ac:dyDescent="0.35">
      <c r="A2942">
        <v>2941</v>
      </c>
      <c r="B2942" t="s">
        <v>16</v>
      </c>
      <c r="C2942" t="s">
        <v>347</v>
      </c>
      <c r="D2942">
        <v>2021</v>
      </c>
      <c r="E2942" t="s">
        <v>73</v>
      </c>
      <c r="F2942">
        <v>74.599999999999994</v>
      </c>
      <c r="G2942" t="s">
        <v>351</v>
      </c>
      <c r="H2942">
        <f>electric_vehicles_dataset[[#This Row],[Battery_Capacity_kWh]]/electric_vehicles_dataset[[#This Row],[Range_km]]</f>
        <v>0.21498559077809798</v>
      </c>
      <c r="I2942">
        <v>347</v>
      </c>
      <c r="J2942" t="s">
        <v>364</v>
      </c>
      <c r="K2942">
        <v>12</v>
      </c>
      <c r="L2942" s="1">
        <v>88645.67</v>
      </c>
      <c r="M2942" s="1" t="str" cm="1">
        <f t="array" ref="M294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42" t="s">
        <v>59</v>
      </c>
      <c r="O2942" t="s">
        <v>159</v>
      </c>
      <c r="P2942" s="2" t="s">
        <v>389</v>
      </c>
      <c r="Q2942">
        <v>3</v>
      </c>
      <c r="R2942" t="s">
        <v>397</v>
      </c>
      <c r="S2942" s="1">
        <f>electric_vehicles_dataset[[#This Row],[Units_Sold_2024]]*electric_vehicles_dataset[[#This Row],[Price_USD]]</f>
        <v>72423512.390000001</v>
      </c>
      <c r="T2942">
        <v>5</v>
      </c>
      <c r="U2942">
        <v>817</v>
      </c>
      <c r="V2942">
        <v>5</v>
      </c>
    </row>
    <row r="2943" spans="1:22" x14ac:dyDescent="0.35">
      <c r="A2943">
        <v>2942</v>
      </c>
      <c r="B2943" t="s">
        <v>87</v>
      </c>
      <c r="C2943" t="s">
        <v>88</v>
      </c>
      <c r="D2943">
        <v>2025</v>
      </c>
      <c r="E2943" t="s">
        <v>53</v>
      </c>
      <c r="F2943">
        <v>136.4</v>
      </c>
      <c r="G2943" t="s">
        <v>352</v>
      </c>
      <c r="H2943">
        <f>electric_vehicles_dataset[[#This Row],[Battery_Capacity_kWh]]/electric_vehicles_dataset[[#This Row],[Range_km]]</f>
        <v>0.28181818181818186</v>
      </c>
      <c r="I2943">
        <v>484</v>
      </c>
      <c r="J2943" t="s">
        <v>359</v>
      </c>
      <c r="K2943">
        <v>1</v>
      </c>
      <c r="L2943" s="1">
        <v>30619.88</v>
      </c>
      <c r="M2943" s="1" t="str" cm="1">
        <f t="array" ref="M294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43" t="s">
        <v>277</v>
      </c>
      <c r="O2943" t="s">
        <v>110</v>
      </c>
      <c r="P2943" s="2" t="s">
        <v>394</v>
      </c>
      <c r="Q2943">
        <v>3</v>
      </c>
      <c r="R2943" t="s">
        <v>397</v>
      </c>
      <c r="S2943" s="1">
        <f>electric_vehicles_dataset[[#This Row],[Units_Sold_2024]]*electric_vehicles_dataset[[#This Row],[Price_USD]]</f>
        <v>331613300.40000004</v>
      </c>
      <c r="T2943">
        <v>3</v>
      </c>
      <c r="U2943">
        <v>10830</v>
      </c>
      <c r="V2943">
        <v>3</v>
      </c>
    </row>
    <row r="2944" spans="1:22" x14ac:dyDescent="0.35">
      <c r="A2944">
        <v>2943</v>
      </c>
      <c r="B2944" t="s">
        <v>261</v>
      </c>
      <c r="C2944" t="s">
        <v>372</v>
      </c>
      <c r="D2944">
        <v>2015</v>
      </c>
      <c r="E2944" t="s">
        <v>26</v>
      </c>
      <c r="F2944">
        <v>144.1</v>
      </c>
      <c r="G2944" t="s">
        <v>386</v>
      </c>
      <c r="H2944">
        <f>electric_vehicles_dataset[[#This Row],[Battery_Capacity_kWh]]/electric_vehicles_dataset[[#This Row],[Range_km]]</f>
        <v>0.57410358565737052</v>
      </c>
      <c r="I2944">
        <v>251</v>
      </c>
      <c r="J2944" t="s">
        <v>364</v>
      </c>
      <c r="K2944">
        <v>10</v>
      </c>
      <c r="L2944" s="1">
        <v>75982.179999999993</v>
      </c>
      <c r="M2944" s="1" t="str" cm="1">
        <f t="array" ref="M294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44" t="s">
        <v>28</v>
      </c>
      <c r="O2944" t="s">
        <v>134</v>
      </c>
      <c r="P2944" s="2" t="s">
        <v>389</v>
      </c>
      <c r="Q2944">
        <v>0</v>
      </c>
      <c r="R2944" t="s">
        <v>390</v>
      </c>
      <c r="S2944" s="1">
        <f>electric_vehicles_dataset[[#This Row],[Units_Sold_2024]]*electric_vehicles_dataset[[#This Row],[Price_USD]]</f>
        <v>738850718.31999993</v>
      </c>
      <c r="T2944">
        <v>4</v>
      </c>
      <c r="U2944">
        <v>9724</v>
      </c>
      <c r="V2944">
        <v>3</v>
      </c>
    </row>
    <row r="2945" spans="1:22" x14ac:dyDescent="0.35">
      <c r="A2945">
        <v>2944</v>
      </c>
      <c r="B2945" t="s">
        <v>21</v>
      </c>
      <c r="C2945" t="s">
        <v>349</v>
      </c>
      <c r="D2945">
        <v>2016</v>
      </c>
      <c r="E2945" t="s">
        <v>42</v>
      </c>
      <c r="F2945">
        <v>83.8</v>
      </c>
      <c r="G2945" t="s">
        <v>350</v>
      </c>
      <c r="H2945">
        <f>electric_vehicles_dataset[[#This Row],[Battery_Capacity_kWh]]/electric_vehicles_dataset[[#This Row],[Range_km]]</f>
        <v>0.4028846153846154</v>
      </c>
      <c r="I2945">
        <v>208</v>
      </c>
      <c r="J2945" t="s">
        <v>18</v>
      </c>
      <c r="K2945">
        <v>10</v>
      </c>
      <c r="L2945" s="1">
        <v>66083.679999999993</v>
      </c>
      <c r="M2945" s="1" t="str" cm="1">
        <f t="array" ref="M294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45" t="s">
        <v>142</v>
      </c>
      <c r="O2945" t="s">
        <v>161</v>
      </c>
      <c r="P2945" s="2" t="s">
        <v>389</v>
      </c>
      <c r="Q2945">
        <v>3</v>
      </c>
      <c r="R2945" t="s">
        <v>397</v>
      </c>
      <c r="S2945" s="1">
        <f>electric_vehicles_dataset[[#This Row],[Units_Sold_2024]]*electric_vehicles_dataset[[#This Row],[Price_USD]]</f>
        <v>132696029.43999998</v>
      </c>
      <c r="T2945">
        <v>4</v>
      </c>
      <c r="U2945">
        <v>2008</v>
      </c>
      <c r="V2945">
        <v>4</v>
      </c>
    </row>
    <row r="2946" spans="1:22" x14ac:dyDescent="0.35">
      <c r="A2946">
        <v>2945</v>
      </c>
      <c r="B2946" t="s">
        <v>45</v>
      </c>
      <c r="C2946" t="s">
        <v>46</v>
      </c>
      <c r="D2946">
        <v>2018</v>
      </c>
      <c r="E2946" t="s">
        <v>130</v>
      </c>
      <c r="F2946">
        <v>138</v>
      </c>
      <c r="G2946" t="s">
        <v>352</v>
      </c>
      <c r="H2946">
        <f>electric_vehicles_dataset[[#This Row],[Battery_Capacity_kWh]]/electric_vehicles_dataset[[#This Row],[Range_km]]</f>
        <v>0.37297297297297299</v>
      </c>
      <c r="I2946">
        <v>370</v>
      </c>
      <c r="J2946" t="s">
        <v>85</v>
      </c>
      <c r="K2946">
        <v>1</v>
      </c>
      <c r="L2946" s="1">
        <v>44669.85</v>
      </c>
      <c r="M2946" s="1" t="str" cm="1">
        <f t="array" ref="M294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46" t="s">
        <v>43</v>
      </c>
      <c r="O2946" t="s">
        <v>95</v>
      </c>
      <c r="P2946" s="2" t="s">
        <v>394</v>
      </c>
      <c r="Q2946">
        <v>3</v>
      </c>
      <c r="R2946" t="s">
        <v>397</v>
      </c>
      <c r="S2946" s="1">
        <f>electric_vehicles_dataset[[#This Row],[Units_Sold_2024]]*electric_vehicles_dataset[[#This Row],[Price_USD]]</f>
        <v>376477495.80000001</v>
      </c>
      <c r="T2946">
        <v>5</v>
      </c>
      <c r="U2946">
        <v>8428</v>
      </c>
      <c r="V2946">
        <v>4</v>
      </c>
    </row>
    <row r="2947" spans="1:22" x14ac:dyDescent="0.35">
      <c r="A2947">
        <v>2946</v>
      </c>
      <c r="B2947" t="s">
        <v>155</v>
      </c>
      <c r="C2947" t="s">
        <v>156</v>
      </c>
      <c r="D2947">
        <v>2016</v>
      </c>
      <c r="E2947" t="s">
        <v>73</v>
      </c>
      <c r="F2947">
        <v>32.4</v>
      </c>
      <c r="G2947" t="s">
        <v>357</v>
      </c>
      <c r="H2947">
        <f>electric_vehicles_dataset[[#This Row],[Battery_Capacity_kWh]]/electric_vehicles_dataset[[#This Row],[Range_km]]</f>
        <v>0.24732824427480915</v>
      </c>
      <c r="I2947">
        <v>131</v>
      </c>
      <c r="J2947" t="s">
        <v>149</v>
      </c>
      <c r="K2947">
        <v>9</v>
      </c>
      <c r="L2947" s="1">
        <v>62570.85</v>
      </c>
      <c r="M2947" s="1" t="str" cm="1">
        <f t="array" ref="M294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47" t="s">
        <v>238</v>
      </c>
      <c r="O2947" t="s">
        <v>199</v>
      </c>
      <c r="P2947" s="2" t="s">
        <v>394</v>
      </c>
      <c r="Q2947">
        <v>4</v>
      </c>
      <c r="R2947" t="s">
        <v>392</v>
      </c>
      <c r="S2947" s="1">
        <f>electric_vehicles_dataset[[#This Row],[Units_Sold_2024]]*electric_vehicles_dataset[[#This Row],[Price_USD]]</f>
        <v>922356899.85000002</v>
      </c>
      <c r="T2947">
        <v>4</v>
      </c>
      <c r="U2947">
        <v>14741</v>
      </c>
      <c r="V2947">
        <v>5</v>
      </c>
    </row>
    <row r="2948" spans="1:22" x14ac:dyDescent="0.35">
      <c r="A2948">
        <v>2947</v>
      </c>
      <c r="B2948" t="s">
        <v>144</v>
      </c>
      <c r="C2948" t="s">
        <v>273</v>
      </c>
      <c r="D2948">
        <v>2018</v>
      </c>
      <c r="E2948" t="s">
        <v>42</v>
      </c>
      <c r="F2948">
        <v>101.7</v>
      </c>
      <c r="G2948" t="s">
        <v>361</v>
      </c>
      <c r="H2948">
        <f>electric_vehicles_dataset[[#This Row],[Battery_Capacity_kWh]]/electric_vehicles_dataset[[#This Row],[Range_km]]</f>
        <v>0.18660550458715597</v>
      </c>
      <c r="I2948">
        <v>545</v>
      </c>
      <c r="J2948" t="s">
        <v>38</v>
      </c>
      <c r="K2948">
        <v>8</v>
      </c>
      <c r="L2948" s="1">
        <v>120042.82</v>
      </c>
      <c r="M2948" s="1" t="str" cm="1">
        <f t="array" ref="M294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48" t="s">
        <v>49</v>
      </c>
      <c r="O2948" t="s">
        <v>230</v>
      </c>
      <c r="P2948" s="2" t="s">
        <v>389</v>
      </c>
      <c r="Q2948">
        <v>0</v>
      </c>
      <c r="R2948" t="s">
        <v>390</v>
      </c>
      <c r="S2948" s="1">
        <f>electric_vehicles_dataset[[#This Row],[Units_Sold_2024]]*electric_vehicles_dataset[[#This Row],[Price_USD]]</f>
        <v>2293658161.7400002</v>
      </c>
      <c r="T2948">
        <v>4</v>
      </c>
      <c r="U2948">
        <v>19107</v>
      </c>
      <c r="V2948">
        <v>5</v>
      </c>
    </row>
    <row r="2949" spans="1:22" x14ac:dyDescent="0.35">
      <c r="A2949">
        <v>2948</v>
      </c>
      <c r="B2949" t="s">
        <v>215</v>
      </c>
      <c r="C2949" t="s">
        <v>216</v>
      </c>
      <c r="D2949">
        <v>2022</v>
      </c>
      <c r="E2949" t="s">
        <v>47</v>
      </c>
      <c r="F2949">
        <v>56.7</v>
      </c>
      <c r="G2949" t="s">
        <v>348</v>
      </c>
      <c r="H2949">
        <f>electric_vehicles_dataset[[#This Row],[Battery_Capacity_kWh]]/electric_vehicles_dataset[[#This Row],[Range_km]]</f>
        <v>0.12167381974248928</v>
      </c>
      <c r="I2949">
        <v>466</v>
      </c>
      <c r="J2949" t="s">
        <v>34</v>
      </c>
      <c r="K2949">
        <v>4</v>
      </c>
      <c r="L2949" s="1">
        <v>56065.48</v>
      </c>
      <c r="M2949" s="1" t="str" cm="1">
        <f t="array" ref="M294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49" t="s">
        <v>210</v>
      </c>
      <c r="O2949" t="s">
        <v>107</v>
      </c>
      <c r="P2949" s="2" t="s">
        <v>394</v>
      </c>
      <c r="Q2949">
        <v>0</v>
      </c>
      <c r="R2949" t="s">
        <v>390</v>
      </c>
      <c r="S2949" s="1">
        <f>electric_vehicles_dataset[[#This Row],[Units_Sold_2024]]*electric_vehicles_dataset[[#This Row],[Price_USD]]</f>
        <v>389486889.56</v>
      </c>
      <c r="T2949">
        <v>4</v>
      </c>
      <c r="U2949">
        <v>6947</v>
      </c>
      <c r="V2949">
        <v>3</v>
      </c>
    </row>
    <row r="2950" spans="1:22" x14ac:dyDescent="0.35">
      <c r="A2950">
        <v>2949</v>
      </c>
      <c r="B2950" t="s">
        <v>180</v>
      </c>
      <c r="C2950" t="s">
        <v>379</v>
      </c>
      <c r="D2950">
        <v>2023</v>
      </c>
      <c r="E2950" t="s">
        <v>101</v>
      </c>
      <c r="F2950">
        <v>23.4</v>
      </c>
      <c r="G2950" t="s">
        <v>357</v>
      </c>
      <c r="H2950">
        <f>electric_vehicles_dataset[[#This Row],[Battery_Capacity_kWh]]/electric_vehicles_dataset[[#This Row],[Range_km]]</f>
        <v>6.943620178041543E-2</v>
      </c>
      <c r="I2950">
        <v>337</v>
      </c>
      <c r="J2950" t="s">
        <v>27</v>
      </c>
      <c r="K2950">
        <v>1</v>
      </c>
      <c r="L2950" s="1">
        <v>48469.77</v>
      </c>
      <c r="M2950" s="1" t="str" cm="1">
        <f t="array" ref="M295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50" t="s">
        <v>168</v>
      </c>
      <c r="O2950" t="s">
        <v>40</v>
      </c>
      <c r="P2950" s="2" t="s">
        <v>395</v>
      </c>
      <c r="Q2950">
        <v>2</v>
      </c>
      <c r="R2950" t="s">
        <v>391</v>
      </c>
      <c r="S2950" s="1">
        <f>electric_vehicles_dataset[[#This Row],[Units_Sold_2024]]*electric_vehicles_dataset[[#This Row],[Price_USD]]</f>
        <v>689530948.01999998</v>
      </c>
      <c r="T2950">
        <v>5</v>
      </c>
      <c r="U2950">
        <v>14226</v>
      </c>
      <c r="V2950">
        <v>4</v>
      </c>
    </row>
    <row r="2951" spans="1:22" x14ac:dyDescent="0.35">
      <c r="A2951">
        <v>2950</v>
      </c>
      <c r="B2951" t="s">
        <v>170</v>
      </c>
      <c r="C2951" t="s">
        <v>334</v>
      </c>
      <c r="D2951">
        <v>2021</v>
      </c>
      <c r="E2951" t="s">
        <v>31</v>
      </c>
      <c r="F2951">
        <v>88.8</v>
      </c>
      <c r="G2951" t="s">
        <v>350</v>
      </c>
      <c r="H2951">
        <f>electric_vehicles_dataset[[#This Row],[Battery_Capacity_kWh]]/electric_vehicles_dataset[[#This Row],[Range_km]]</f>
        <v>0.32408759124087588</v>
      </c>
      <c r="I2951">
        <v>274</v>
      </c>
      <c r="J2951" t="s">
        <v>364</v>
      </c>
      <c r="K2951">
        <v>2</v>
      </c>
      <c r="L2951" s="1">
        <v>132452.82</v>
      </c>
      <c r="M2951" s="1" t="str" cm="1">
        <f t="array" ref="M295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51" t="s">
        <v>240</v>
      </c>
      <c r="O2951" t="s">
        <v>63</v>
      </c>
      <c r="P2951" s="2" t="s">
        <v>389</v>
      </c>
      <c r="Q2951">
        <v>2</v>
      </c>
      <c r="R2951" t="s">
        <v>391</v>
      </c>
      <c r="S2951" s="1">
        <f>electric_vehicles_dataset[[#This Row],[Units_Sold_2024]]*electric_vehicles_dataset[[#This Row],[Price_USD]]</f>
        <v>389411290.80000001</v>
      </c>
      <c r="T2951">
        <v>3</v>
      </c>
      <c r="U2951">
        <v>2940</v>
      </c>
      <c r="V2951">
        <v>4</v>
      </c>
    </row>
    <row r="2952" spans="1:22" x14ac:dyDescent="0.35">
      <c r="A2952">
        <v>2951</v>
      </c>
      <c r="B2952" t="s">
        <v>74</v>
      </c>
      <c r="C2952" t="s">
        <v>75</v>
      </c>
      <c r="D2952">
        <v>2021</v>
      </c>
      <c r="E2952" t="s">
        <v>31</v>
      </c>
      <c r="F2952">
        <v>109.1</v>
      </c>
      <c r="G2952" t="s">
        <v>361</v>
      </c>
      <c r="H2952">
        <f>electric_vehicles_dataset[[#This Row],[Battery_Capacity_kWh]]/electric_vehicles_dataset[[#This Row],[Range_km]]</f>
        <v>0.20092081031307549</v>
      </c>
      <c r="I2952">
        <v>543</v>
      </c>
      <c r="J2952" t="s">
        <v>76</v>
      </c>
      <c r="K2952">
        <v>7</v>
      </c>
      <c r="L2952" s="1">
        <v>138825.89000000001</v>
      </c>
      <c r="M2952" s="1" t="str" cm="1">
        <f t="array" ref="M295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52" t="s">
        <v>81</v>
      </c>
      <c r="O2952" t="s">
        <v>161</v>
      </c>
      <c r="P2952" s="2" t="s">
        <v>389</v>
      </c>
      <c r="Q2952">
        <v>5</v>
      </c>
      <c r="R2952" t="s">
        <v>392</v>
      </c>
      <c r="S2952" s="1">
        <f>electric_vehicles_dataset[[#This Row],[Units_Sold_2024]]*electric_vehicles_dataset[[#This Row],[Price_USD]]</f>
        <v>2345046933.8800001</v>
      </c>
      <c r="T2952">
        <v>4</v>
      </c>
      <c r="U2952">
        <v>16892</v>
      </c>
      <c r="V2952">
        <v>5</v>
      </c>
    </row>
    <row r="2953" spans="1:22" x14ac:dyDescent="0.35">
      <c r="A2953">
        <v>2952</v>
      </c>
      <c r="B2953" t="s">
        <v>222</v>
      </c>
      <c r="C2953" t="s">
        <v>223</v>
      </c>
      <c r="D2953">
        <v>2016</v>
      </c>
      <c r="E2953" t="s">
        <v>101</v>
      </c>
      <c r="F2953">
        <v>120.3</v>
      </c>
      <c r="G2953" t="s">
        <v>352</v>
      </c>
      <c r="H2953">
        <f>electric_vehicles_dataset[[#This Row],[Battery_Capacity_kWh]]/electric_vehicles_dataset[[#This Row],[Range_km]]</f>
        <v>0.33697478991596636</v>
      </c>
      <c r="I2953">
        <v>357</v>
      </c>
      <c r="J2953" t="s">
        <v>76</v>
      </c>
      <c r="K2953">
        <v>4</v>
      </c>
      <c r="L2953" s="1">
        <v>114250.52</v>
      </c>
      <c r="M2953" s="1" t="str" cm="1">
        <f t="array" ref="M295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53" t="s">
        <v>102</v>
      </c>
      <c r="O2953" t="s">
        <v>67</v>
      </c>
      <c r="P2953" s="2" t="s">
        <v>394</v>
      </c>
      <c r="Q2953">
        <v>2</v>
      </c>
      <c r="R2953" t="s">
        <v>391</v>
      </c>
      <c r="S2953" s="1">
        <f>electric_vehicles_dataset[[#This Row],[Units_Sold_2024]]*electric_vehicles_dataset[[#This Row],[Price_USD]]</f>
        <v>474939411.64000005</v>
      </c>
      <c r="T2953">
        <v>4</v>
      </c>
      <c r="U2953">
        <v>4157</v>
      </c>
      <c r="V2953">
        <v>3</v>
      </c>
    </row>
    <row r="2954" spans="1:22" x14ac:dyDescent="0.35">
      <c r="A2954">
        <v>2953</v>
      </c>
      <c r="B2954" t="s">
        <v>184</v>
      </c>
      <c r="C2954" t="s">
        <v>213</v>
      </c>
      <c r="D2954">
        <v>2022</v>
      </c>
      <c r="E2954" t="s">
        <v>58</v>
      </c>
      <c r="F2954">
        <v>111.3</v>
      </c>
      <c r="G2954" t="s">
        <v>361</v>
      </c>
      <c r="H2954">
        <f>electric_vehicles_dataset[[#This Row],[Battery_Capacity_kWh]]/electric_vehicles_dataset[[#This Row],[Range_km]]</f>
        <v>0.30576923076923074</v>
      </c>
      <c r="I2954">
        <v>364</v>
      </c>
      <c r="J2954" t="s">
        <v>48</v>
      </c>
      <c r="K2954">
        <v>1</v>
      </c>
      <c r="L2954" s="1">
        <v>93696.17</v>
      </c>
      <c r="M2954" s="1" t="str" cm="1">
        <f t="array" ref="M295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54" t="s">
        <v>175</v>
      </c>
      <c r="O2954" t="s">
        <v>40</v>
      </c>
      <c r="P2954" s="2" t="s">
        <v>395</v>
      </c>
      <c r="Q2954">
        <v>3</v>
      </c>
      <c r="R2954" t="s">
        <v>397</v>
      </c>
      <c r="S2954" s="1">
        <f>electric_vehicles_dataset[[#This Row],[Units_Sold_2024]]*electric_vehicles_dataset[[#This Row],[Price_USD]]</f>
        <v>261693402.81</v>
      </c>
      <c r="T2954">
        <v>3</v>
      </c>
      <c r="U2954">
        <v>2793</v>
      </c>
      <c r="V2954">
        <v>4</v>
      </c>
    </row>
    <row r="2955" spans="1:22" x14ac:dyDescent="0.35">
      <c r="A2955">
        <v>2954</v>
      </c>
      <c r="B2955" t="s">
        <v>153</v>
      </c>
      <c r="C2955" t="s">
        <v>310</v>
      </c>
      <c r="D2955">
        <v>2022</v>
      </c>
      <c r="E2955" t="s">
        <v>31</v>
      </c>
      <c r="F2955">
        <v>127.7</v>
      </c>
      <c r="G2955" t="s">
        <v>352</v>
      </c>
      <c r="H2955">
        <f>electric_vehicles_dataset[[#This Row],[Battery_Capacity_kWh]]/electric_vehicles_dataset[[#This Row],[Range_km]]</f>
        <v>0.38580060422960727</v>
      </c>
      <c r="I2955">
        <v>331</v>
      </c>
      <c r="J2955" t="s">
        <v>48</v>
      </c>
      <c r="K2955">
        <v>1</v>
      </c>
      <c r="L2955" s="1">
        <v>84240.01</v>
      </c>
      <c r="M2955" s="1" t="str" cm="1">
        <f t="array" ref="M295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55" t="s">
        <v>22</v>
      </c>
      <c r="O2955" t="s">
        <v>164</v>
      </c>
      <c r="P2955" s="2" t="s">
        <v>394</v>
      </c>
      <c r="Q2955">
        <v>4</v>
      </c>
      <c r="R2955" t="s">
        <v>392</v>
      </c>
      <c r="S2955" s="1">
        <f>electric_vehicles_dataset[[#This Row],[Units_Sold_2024]]*electric_vehicles_dataset[[#This Row],[Price_USD]]</f>
        <v>847791460.63999999</v>
      </c>
      <c r="T2955">
        <v>5</v>
      </c>
      <c r="U2955">
        <v>10064</v>
      </c>
      <c r="V2955">
        <v>3</v>
      </c>
    </row>
    <row r="2956" spans="1:22" x14ac:dyDescent="0.35">
      <c r="A2956">
        <v>2955</v>
      </c>
      <c r="B2956" t="s">
        <v>176</v>
      </c>
      <c r="C2956" t="s">
        <v>365</v>
      </c>
      <c r="D2956">
        <v>2018</v>
      </c>
      <c r="E2956" t="s">
        <v>104</v>
      </c>
      <c r="F2956">
        <v>133.69999999999999</v>
      </c>
      <c r="G2956" t="s">
        <v>352</v>
      </c>
      <c r="H2956">
        <f>electric_vehicles_dataset[[#This Row],[Battery_Capacity_kWh]]/electric_vehicles_dataset[[#This Row],[Range_km]]</f>
        <v>0.25226415094339621</v>
      </c>
      <c r="I2956">
        <v>530</v>
      </c>
      <c r="J2956" t="s">
        <v>54</v>
      </c>
      <c r="K2956">
        <v>5</v>
      </c>
      <c r="L2956" s="1">
        <v>98312.6</v>
      </c>
      <c r="M2956" s="1" t="str" cm="1">
        <f t="array" ref="M295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56" t="s">
        <v>55</v>
      </c>
      <c r="O2956" t="s">
        <v>40</v>
      </c>
      <c r="P2956" s="2" t="s">
        <v>395</v>
      </c>
      <c r="Q2956">
        <v>1</v>
      </c>
      <c r="R2956" t="s">
        <v>391</v>
      </c>
      <c r="S2956" s="1">
        <f>electric_vehicles_dataset[[#This Row],[Units_Sold_2024]]*electric_vehicles_dataset[[#This Row],[Price_USD]]</f>
        <v>1223598619.6000001</v>
      </c>
      <c r="T2956">
        <v>4</v>
      </c>
      <c r="U2956">
        <v>12446</v>
      </c>
      <c r="V2956">
        <v>5</v>
      </c>
    </row>
    <row r="2957" spans="1:22" x14ac:dyDescent="0.35">
      <c r="A2957">
        <v>2956</v>
      </c>
      <c r="B2957" t="s">
        <v>41</v>
      </c>
      <c r="C2957" t="s">
        <v>355</v>
      </c>
      <c r="D2957">
        <v>2022</v>
      </c>
      <c r="E2957" t="s">
        <v>183</v>
      </c>
      <c r="F2957">
        <v>117.9</v>
      </c>
      <c r="G2957" t="s">
        <v>361</v>
      </c>
      <c r="H2957">
        <f>electric_vehicles_dataset[[#This Row],[Battery_Capacity_kWh]]/electric_vehicles_dataset[[#This Row],[Range_km]]</f>
        <v>0.26316964285714289</v>
      </c>
      <c r="I2957">
        <v>448</v>
      </c>
      <c r="J2957" t="s">
        <v>149</v>
      </c>
      <c r="K2957">
        <v>2</v>
      </c>
      <c r="L2957" s="1">
        <v>105178.61</v>
      </c>
      <c r="M2957" s="1" t="str" cm="1">
        <f t="array" ref="M295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57" t="s">
        <v>28</v>
      </c>
      <c r="O2957" t="s">
        <v>95</v>
      </c>
      <c r="P2957" s="2" t="s">
        <v>394</v>
      </c>
      <c r="Q2957">
        <v>1</v>
      </c>
      <c r="R2957" t="s">
        <v>391</v>
      </c>
      <c r="S2957" s="1">
        <f>electric_vehicles_dataset[[#This Row],[Units_Sold_2024]]*electric_vehicles_dataset[[#This Row],[Price_USD]]</f>
        <v>1655721678.6200001</v>
      </c>
      <c r="T2957">
        <v>5</v>
      </c>
      <c r="U2957">
        <v>15742</v>
      </c>
      <c r="V2957">
        <v>5</v>
      </c>
    </row>
    <row r="2958" spans="1:22" x14ac:dyDescent="0.35">
      <c r="A2958">
        <v>2957</v>
      </c>
      <c r="B2958" t="s">
        <v>144</v>
      </c>
      <c r="C2958" t="s">
        <v>273</v>
      </c>
      <c r="D2958">
        <v>2019</v>
      </c>
      <c r="E2958" t="s">
        <v>73</v>
      </c>
      <c r="F2958">
        <v>114.2</v>
      </c>
      <c r="G2958" t="s">
        <v>361</v>
      </c>
      <c r="H2958">
        <f>electric_vehicles_dataset[[#This Row],[Battery_Capacity_kWh]]/electric_vehicles_dataset[[#This Row],[Range_km]]</f>
        <v>0.2072595281306715</v>
      </c>
      <c r="I2958">
        <v>551</v>
      </c>
      <c r="J2958" t="s">
        <v>149</v>
      </c>
      <c r="K2958">
        <v>9</v>
      </c>
      <c r="L2958" s="1">
        <v>145949.76000000001</v>
      </c>
      <c r="M2958" s="1" t="str" cm="1">
        <f t="array" ref="M295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58" t="s">
        <v>106</v>
      </c>
      <c r="O2958" t="s">
        <v>236</v>
      </c>
      <c r="P2958" s="2" t="s">
        <v>394</v>
      </c>
      <c r="Q2958">
        <v>0</v>
      </c>
      <c r="R2958" t="s">
        <v>390</v>
      </c>
      <c r="S2958" s="1">
        <f>electric_vehicles_dataset[[#This Row],[Units_Sold_2024]]*electric_vehicles_dataset[[#This Row],[Price_USD]]</f>
        <v>2916805953.6000004</v>
      </c>
      <c r="T2958">
        <v>3</v>
      </c>
      <c r="U2958">
        <v>19985</v>
      </c>
      <c r="V2958">
        <v>4</v>
      </c>
    </row>
    <row r="2959" spans="1:22" x14ac:dyDescent="0.35">
      <c r="A2959">
        <v>2958</v>
      </c>
      <c r="B2959" t="s">
        <v>259</v>
      </c>
      <c r="C2959" t="s">
        <v>298</v>
      </c>
      <c r="D2959">
        <v>2017</v>
      </c>
      <c r="E2959" t="s">
        <v>31</v>
      </c>
      <c r="F2959">
        <v>27.5</v>
      </c>
      <c r="G2959" t="s">
        <v>357</v>
      </c>
      <c r="H2959">
        <f>electric_vehicles_dataset[[#This Row],[Battery_Capacity_kWh]]/electric_vehicles_dataset[[#This Row],[Range_km]]</f>
        <v>0.10700389105058365</v>
      </c>
      <c r="I2959">
        <v>257</v>
      </c>
      <c r="J2959" t="s">
        <v>356</v>
      </c>
      <c r="K2959">
        <v>11</v>
      </c>
      <c r="L2959" s="1">
        <v>48113.67</v>
      </c>
      <c r="M2959" s="1" t="str" cm="1">
        <f t="array" ref="M295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59" t="s">
        <v>66</v>
      </c>
      <c r="O2959" t="s">
        <v>167</v>
      </c>
      <c r="P2959" s="2" t="s">
        <v>394</v>
      </c>
      <c r="Q2959">
        <v>5</v>
      </c>
      <c r="R2959" t="s">
        <v>392</v>
      </c>
      <c r="S2959" s="1">
        <f>electric_vehicles_dataset[[#This Row],[Units_Sold_2024]]*electric_vehicles_dataset[[#This Row],[Price_USD]]</f>
        <v>959530920.80999994</v>
      </c>
      <c r="T2959">
        <v>5</v>
      </c>
      <c r="U2959">
        <v>19943</v>
      </c>
      <c r="V2959">
        <v>5</v>
      </c>
    </row>
    <row r="2960" spans="1:22" x14ac:dyDescent="0.35">
      <c r="A2960">
        <v>2959</v>
      </c>
      <c r="B2960" t="s">
        <v>243</v>
      </c>
      <c r="C2960" t="s">
        <v>244</v>
      </c>
      <c r="D2960">
        <v>2018</v>
      </c>
      <c r="E2960" t="s">
        <v>183</v>
      </c>
      <c r="F2960">
        <v>121.1</v>
      </c>
      <c r="G2960" t="s">
        <v>352</v>
      </c>
      <c r="H2960">
        <f>electric_vehicles_dataset[[#This Row],[Battery_Capacity_kWh]]/electric_vehicles_dataset[[#This Row],[Range_km]]</f>
        <v>0.2441532258064516</v>
      </c>
      <c r="I2960">
        <v>496</v>
      </c>
      <c r="J2960" t="s">
        <v>54</v>
      </c>
      <c r="K2960">
        <v>2</v>
      </c>
      <c r="L2960" s="1">
        <v>45084.58</v>
      </c>
      <c r="M2960" s="1" t="str" cm="1">
        <f t="array" ref="M296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60" t="s">
        <v>62</v>
      </c>
      <c r="O2960" t="s">
        <v>167</v>
      </c>
      <c r="P2960" s="2" t="s">
        <v>394</v>
      </c>
      <c r="Q2960">
        <v>0</v>
      </c>
      <c r="R2960" t="s">
        <v>390</v>
      </c>
      <c r="S2960" s="1">
        <f>electric_vehicles_dataset[[#This Row],[Units_Sold_2024]]*electric_vehicles_dataset[[#This Row],[Price_USD]]</f>
        <v>128626306.74000001</v>
      </c>
      <c r="T2960">
        <v>5</v>
      </c>
      <c r="U2960">
        <v>2853</v>
      </c>
      <c r="V2960">
        <v>4</v>
      </c>
    </row>
    <row r="2961" spans="1:22" x14ac:dyDescent="0.35">
      <c r="A2961">
        <v>2960</v>
      </c>
      <c r="B2961" t="s">
        <v>259</v>
      </c>
      <c r="C2961" t="s">
        <v>260</v>
      </c>
      <c r="D2961">
        <v>2021</v>
      </c>
      <c r="E2961" t="s">
        <v>84</v>
      </c>
      <c r="F2961">
        <v>106</v>
      </c>
      <c r="G2961" t="s">
        <v>361</v>
      </c>
      <c r="H2961">
        <f>electric_vehicles_dataset[[#This Row],[Battery_Capacity_kWh]]/electric_vehicles_dataset[[#This Row],[Range_km]]</f>
        <v>0.20990099009900989</v>
      </c>
      <c r="I2961">
        <v>505</v>
      </c>
      <c r="J2961" t="s">
        <v>359</v>
      </c>
      <c r="K2961">
        <v>1</v>
      </c>
      <c r="L2961" s="1">
        <v>141614.73000000001</v>
      </c>
      <c r="M2961" s="1" t="str" cm="1">
        <f t="array" ref="M296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61" t="s">
        <v>19</v>
      </c>
      <c r="O2961" t="s">
        <v>67</v>
      </c>
      <c r="P2961" s="2" t="s">
        <v>394</v>
      </c>
      <c r="Q2961">
        <v>0</v>
      </c>
      <c r="R2961" t="s">
        <v>390</v>
      </c>
      <c r="S2961" s="1">
        <f>electric_vehicles_dataset[[#This Row],[Units_Sold_2024]]*electric_vehicles_dataset[[#This Row],[Price_USD]]</f>
        <v>1271983504.8600001</v>
      </c>
      <c r="T2961">
        <v>3</v>
      </c>
      <c r="U2961">
        <v>8982</v>
      </c>
      <c r="V2961">
        <v>5</v>
      </c>
    </row>
    <row r="2962" spans="1:22" x14ac:dyDescent="0.35">
      <c r="A2962">
        <v>2961</v>
      </c>
      <c r="B2962" t="s">
        <v>192</v>
      </c>
      <c r="C2962" t="s">
        <v>198</v>
      </c>
      <c r="D2962">
        <v>2018</v>
      </c>
      <c r="E2962" t="s">
        <v>104</v>
      </c>
      <c r="F2962">
        <v>76.599999999999994</v>
      </c>
      <c r="G2962" t="s">
        <v>351</v>
      </c>
      <c r="H2962">
        <f>electric_vehicles_dataset[[#This Row],[Battery_Capacity_kWh]]/electric_vehicles_dataset[[#This Row],[Range_km]]</f>
        <v>0.58473282442748087</v>
      </c>
      <c r="I2962">
        <v>131</v>
      </c>
      <c r="J2962" t="s">
        <v>356</v>
      </c>
      <c r="K2962">
        <v>6</v>
      </c>
      <c r="L2962" s="1">
        <v>105479.5</v>
      </c>
      <c r="M2962" s="1" t="str" cm="1">
        <f t="array" ref="M296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62" t="s">
        <v>62</v>
      </c>
      <c r="O2962" t="s">
        <v>78</v>
      </c>
      <c r="P2962" s="2" t="s">
        <v>389</v>
      </c>
      <c r="Q2962">
        <v>1</v>
      </c>
      <c r="R2962" t="s">
        <v>391</v>
      </c>
      <c r="S2962" s="1">
        <f>electric_vehicles_dataset[[#This Row],[Units_Sold_2024]]*electric_vehicles_dataset[[#This Row],[Price_USD]]</f>
        <v>1466797927</v>
      </c>
      <c r="T2962">
        <v>3</v>
      </c>
      <c r="U2962">
        <v>13906</v>
      </c>
      <c r="V2962">
        <v>4</v>
      </c>
    </row>
    <row r="2963" spans="1:22" x14ac:dyDescent="0.35">
      <c r="A2963">
        <v>2962</v>
      </c>
      <c r="B2963" t="s">
        <v>24</v>
      </c>
      <c r="C2963" t="s">
        <v>328</v>
      </c>
      <c r="D2963">
        <v>2016</v>
      </c>
      <c r="E2963" t="s">
        <v>183</v>
      </c>
      <c r="F2963">
        <v>89.8</v>
      </c>
      <c r="G2963" t="s">
        <v>350</v>
      </c>
      <c r="H2963">
        <f>electric_vehicles_dataset[[#This Row],[Battery_Capacity_kWh]]/electric_vehicles_dataset[[#This Row],[Range_km]]</f>
        <v>0.18669438669438668</v>
      </c>
      <c r="I2963">
        <v>481</v>
      </c>
      <c r="J2963" t="s">
        <v>54</v>
      </c>
      <c r="K2963">
        <v>3</v>
      </c>
      <c r="L2963" s="1">
        <v>104068.1</v>
      </c>
      <c r="M2963" s="1" t="str" cm="1">
        <f t="array" ref="M296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63" t="s">
        <v>179</v>
      </c>
      <c r="O2963" t="s">
        <v>230</v>
      </c>
      <c r="P2963" s="2" t="s">
        <v>389</v>
      </c>
      <c r="Q2963">
        <v>4</v>
      </c>
      <c r="R2963" t="s">
        <v>392</v>
      </c>
      <c r="S2963" s="1">
        <f>electric_vehicles_dataset[[#This Row],[Units_Sold_2024]]*electric_vehicles_dataset[[#This Row],[Price_USD]]</f>
        <v>805591162.10000002</v>
      </c>
      <c r="T2963">
        <v>5</v>
      </c>
      <c r="U2963">
        <v>7741</v>
      </c>
      <c r="V2963">
        <v>5</v>
      </c>
    </row>
    <row r="2964" spans="1:22" x14ac:dyDescent="0.35">
      <c r="A2964">
        <v>2963</v>
      </c>
      <c r="B2964" t="s">
        <v>234</v>
      </c>
      <c r="C2964" t="s">
        <v>235</v>
      </c>
      <c r="D2964">
        <v>2015</v>
      </c>
      <c r="E2964" t="s">
        <v>90</v>
      </c>
      <c r="F2964">
        <v>113.5</v>
      </c>
      <c r="G2964" t="s">
        <v>361</v>
      </c>
      <c r="H2964">
        <f>electric_vehicles_dataset[[#This Row],[Battery_Capacity_kWh]]/electric_vehicles_dataset[[#This Row],[Range_km]]</f>
        <v>0.26643192488262912</v>
      </c>
      <c r="I2964">
        <v>426</v>
      </c>
      <c r="J2964" t="s">
        <v>85</v>
      </c>
      <c r="K2964">
        <v>7</v>
      </c>
      <c r="L2964" s="1">
        <v>70271.91</v>
      </c>
      <c r="M2964" s="1" t="str" cm="1">
        <f t="array" ref="M296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64" t="s">
        <v>70</v>
      </c>
      <c r="O2964" t="s">
        <v>23</v>
      </c>
      <c r="P2964" s="2" t="s">
        <v>389</v>
      </c>
      <c r="Q2964">
        <v>4</v>
      </c>
      <c r="R2964" t="s">
        <v>392</v>
      </c>
      <c r="S2964" s="1">
        <f>electric_vehicles_dataset[[#This Row],[Units_Sold_2024]]*electric_vehicles_dataset[[#This Row],[Price_USD]]</f>
        <v>1211628272.22</v>
      </c>
      <c r="T2964">
        <v>4</v>
      </c>
      <c r="U2964">
        <v>17242</v>
      </c>
      <c r="V2964">
        <v>3</v>
      </c>
    </row>
    <row r="2965" spans="1:22" x14ac:dyDescent="0.35">
      <c r="A2965">
        <v>2964</v>
      </c>
      <c r="B2965" t="s">
        <v>24</v>
      </c>
      <c r="C2965" t="s">
        <v>328</v>
      </c>
      <c r="D2965">
        <v>2022</v>
      </c>
      <c r="E2965" t="s">
        <v>130</v>
      </c>
      <c r="F2965">
        <v>137.80000000000001</v>
      </c>
      <c r="G2965" t="s">
        <v>352</v>
      </c>
      <c r="H2965">
        <f>electric_vehicles_dataset[[#This Row],[Battery_Capacity_kWh]]/electric_vehicles_dataset[[#This Row],[Range_km]]</f>
        <v>0.64392523364485987</v>
      </c>
      <c r="I2965">
        <v>214</v>
      </c>
      <c r="J2965" t="s">
        <v>48</v>
      </c>
      <c r="K2965">
        <v>10</v>
      </c>
      <c r="L2965" s="1">
        <v>52469.48</v>
      </c>
      <c r="M2965" s="1" t="str" cm="1">
        <f t="array" ref="M296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65" t="s">
        <v>212</v>
      </c>
      <c r="O2965" t="s">
        <v>93</v>
      </c>
      <c r="P2965" s="2" t="s">
        <v>389</v>
      </c>
      <c r="Q2965">
        <v>4</v>
      </c>
      <c r="R2965" t="s">
        <v>392</v>
      </c>
      <c r="S2965" s="1">
        <f>electric_vehicles_dataset[[#This Row],[Units_Sold_2024]]*electric_vehicles_dataset[[#This Row],[Price_USD]]</f>
        <v>676279127.72000003</v>
      </c>
      <c r="T2965">
        <v>4</v>
      </c>
      <c r="U2965">
        <v>12889</v>
      </c>
      <c r="V2965">
        <v>4</v>
      </c>
    </row>
    <row r="2966" spans="1:22" x14ac:dyDescent="0.35">
      <c r="A2966">
        <v>2965</v>
      </c>
      <c r="B2966" t="s">
        <v>128</v>
      </c>
      <c r="C2966" t="s">
        <v>129</v>
      </c>
      <c r="D2966">
        <v>2015</v>
      </c>
      <c r="E2966" t="s">
        <v>133</v>
      </c>
      <c r="F2966">
        <v>123.7</v>
      </c>
      <c r="G2966" t="s">
        <v>352</v>
      </c>
      <c r="H2966">
        <f>electric_vehicles_dataset[[#This Row],[Battery_Capacity_kWh]]/electric_vehicles_dataset[[#This Row],[Range_km]]</f>
        <v>0.29593301435406699</v>
      </c>
      <c r="I2966">
        <v>418</v>
      </c>
      <c r="J2966" t="s">
        <v>345</v>
      </c>
      <c r="K2966">
        <v>12</v>
      </c>
      <c r="L2966" s="1">
        <v>119074.24000000001</v>
      </c>
      <c r="M2966" s="1" t="str" cm="1">
        <f t="array" ref="M296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66" t="s">
        <v>189</v>
      </c>
      <c r="O2966" t="s">
        <v>40</v>
      </c>
      <c r="P2966" s="2" t="s">
        <v>395</v>
      </c>
      <c r="Q2966">
        <v>5</v>
      </c>
      <c r="R2966" t="s">
        <v>392</v>
      </c>
      <c r="S2966" s="1">
        <f>electric_vehicles_dataset[[#This Row],[Units_Sold_2024]]*electric_vehicles_dataset[[#This Row],[Price_USD]]</f>
        <v>1564278290.8800001</v>
      </c>
      <c r="T2966">
        <v>4</v>
      </c>
      <c r="U2966">
        <v>13137</v>
      </c>
      <c r="V2966">
        <v>5</v>
      </c>
    </row>
    <row r="2967" spans="1:22" x14ac:dyDescent="0.35">
      <c r="A2967">
        <v>2966</v>
      </c>
      <c r="B2967" t="s">
        <v>36</v>
      </c>
      <c r="C2967" t="s">
        <v>324</v>
      </c>
      <c r="D2967">
        <v>2020</v>
      </c>
      <c r="E2967" t="s">
        <v>183</v>
      </c>
      <c r="F2967">
        <v>34.9</v>
      </c>
      <c r="G2967" t="s">
        <v>357</v>
      </c>
      <c r="H2967">
        <f>electric_vehicles_dataset[[#This Row],[Battery_Capacity_kWh]]/electric_vehicles_dataset[[#This Row],[Range_km]]</f>
        <v>8.6600496277915634E-2</v>
      </c>
      <c r="I2967">
        <v>403</v>
      </c>
      <c r="J2967" t="s">
        <v>85</v>
      </c>
      <c r="K2967">
        <v>1</v>
      </c>
      <c r="L2967" s="1">
        <v>74484.800000000003</v>
      </c>
      <c r="M2967" s="1" t="str" cm="1">
        <f t="array" ref="M296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67" t="s">
        <v>32</v>
      </c>
      <c r="O2967" t="s">
        <v>93</v>
      </c>
      <c r="P2967" s="2" t="s">
        <v>389</v>
      </c>
      <c r="Q2967">
        <v>5</v>
      </c>
      <c r="R2967" t="s">
        <v>392</v>
      </c>
      <c r="S2967" s="1">
        <f>electric_vehicles_dataset[[#This Row],[Units_Sold_2024]]*electric_vehicles_dataset[[#This Row],[Price_USD]]</f>
        <v>799817782.39999998</v>
      </c>
      <c r="T2967">
        <v>4</v>
      </c>
      <c r="U2967">
        <v>10738</v>
      </c>
      <c r="V2967">
        <v>4</v>
      </c>
    </row>
    <row r="2968" spans="1:22" x14ac:dyDescent="0.35">
      <c r="A2968">
        <v>2967</v>
      </c>
      <c r="B2968" t="s">
        <v>224</v>
      </c>
      <c r="C2968" t="s">
        <v>303</v>
      </c>
      <c r="D2968">
        <v>2015</v>
      </c>
      <c r="E2968" t="s">
        <v>17</v>
      </c>
      <c r="F2968">
        <v>101.4</v>
      </c>
      <c r="G2968" t="s">
        <v>361</v>
      </c>
      <c r="H2968">
        <f>electric_vehicles_dataset[[#This Row],[Battery_Capacity_kWh]]/electric_vehicles_dataset[[#This Row],[Range_km]]</f>
        <v>0.37977528089887641</v>
      </c>
      <c r="I2968">
        <v>267</v>
      </c>
      <c r="J2968" t="s">
        <v>76</v>
      </c>
      <c r="K2968">
        <v>8</v>
      </c>
      <c r="L2968" s="1">
        <v>72533.649999999994</v>
      </c>
      <c r="M2968" s="1" t="str" cm="1">
        <f t="array" ref="M2968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68" t="s">
        <v>172</v>
      </c>
      <c r="O2968" t="s">
        <v>161</v>
      </c>
      <c r="P2968" s="2" t="s">
        <v>389</v>
      </c>
      <c r="Q2968">
        <v>5</v>
      </c>
      <c r="R2968" t="s">
        <v>392</v>
      </c>
      <c r="S2968" s="1">
        <f>electric_vehicles_dataset[[#This Row],[Units_Sold_2024]]*electric_vehicles_dataset[[#This Row],[Price_USD]]</f>
        <v>988706183.14999998</v>
      </c>
      <c r="T2968">
        <v>4</v>
      </c>
      <c r="U2968">
        <v>13631</v>
      </c>
      <c r="V2968">
        <v>4</v>
      </c>
    </row>
    <row r="2969" spans="1:22" x14ac:dyDescent="0.35">
      <c r="A2969">
        <v>2968</v>
      </c>
      <c r="B2969" t="s">
        <v>234</v>
      </c>
      <c r="C2969" t="s">
        <v>235</v>
      </c>
      <c r="D2969">
        <v>2023</v>
      </c>
      <c r="E2969" t="s">
        <v>133</v>
      </c>
      <c r="F2969">
        <v>35</v>
      </c>
      <c r="G2969" t="s">
        <v>357</v>
      </c>
      <c r="H2969">
        <f>electric_vehicles_dataset[[#This Row],[Battery_Capacity_kWh]]/electric_vehicles_dataset[[#This Row],[Range_km]]</f>
        <v>9.2348284960422161E-2</v>
      </c>
      <c r="I2969">
        <v>379</v>
      </c>
      <c r="J2969" t="s">
        <v>353</v>
      </c>
      <c r="K2969">
        <v>2</v>
      </c>
      <c r="L2969" s="1">
        <v>84736.45</v>
      </c>
      <c r="M2969" s="1" t="str" cm="1">
        <f t="array" ref="M296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69" t="s">
        <v>210</v>
      </c>
      <c r="O2969" t="s">
        <v>230</v>
      </c>
      <c r="P2969" s="2" t="s">
        <v>389</v>
      </c>
      <c r="Q2969">
        <v>1</v>
      </c>
      <c r="R2969" t="s">
        <v>391</v>
      </c>
      <c r="S2969" s="1">
        <f>electric_vehicles_dataset[[#This Row],[Units_Sold_2024]]*electric_vehicles_dataset[[#This Row],[Price_USD]]</f>
        <v>489946153.89999998</v>
      </c>
      <c r="T2969">
        <v>5</v>
      </c>
      <c r="U2969">
        <v>5782</v>
      </c>
      <c r="V2969">
        <v>5</v>
      </c>
    </row>
    <row r="2970" spans="1:22" x14ac:dyDescent="0.35">
      <c r="A2970">
        <v>2969</v>
      </c>
      <c r="B2970" t="s">
        <v>170</v>
      </c>
      <c r="C2970" t="s">
        <v>171</v>
      </c>
      <c r="D2970">
        <v>2019</v>
      </c>
      <c r="E2970" t="s">
        <v>104</v>
      </c>
      <c r="F2970">
        <v>36.5</v>
      </c>
      <c r="G2970" t="s">
        <v>357</v>
      </c>
      <c r="H2970">
        <f>electric_vehicles_dataset[[#This Row],[Battery_Capacity_kWh]]/electric_vehicles_dataset[[#This Row],[Range_km]]</f>
        <v>6.9923371647509572E-2</v>
      </c>
      <c r="I2970">
        <v>522</v>
      </c>
      <c r="J2970" t="s">
        <v>48</v>
      </c>
      <c r="K2970">
        <v>5</v>
      </c>
      <c r="L2970" s="1">
        <v>31855.91</v>
      </c>
      <c r="M2970" s="1" t="str" cm="1">
        <f t="array" ref="M2970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70" t="s">
        <v>55</v>
      </c>
      <c r="O2970" t="s">
        <v>33</v>
      </c>
      <c r="P2970" s="2" t="s">
        <v>393</v>
      </c>
      <c r="Q2970">
        <v>2</v>
      </c>
      <c r="R2970" t="s">
        <v>391</v>
      </c>
      <c r="S2970" s="1">
        <f>electric_vehicles_dataset[[#This Row],[Units_Sold_2024]]*electric_vehicles_dataset[[#This Row],[Price_USD]]</f>
        <v>325057705.63999999</v>
      </c>
      <c r="T2970">
        <v>4</v>
      </c>
      <c r="U2970">
        <v>10204</v>
      </c>
      <c r="V2970">
        <v>4</v>
      </c>
    </row>
    <row r="2971" spans="1:22" x14ac:dyDescent="0.35">
      <c r="A2971">
        <v>2970</v>
      </c>
      <c r="B2971" t="s">
        <v>184</v>
      </c>
      <c r="C2971" t="s">
        <v>251</v>
      </c>
      <c r="D2971">
        <v>2016</v>
      </c>
      <c r="E2971" t="s">
        <v>58</v>
      </c>
      <c r="F2971">
        <v>103.8</v>
      </c>
      <c r="G2971" t="s">
        <v>361</v>
      </c>
      <c r="H2971">
        <f>electric_vehicles_dataset[[#This Row],[Battery_Capacity_kWh]]/electric_vehicles_dataset[[#This Row],[Range_km]]</f>
        <v>0.26212121212121209</v>
      </c>
      <c r="I2971">
        <v>396</v>
      </c>
      <c r="J2971" t="s">
        <v>48</v>
      </c>
      <c r="K2971">
        <v>1</v>
      </c>
      <c r="L2971" s="1">
        <v>41978.04</v>
      </c>
      <c r="M2971" s="1" t="str" cm="1">
        <f t="array" ref="M2971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71" t="s">
        <v>106</v>
      </c>
      <c r="O2971" t="s">
        <v>40</v>
      </c>
      <c r="P2971" s="2" t="s">
        <v>395</v>
      </c>
      <c r="Q2971">
        <v>4</v>
      </c>
      <c r="R2971" t="s">
        <v>392</v>
      </c>
      <c r="S2971" s="1">
        <f>electric_vehicles_dataset[[#This Row],[Units_Sold_2024]]*electric_vehicles_dataset[[#This Row],[Price_USD]]</f>
        <v>233020100.03999999</v>
      </c>
      <c r="T2971">
        <v>3</v>
      </c>
      <c r="U2971">
        <v>5551</v>
      </c>
      <c r="V2971">
        <v>5</v>
      </c>
    </row>
    <row r="2972" spans="1:22" x14ac:dyDescent="0.35">
      <c r="A2972">
        <v>2971</v>
      </c>
      <c r="B2972" t="s">
        <v>140</v>
      </c>
      <c r="C2972" t="s">
        <v>227</v>
      </c>
      <c r="D2972">
        <v>2020</v>
      </c>
      <c r="E2972" t="s">
        <v>47</v>
      </c>
      <c r="F2972">
        <v>52.6</v>
      </c>
      <c r="G2972" t="s">
        <v>348</v>
      </c>
      <c r="H2972">
        <f>electric_vehicles_dataset[[#This Row],[Battery_Capacity_kWh]]/electric_vehicles_dataset[[#This Row],[Range_km]]</f>
        <v>0.13626943005181347</v>
      </c>
      <c r="I2972">
        <v>386</v>
      </c>
      <c r="J2972" t="s">
        <v>76</v>
      </c>
      <c r="K2972">
        <v>8</v>
      </c>
      <c r="L2972" s="1">
        <v>46160.23</v>
      </c>
      <c r="M2972" s="1" t="str" cm="1">
        <f t="array" ref="M297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72" t="s">
        <v>152</v>
      </c>
      <c r="O2972" t="s">
        <v>92</v>
      </c>
      <c r="P2972" s="2" t="s">
        <v>394</v>
      </c>
      <c r="Q2972">
        <v>4</v>
      </c>
      <c r="R2972" t="s">
        <v>392</v>
      </c>
      <c r="S2972" s="1">
        <f>electric_vehicles_dataset[[#This Row],[Units_Sold_2024]]*electric_vehicles_dataset[[#This Row],[Price_USD]]</f>
        <v>486574984.43000001</v>
      </c>
      <c r="T2972">
        <v>3</v>
      </c>
      <c r="U2972">
        <v>10541</v>
      </c>
      <c r="V2972">
        <v>4</v>
      </c>
    </row>
    <row r="2973" spans="1:22" x14ac:dyDescent="0.35">
      <c r="A2973">
        <v>2972</v>
      </c>
      <c r="B2973" t="s">
        <v>224</v>
      </c>
      <c r="C2973" t="s">
        <v>225</v>
      </c>
      <c r="D2973">
        <v>2018</v>
      </c>
      <c r="E2973" t="s">
        <v>26</v>
      </c>
      <c r="F2973">
        <v>128.4</v>
      </c>
      <c r="G2973" t="s">
        <v>352</v>
      </c>
      <c r="H2973">
        <f>electric_vehicles_dataset[[#This Row],[Battery_Capacity_kWh]]/electric_vehicles_dataset[[#This Row],[Range_km]]</f>
        <v>1.2588235294117647</v>
      </c>
      <c r="I2973">
        <v>102</v>
      </c>
      <c r="J2973" t="s">
        <v>48</v>
      </c>
      <c r="K2973">
        <v>8</v>
      </c>
      <c r="L2973" s="1">
        <v>63814.09</v>
      </c>
      <c r="M2973" s="1" t="str" cm="1">
        <f t="array" ref="M297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73" t="s">
        <v>214</v>
      </c>
      <c r="O2973" t="s">
        <v>182</v>
      </c>
      <c r="P2973" s="2" t="s">
        <v>394</v>
      </c>
      <c r="Q2973">
        <v>2</v>
      </c>
      <c r="R2973" t="s">
        <v>391</v>
      </c>
      <c r="S2973" s="1">
        <f>electric_vehicles_dataset[[#This Row],[Units_Sold_2024]]*electric_vehicles_dataset[[#This Row],[Price_USD]]</f>
        <v>402092581.08999997</v>
      </c>
      <c r="T2973">
        <v>5</v>
      </c>
      <c r="U2973">
        <v>6301</v>
      </c>
      <c r="V2973">
        <v>3</v>
      </c>
    </row>
    <row r="2974" spans="1:22" x14ac:dyDescent="0.35">
      <c r="A2974">
        <v>2973</v>
      </c>
      <c r="B2974" t="s">
        <v>170</v>
      </c>
      <c r="C2974" t="s">
        <v>367</v>
      </c>
      <c r="D2974">
        <v>2024</v>
      </c>
      <c r="E2974" t="s">
        <v>17</v>
      </c>
      <c r="F2974">
        <v>40.799999999999997</v>
      </c>
      <c r="G2974" t="s">
        <v>348</v>
      </c>
      <c r="H2974">
        <f>electric_vehicles_dataset[[#This Row],[Battery_Capacity_kWh]]/electric_vehicles_dataset[[#This Row],[Range_km]]</f>
        <v>0.10488431876606683</v>
      </c>
      <c r="I2974">
        <v>389</v>
      </c>
      <c r="J2974" t="s">
        <v>27</v>
      </c>
      <c r="K2974">
        <v>10</v>
      </c>
      <c r="L2974" s="1">
        <v>61370.97</v>
      </c>
      <c r="M2974" s="1" t="str" cm="1">
        <f t="array" ref="M297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74" t="s">
        <v>175</v>
      </c>
      <c r="O2974" t="s">
        <v>139</v>
      </c>
      <c r="P2974" s="2" t="s">
        <v>389</v>
      </c>
      <c r="Q2974">
        <v>3</v>
      </c>
      <c r="R2974" t="s">
        <v>397</v>
      </c>
      <c r="S2974" s="1">
        <f>electric_vehicles_dataset[[#This Row],[Units_Sold_2024]]*electric_vehicles_dataset[[#This Row],[Price_USD]]</f>
        <v>310782592.07999998</v>
      </c>
      <c r="T2974">
        <v>3</v>
      </c>
      <c r="U2974">
        <v>5064</v>
      </c>
      <c r="V2974">
        <v>5</v>
      </c>
    </row>
    <row r="2975" spans="1:22" x14ac:dyDescent="0.35">
      <c r="A2975">
        <v>2974</v>
      </c>
      <c r="B2975" t="s">
        <v>261</v>
      </c>
      <c r="C2975" t="s">
        <v>372</v>
      </c>
      <c r="D2975">
        <v>2022</v>
      </c>
      <c r="E2975" t="s">
        <v>42</v>
      </c>
      <c r="F2975">
        <v>52.7</v>
      </c>
      <c r="G2975" t="s">
        <v>348</v>
      </c>
      <c r="H2975">
        <f>electric_vehicles_dataset[[#This Row],[Battery_Capacity_kWh]]/electric_vehicles_dataset[[#This Row],[Range_km]]</f>
        <v>0.32134146341463415</v>
      </c>
      <c r="I2975">
        <v>164</v>
      </c>
      <c r="J2975" t="s">
        <v>358</v>
      </c>
      <c r="K2975">
        <v>8</v>
      </c>
      <c r="L2975" s="1">
        <v>96611.68</v>
      </c>
      <c r="M2975" s="1" t="str" cm="1">
        <f t="array" ref="M297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75" t="s">
        <v>131</v>
      </c>
      <c r="O2975" t="s">
        <v>121</v>
      </c>
      <c r="P2975" s="2" t="s">
        <v>398</v>
      </c>
      <c r="Q2975">
        <v>3</v>
      </c>
      <c r="R2975" t="s">
        <v>397</v>
      </c>
      <c r="S2975" s="1">
        <f>electric_vehicles_dataset[[#This Row],[Units_Sold_2024]]*electric_vehicles_dataset[[#This Row],[Price_USD]]</f>
        <v>1013746358.2399999</v>
      </c>
      <c r="T2975">
        <v>4</v>
      </c>
      <c r="U2975">
        <v>10493</v>
      </c>
      <c r="V2975">
        <v>4</v>
      </c>
    </row>
    <row r="2976" spans="1:22" x14ac:dyDescent="0.35">
      <c r="A2976">
        <v>2975</v>
      </c>
      <c r="B2976" t="s">
        <v>120</v>
      </c>
      <c r="C2976" t="s">
        <v>362</v>
      </c>
      <c r="D2976">
        <v>2015</v>
      </c>
      <c r="E2976" t="s">
        <v>84</v>
      </c>
      <c r="F2976">
        <v>92.1</v>
      </c>
      <c r="G2976" t="s">
        <v>350</v>
      </c>
      <c r="H2976">
        <f>electric_vehicles_dataset[[#This Row],[Battery_Capacity_kWh]]/electric_vehicles_dataset[[#This Row],[Range_km]]</f>
        <v>0.32202797202797201</v>
      </c>
      <c r="I2976">
        <v>286</v>
      </c>
      <c r="J2976" t="s">
        <v>76</v>
      </c>
      <c r="K2976">
        <v>8</v>
      </c>
      <c r="L2976" s="1">
        <v>44414.92</v>
      </c>
      <c r="M2976" s="1" t="str" cm="1">
        <f t="array" ref="M297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76" t="s">
        <v>212</v>
      </c>
      <c r="O2976" t="s">
        <v>354</v>
      </c>
      <c r="P2976" s="2" t="s">
        <v>394</v>
      </c>
      <c r="Q2976">
        <v>0</v>
      </c>
      <c r="R2976" t="s">
        <v>390</v>
      </c>
      <c r="S2976" s="1">
        <f>electric_vehicles_dataset[[#This Row],[Units_Sold_2024]]*electric_vehicles_dataset[[#This Row],[Price_USD]]</f>
        <v>483411989.27999997</v>
      </c>
      <c r="T2976">
        <v>4</v>
      </c>
      <c r="U2976">
        <v>10884</v>
      </c>
      <c r="V2976">
        <v>3</v>
      </c>
    </row>
    <row r="2977" spans="1:22" x14ac:dyDescent="0.35">
      <c r="A2977">
        <v>2976</v>
      </c>
      <c r="B2977" t="s">
        <v>45</v>
      </c>
      <c r="C2977" t="s">
        <v>46</v>
      </c>
      <c r="D2977">
        <v>2017</v>
      </c>
      <c r="E2977" t="s">
        <v>47</v>
      </c>
      <c r="F2977">
        <v>146.4</v>
      </c>
      <c r="G2977" t="s">
        <v>386</v>
      </c>
      <c r="H2977">
        <f>electric_vehicles_dataset[[#This Row],[Battery_Capacity_kWh]]/electric_vehicles_dataset[[#This Row],[Range_km]]</f>
        <v>0.2696132596685083</v>
      </c>
      <c r="I2977">
        <v>543</v>
      </c>
      <c r="J2977" t="s">
        <v>356</v>
      </c>
      <c r="K2977">
        <v>8</v>
      </c>
      <c r="L2977" s="1">
        <v>124317.19</v>
      </c>
      <c r="M2977" s="1" t="str" cm="1">
        <f t="array" ref="M297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77" t="s">
        <v>39</v>
      </c>
      <c r="O2977" t="s">
        <v>44</v>
      </c>
      <c r="P2977" s="2" t="s">
        <v>389</v>
      </c>
      <c r="Q2977">
        <v>0</v>
      </c>
      <c r="R2977" t="s">
        <v>390</v>
      </c>
      <c r="S2977" s="1">
        <f>electric_vehicles_dataset[[#This Row],[Units_Sold_2024]]*electric_vehicles_dataset[[#This Row],[Price_USD]]</f>
        <v>287172708.89999998</v>
      </c>
      <c r="T2977">
        <v>4</v>
      </c>
      <c r="U2977">
        <v>2310</v>
      </c>
      <c r="V2977">
        <v>3</v>
      </c>
    </row>
    <row r="2978" spans="1:22" x14ac:dyDescent="0.35">
      <c r="A2978">
        <v>2977</v>
      </c>
      <c r="B2978" t="s">
        <v>82</v>
      </c>
      <c r="C2978" t="s">
        <v>83</v>
      </c>
      <c r="D2978">
        <v>2021</v>
      </c>
      <c r="E2978" t="s">
        <v>90</v>
      </c>
      <c r="F2978">
        <v>115.9</v>
      </c>
      <c r="G2978" t="s">
        <v>361</v>
      </c>
      <c r="H2978">
        <f>electric_vehicles_dataset[[#This Row],[Battery_Capacity_kWh]]/electric_vehicles_dataset[[#This Row],[Range_km]]</f>
        <v>0.19948364888123926</v>
      </c>
      <c r="I2978">
        <v>581</v>
      </c>
      <c r="J2978" t="s">
        <v>85</v>
      </c>
      <c r="K2978">
        <v>3</v>
      </c>
      <c r="L2978" s="1">
        <v>114912.49</v>
      </c>
      <c r="M2978" s="1" t="str" cm="1">
        <f t="array" ref="M297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78" t="s">
        <v>32</v>
      </c>
      <c r="O2978" t="s">
        <v>110</v>
      </c>
      <c r="P2978" s="2" t="s">
        <v>394</v>
      </c>
      <c r="Q2978">
        <v>3</v>
      </c>
      <c r="R2978" t="s">
        <v>397</v>
      </c>
      <c r="S2978" s="1">
        <f>electric_vehicles_dataset[[#This Row],[Units_Sold_2024]]*electric_vehicles_dataset[[#This Row],[Price_USD]]</f>
        <v>1311840985.8400002</v>
      </c>
      <c r="T2978">
        <v>3</v>
      </c>
      <c r="U2978">
        <v>11416</v>
      </c>
      <c r="V2978">
        <v>5</v>
      </c>
    </row>
    <row r="2979" spans="1:22" x14ac:dyDescent="0.35">
      <c r="A2979">
        <v>2978</v>
      </c>
      <c r="B2979" t="s">
        <v>29</v>
      </c>
      <c r="C2979" t="s">
        <v>378</v>
      </c>
      <c r="D2979">
        <v>2023</v>
      </c>
      <c r="E2979" t="s">
        <v>84</v>
      </c>
      <c r="F2979">
        <v>77.900000000000006</v>
      </c>
      <c r="G2979" t="s">
        <v>351</v>
      </c>
      <c r="H2979">
        <f>electric_vehicles_dataset[[#This Row],[Battery_Capacity_kWh]]/electric_vehicles_dataset[[#This Row],[Range_km]]</f>
        <v>0.14725897920604916</v>
      </c>
      <c r="I2979">
        <v>529</v>
      </c>
      <c r="J2979" t="s">
        <v>18</v>
      </c>
      <c r="K2979">
        <v>6</v>
      </c>
      <c r="L2979" s="1">
        <v>46090.92</v>
      </c>
      <c r="M2979" s="1" t="str" cm="1">
        <f t="array" ref="M297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79" t="s">
        <v>117</v>
      </c>
      <c r="O2979" t="s">
        <v>23</v>
      </c>
      <c r="P2979" s="2" t="s">
        <v>389</v>
      </c>
      <c r="Q2979">
        <v>5</v>
      </c>
      <c r="R2979" t="s">
        <v>392</v>
      </c>
      <c r="S2979" s="1">
        <f>electric_vehicles_dataset[[#This Row],[Units_Sold_2024]]*electric_vehicles_dataset[[#This Row],[Price_USD]]</f>
        <v>843648199.67999995</v>
      </c>
      <c r="T2979">
        <v>3</v>
      </c>
      <c r="U2979">
        <v>18304</v>
      </c>
      <c r="V2979">
        <v>4</v>
      </c>
    </row>
    <row r="2980" spans="1:22" x14ac:dyDescent="0.35">
      <c r="A2980">
        <v>2979</v>
      </c>
      <c r="B2980" t="s">
        <v>192</v>
      </c>
      <c r="C2980" t="s">
        <v>198</v>
      </c>
      <c r="D2980">
        <v>2023</v>
      </c>
      <c r="E2980" t="s">
        <v>183</v>
      </c>
      <c r="F2980">
        <v>130.80000000000001</v>
      </c>
      <c r="G2980" t="s">
        <v>352</v>
      </c>
      <c r="H2980">
        <f>electric_vehicles_dataset[[#This Row],[Battery_Capacity_kWh]]/electric_vehicles_dataset[[#This Row],[Range_km]]</f>
        <v>0.51093750000000004</v>
      </c>
      <c r="I2980">
        <v>256</v>
      </c>
      <c r="J2980" t="s">
        <v>85</v>
      </c>
      <c r="K2980">
        <v>9</v>
      </c>
      <c r="L2980" s="1">
        <v>76853.14</v>
      </c>
      <c r="M2980" s="1" t="str" cm="1">
        <f t="array" ref="M298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80" t="s">
        <v>114</v>
      </c>
      <c r="O2980" t="s">
        <v>167</v>
      </c>
      <c r="P2980" s="2" t="s">
        <v>394</v>
      </c>
      <c r="Q2980">
        <v>5</v>
      </c>
      <c r="R2980" t="s">
        <v>392</v>
      </c>
      <c r="S2980" s="1">
        <f>electric_vehicles_dataset[[#This Row],[Units_Sold_2024]]*electric_vehicles_dataset[[#This Row],[Price_USD]]</f>
        <v>678228960.5</v>
      </c>
      <c r="T2980">
        <v>5</v>
      </c>
      <c r="U2980">
        <v>8825</v>
      </c>
      <c r="V2980">
        <v>5</v>
      </c>
    </row>
    <row r="2981" spans="1:22" x14ac:dyDescent="0.35">
      <c r="A2981">
        <v>2980</v>
      </c>
      <c r="B2981" t="s">
        <v>56</v>
      </c>
      <c r="C2981" t="s">
        <v>57</v>
      </c>
      <c r="D2981">
        <v>2024</v>
      </c>
      <c r="E2981" t="s">
        <v>58</v>
      </c>
      <c r="F2981">
        <v>26.9</v>
      </c>
      <c r="G2981" t="s">
        <v>357</v>
      </c>
      <c r="H2981">
        <f>electric_vehicles_dataset[[#This Row],[Battery_Capacity_kWh]]/electric_vehicles_dataset[[#This Row],[Range_km]]</f>
        <v>0.15639534883720929</v>
      </c>
      <c r="I2981">
        <v>172</v>
      </c>
      <c r="J2981" t="s">
        <v>353</v>
      </c>
      <c r="K2981">
        <v>11</v>
      </c>
      <c r="L2981" s="1">
        <v>73134.789999999994</v>
      </c>
      <c r="M2981" s="1" t="str" cm="1">
        <f t="array" ref="M298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81" t="s">
        <v>77</v>
      </c>
      <c r="O2981" t="s">
        <v>121</v>
      </c>
      <c r="P2981" s="2" t="s">
        <v>398</v>
      </c>
      <c r="Q2981">
        <v>3</v>
      </c>
      <c r="R2981" t="s">
        <v>397</v>
      </c>
      <c r="S2981" s="1">
        <f>electric_vehicles_dataset[[#This Row],[Units_Sold_2024]]*electric_vehicles_dataset[[#This Row],[Price_USD]]</f>
        <v>529715283.96999997</v>
      </c>
      <c r="T2981">
        <v>5</v>
      </c>
      <c r="U2981">
        <v>7243</v>
      </c>
      <c r="V2981">
        <v>4</v>
      </c>
    </row>
    <row r="2982" spans="1:22" x14ac:dyDescent="0.35">
      <c r="A2982">
        <v>2981</v>
      </c>
      <c r="B2982" t="s">
        <v>36</v>
      </c>
      <c r="C2982" t="s">
        <v>317</v>
      </c>
      <c r="D2982">
        <v>2025</v>
      </c>
      <c r="E2982" t="s">
        <v>47</v>
      </c>
      <c r="F2982">
        <v>126.1</v>
      </c>
      <c r="G2982" t="s">
        <v>352</v>
      </c>
      <c r="H2982">
        <f>electric_vehicles_dataset[[#This Row],[Battery_Capacity_kWh]]/electric_vehicles_dataset[[#This Row],[Range_km]]</f>
        <v>0.84630872483221475</v>
      </c>
      <c r="I2982">
        <v>149</v>
      </c>
      <c r="J2982" t="s">
        <v>358</v>
      </c>
      <c r="K2982">
        <v>1</v>
      </c>
      <c r="L2982" s="1">
        <v>101984.41</v>
      </c>
      <c r="M2982" s="1" t="str" cm="1">
        <f t="array" ref="M298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82" t="s">
        <v>91</v>
      </c>
      <c r="O2982" t="s">
        <v>89</v>
      </c>
      <c r="P2982" s="2" t="s">
        <v>389</v>
      </c>
      <c r="Q2982">
        <v>4</v>
      </c>
      <c r="R2982" t="s">
        <v>392</v>
      </c>
      <c r="S2982" s="1">
        <f>electric_vehicles_dataset[[#This Row],[Units_Sold_2024]]*electric_vehicles_dataset[[#This Row],[Price_USD]]</f>
        <v>499825593.41000003</v>
      </c>
      <c r="T2982">
        <v>5</v>
      </c>
      <c r="U2982">
        <v>4901</v>
      </c>
      <c r="V2982">
        <v>5</v>
      </c>
    </row>
    <row r="2983" spans="1:22" x14ac:dyDescent="0.35">
      <c r="A2983">
        <v>2982</v>
      </c>
      <c r="B2983" t="s">
        <v>125</v>
      </c>
      <c r="C2983" t="s">
        <v>276</v>
      </c>
      <c r="D2983">
        <v>2019</v>
      </c>
      <c r="E2983" t="s">
        <v>17</v>
      </c>
      <c r="F2983">
        <v>96.1</v>
      </c>
      <c r="G2983" t="s">
        <v>350</v>
      </c>
      <c r="H2983">
        <f>electric_vehicles_dataset[[#This Row],[Battery_Capacity_kWh]]/electric_vehicles_dataset[[#This Row],[Range_km]]</f>
        <v>0.21742081447963799</v>
      </c>
      <c r="I2983">
        <v>442</v>
      </c>
      <c r="J2983" t="s">
        <v>27</v>
      </c>
      <c r="K2983">
        <v>12</v>
      </c>
      <c r="L2983" s="1">
        <v>135029.6</v>
      </c>
      <c r="M2983" s="1" t="str" cm="1">
        <f t="array" ref="M298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83" t="s">
        <v>77</v>
      </c>
      <c r="O2983" t="s">
        <v>118</v>
      </c>
      <c r="P2983" s="2" t="s">
        <v>389</v>
      </c>
      <c r="Q2983">
        <v>3</v>
      </c>
      <c r="R2983" t="s">
        <v>397</v>
      </c>
      <c r="S2983" s="1">
        <f>electric_vehicles_dataset[[#This Row],[Units_Sold_2024]]*electric_vehicles_dataset[[#This Row],[Price_USD]]</f>
        <v>693782084.80000007</v>
      </c>
      <c r="T2983">
        <v>5</v>
      </c>
      <c r="U2983">
        <v>5138</v>
      </c>
      <c r="V2983">
        <v>5</v>
      </c>
    </row>
    <row r="2984" spans="1:22" x14ac:dyDescent="0.35">
      <c r="A2984">
        <v>2983</v>
      </c>
      <c r="B2984" t="s">
        <v>108</v>
      </c>
      <c r="C2984" t="s">
        <v>119</v>
      </c>
      <c r="D2984">
        <v>2022</v>
      </c>
      <c r="E2984" t="s">
        <v>90</v>
      </c>
      <c r="F2984">
        <v>121.5</v>
      </c>
      <c r="G2984" t="s">
        <v>352</v>
      </c>
      <c r="H2984">
        <f>electric_vehicles_dataset[[#This Row],[Battery_Capacity_kWh]]/electric_vehicles_dataset[[#This Row],[Range_km]]</f>
        <v>0.33750000000000002</v>
      </c>
      <c r="I2984">
        <v>360</v>
      </c>
      <c r="J2984" t="s">
        <v>48</v>
      </c>
      <c r="K2984">
        <v>4</v>
      </c>
      <c r="L2984" s="1">
        <v>132097.15</v>
      </c>
      <c r="M2984" s="1" t="str" cm="1">
        <f t="array" ref="M2984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84" t="s">
        <v>19</v>
      </c>
      <c r="O2984" t="s">
        <v>20</v>
      </c>
      <c r="P2984" s="2" t="s">
        <v>389</v>
      </c>
      <c r="Q2984">
        <v>4</v>
      </c>
      <c r="R2984" t="s">
        <v>392</v>
      </c>
      <c r="S2984" s="1">
        <f>electric_vehicles_dataset[[#This Row],[Units_Sold_2024]]*electric_vehicles_dataset[[#This Row],[Price_USD]]</f>
        <v>699982797.85000002</v>
      </c>
      <c r="T2984">
        <v>4</v>
      </c>
      <c r="U2984">
        <v>5299</v>
      </c>
      <c r="V2984">
        <v>5</v>
      </c>
    </row>
    <row r="2985" spans="1:22" x14ac:dyDescent="0.35">
      <c r="A2985">
        <v>2984</v>
      </c>
      <c r="B2985" t="s">
        <v>122</v>
      </c>
      <c r="C2985" t="s">
        <v>123</v>
      </c>
      <c r="D2985">
        <v>2023</v>
      </c>
      <c r="E2985" t="s">
        <v>133</v>
      </c>
      <c r="F2985">
        <v>89.7</v>
      </c>
      <c r="G2985" t="s">
        <v>350</v>
      </c>
      <c r="H2985">
        <f>electric_vehicles_dataset[[#This Row],[Battery_Capacity_kWh]]/electric_vehicles_dataset[[#This Row],[Range_km]]</f>
        <v>0.25850144092219018</v>
      </c>
      <c r="I2985">
        <v>347</v>
      </c>
      <c r="J2985" t="s">
        <v>105</v>
      </c>
      <c r="K2985">
        <v>7</v>
      </c>
      <c r="L2985" s="1">
        <v>35151.199999999997</v>
      </c>
      <c r="M2985" s="1" t="str" cm="1">
        <f t="array" ref="M298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85" t="s">
        <v>210</v>
      </c>
      <c r="O2985" t="s">
        <v>182</v>
      </c>
      <c r="P2985" s="2" t="s">
        <v>394</v>
      </c>
      <c r="Q2985">
        <v>3</v>
      </c>
      <c r="R2985" t="s">
        <v>397</v>
      </c>
      <c r="S2985" s="1">
        <f>electric_vehicles_dataset[[#This Row],[Units_Sold_2024]]*electric_vehicles_dataset[[#This Row],[Price_USD]]</f>
        <v>458231043.19999999</v>
      </c>
      <c r="T2985">
        <v>5</v>
      </c>
      <c r="U2985">
        <v>13036</v>
      </c>
      <c r="V2985">
        <v>4</v>
      </c>
    </row>
    <row r="2986" spans="1:22" x14ac:dyDescent="0.35">
      <c r="A2986">
        <v>2985</v>
      </c>
      <c r="B2986" t="s">
        <v>269</v>
      </c>
      <c r="C2986" t="s">
        <v>307</v>
      </c>
      <c r="D2986">
        <v>2022</v>
      </c>
      <c r="E2986" t="s">
        <v>73</v>
      </c>
      <c r="F2986">
        <v>44.1</v>
      </c>
      <c r="G2986" t="s">
        <v>348</v>
      </c>
      <c r="H2986">
        <f>electric_vehicles_dataset[[#This Row],[Battery_Capacity_kWh]]/electric_vehicles_dataset[[#This Row],[Range_km]]</f>
        <v>0.40090909090909094</v>
      </c>
      <c r="I2986">
        <v>110</v>
      </c>
      <c r="J2986" t="s">
        <v>27</v>
      </c>
      <c r="K2986">
        <v>7</v>
      </c>
      <c r="L2986" s="1">
        <v>109440.37</v>
      </c>
      <c r="M2986" s="1" t="str" cm="1">
        <f t="array" ref="M2986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86" t="s">
        <v>91</v>
      </c>
      <c r="O2986" t="s">
        <v>40</v>
      </c>
      <c r="P2986" s="2" t="s">
        <v>395</v>
      </c>
      <c r="Q2986">
        <v>0</v>
      </c>
      <c r="R2986" t="s">
        <v>390</v>
      </c>
      <c r="S2986" s="1">
        <f>electric_vehicles_dataset[[#This Row],[Units_Sold_2024]]*electric_vehicles_dataset[[#This Row],[Price_USD]]</f>
        <v>1153939261.28</v>
      </c>
      <c r="T2986">
        <v>3</v>
      </c>
      <c r="U2986">
        <v>10544</v>
      </c>
      <c r="V2986">
        <v>4</v>
      </c>
    </row>
    <row r="2987" spans="1:22" x14ac:dyDescent="0.35">
      <c r="A2987">
        <v>2986</v>
      </c>
      <c r="B2987" t="s">
        <v>56</v>
      </c>
      <c r="C2987" t="s">
        <v>57</v>
      </c>
      <c r="D2987">
        <v>2025</v>
      </c>
      <c r="E2987" t="s">
        <v>53</v>
      </c>
      <c r="F2987">
        <v>100.2</v>
      </c>
      <c r="G2987" t="s">
        <v>361</v>
      </c>
      <c r="H2987">
        <f>electric_vehicles_dataset[[#This Row],[Battery_Capacity_kWh]]/electric_vehicles_dataset[[#This Row],[Range_km]]</f>
        <v>0.3724907063197026</v>
      </c>
      <c r="I2987">
        <v>269</v>
      </c>
      <c r="J2987" t="s">
        <v>149</v>
      </c>
      <c r="K2987">
        <v>12</v>
      </c>
      <c r="L2987" s="1">
        <v>138556.89000000001</v>
      </c>
      <c r="M2987" s="1" t="str" cm="1">
        <f t="array" ref="M2987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87" t="s">
        <v>62</v>
      </c>
      <c r="O2987" t="s">
        <v>33</v>
      </c>
      <c r="P2987" s="2" t="s">
        <v>393</v>
      </c>
      <c r="Q2987">
        <v>3</v>
      </c>
      <c r="R2987" t="s">
        <v>397</v>
      </c>
      <c r="S2987" s="1">
        <f>electric_vehicles_dataset[[#This Row],[Units_Sold_2024]]*electric_vehicles_dataset[[#This Row],[Price_USD]]</f>
        <v>1219162075.1100001</v>
      </c>
      <c r="T2987">
        <v>5</v>
      </c>
      <c r="U2987">
        <v>8799</v>
      </c>
      <c r="V2987">
        <v>4</v>
      </c>
    </row>
    <row r="2988" spans="1:22" x14ac:dyDescent="0.35">
      <c r="A2988">
        <v>2987</v>
      </c>
      <c r="B2988" t="s">
        <v>241</v>
      </c>
      <c r="C2988" t="s">
        <v>247</v>
      </c>
      <c r="D2988">
        <v>2015</v>
      </c>
      <c r="E2988" t="s">
        <v>84</v>
      </c>
      <c r="F2988">
        <v>33.5</v>
      </c>
      <c r="G2988" t="s">
        <v>357</v>
      </c>
      <c r="H2988">
        <f>electric_vehicles_dataset[[#This Row],[Battery_Capacity_kWh]]/electric_vehicles_dataset[[#This Row],[Range_km]]</f>
        <v>7.3626373626373628E-2</v>
      </c>
      <c r="I2988">
        <v>455</v>
      </c>
      <c r="J2988" t="s">
        <v>48</v>
      </c>
      <c r="K2988">
        <v>2</v>
      </c>
      <c r="L2988" s="1">
        <v>55327.67</v>
      </c>
      <c r="M2988" s="1" t="str" cm="1">
        <f t="array" ref="M298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88" t="s">
        <v>77</v>
      </c>
      <c r="O2988" t="s">
        <v>44</v>
      </c>
      <c r="P2988" s="2" t="s">
        <v>389</v>
      </c>
      <c r="Q2988">
        <v>1</v>
      </c>
      <c r="R2988" t="s">
        <v>391</v>
      </c>
      <c r="S2988" s="1">
        <f>electric_vehicles_dataset[[#This Row],[Units_Sold_2024]]*electric_vehicles_dataset[[#This Row],[Price_USD]]</f>
        <v>517479697.50999999</v>
      </c>
      <c r="T2988">
        <v>5</v>
      </c>
      <c r="U2988">
        <v>9353</v>
      </c>
      <c r="V2988">
        <v>4</v>
      </c>
    </row>
    <row r="2989" spans="1:22" x14ac:dyDescent="0.35">
      <c r="A2989">
        <v>2988</v>
      </c>
      <c r="B2989" t="s">
        <v>94</v>
      </c>
      <c r="C2989" t="s">
        <v>99</v>
      </c>
      <c r="D2989">
        <v>2015</v>
      </c>
      <c r="E2989" t="s">
        <v>101</v>
      </c>
      <c r="F2989">
        <v>146.5</v>
      </c>
      <c r="G2989" t="s">
        <v>386</v>
      </c>
      <c r="H2989">
        <f>electric_vehicles_dataset[[#This Row],[Battery_Capacity_kWh]]/electric_vehicles_dataset[[#This Row],[Range_km]]</f>
        <v>0.53079710144927539</v>
      </c>
      <c r="I2989">
        <v>276</v>
      </c>
      <c r="J2989" t="s">
        <v>48</v>
      </c>
      <c r="K2989">
        <v>7</v>
      </c>
      <c r="L2989" s="1">
        <v>34774.36</v>
      </c>
      <c r="M2989" s="1" t="str" cm="1">
        <f t="array" ref="M298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89" t="s">
        <v>39</v>
      </c>
      <c r="O2989" t="s">
        <v>236</v>
      </c>
      <c r="P2989" s="2" t="s">
        <v>394</v>
      </c>
      <c r="Q2989">
        <v>2</v>
      </c>
      <c r="R2989" t="s">
        <v>391</v>
      </c>
      <c r="S2989" s="1">
        <f>electric_vehicles_dataset[[#This Row],[Units_Sold_2024]]*electric_vehicles_dataset[[#This Row],[Price_USD]]</f>
        <v>409676735.16000003</v>
      </c>
      <c r="T2989">
        <v>3</v>
      </c>
      <c r="U2989">
        <v>11781</v>
      </c>
      <c r="V2989">
        <v>4</v>
      </c>
    </row>
    <row r="2990" spans="1:22" x14ac:dyDescent="0.35">
      <c r="A2990">
        <v>2989</v>
      </c>
      <c r="B2990" t="s">
        <v>136</v>
      </c>
      <c r="C2990" t="s">
        <v>137</v>
      </c>
      <c r="D2990">
        <v>2017</v>
      </c>
      <c r="E2990" t="s">
        <v>26</v>
      </c>
      <c r="F2990">
        <v>57.3</v>
      </c>
      <c r="G2990" t="s">
        <v>348</v>
      </c>
      <c r="H2990">
        <f>electric_vehicles_dataset[[#This Row],[Battery_Capacity_kWh]]/electric_vehicles_dataset[[#This Row],[Range_km]]</f>
        <v>0.16608695652173913</v>
      </c>
      <c r="I2990">
        <v>345</v>
      </c>
      <c r="J2990" t="s">
        <v>356</v>
      </c>
      <c r="K2990">
        <v>4</v>
      </c>
      <c r="L2990" s="1">
        <v>76360.66</v>
      </c>
      <c r="M2990" s="1" t="str" cm="1">
        <f t="array" ref="M299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90" t="s">
        <v>279</v>
      </c>
      <c r="O2990" t="s">
        <v>107</v>
      </c>
      <c r="P2990" s="2" t="s">
        <v>394</v>
      </c>
      <c r="Q2990">
        <v>3</v>
      </c>
      <c r="R2990" t="s">
        <v>397</v>
      </c>
      <c r="S2990" s="1">
        <f>electric_vehicles_dataset[[#This Row],[Units_Sold_2024]]*electric_vehicles_dataset[[#This Row],[Price_USD]]</f>
        <v>236412603.36000001</v>
      </c>
      <c r="T2990">
        <v>3</v>
      </c>
      <c r="U2990">
        <v>3096</v>
      </c>
      <c r="V2990">
        <v>5</v>
      </c>
    </row>
    <row r="2991" spans="1:22" x14ac:dyDescent="0.35">
      <c r="A2991">
        <v>2990</v>
      </c>
      <c r="B2991" t="s">
        <v>71</v>
      </c>
      <c r="C2991" t="s">
        <v>258</v>
      </c>
      <c r="D2991">
        <v>2021</v>
      </c>
      <c r="E2991" t="s">
        <v>31</v>
      </c>
      <c r="F2991">
        <v>54.7</v>
      </c>
      <c r="G2991" t="s">
        <v>348</v>
      </c>
      <c r="H2991">
        <f>electric_vehicles_dataset[[#This Row],[Battery_Capacity_kWh]]/electric_vehicles_dataset[[#This Row],[Range_km]]</f>
        <v>0.16328358208955224</v>
      </c>
      <c r="I2991">
        <v>335</v>
      </c>
      <c r="J2991" t="s">
        <v>54</v>
      </c>
      <c r="K2991">
        <v>8</v>
      </c>
      <c r="L2991" s="1">
        <v>110981.46</v>
      </c>
      <c r="M2991" s="1" t="str" cm="1">
        <f t="array" ref="M299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91" t="s">
        <v>246</v>
      </c>
      <c r="O2991" t="s">
        <v>115</v>
      </c>
      <c r="P2991" s="2" t="s">
        <v>396</v>
      </c>
      <c r="Q2991">
        <v>1</v>
      </c>
      <c r="R2991" t="s">
        <v>391</v>
      </c>
      <c r="S2991" s="1">
        <f>electric_vehicles_dataset[[#This Row],[Units_Sold_2024]]*electric_vehicles_dataset[[#This Row],[Price_USD]]</f>
        <v>55934655.840000004</v>
      </c>
      <c r="T2991">
        <v>3</v>
      </c>
      <c r="U2991">
        <v>504</v>
      </c>
      <c r="V2991">
        <v>4</v>
      </c>
    </row>
    <row r="2992" spans="1:22" x14ac:dyDescent="0.35">
      <c r="A2992">
        <v>2991</v>
      </c>
      <c r="B2992" t="s">
        <v>193</v>
      </c>
      <c r="C2992" t="s">
        <v>203</v>
      </c>
      <c r="D2992">
        <v>2022</v>
      </c>
      <c r="E2992" t="s">
        <v>53</v>
      </c>
      <c r="F2992">
        <v>64.8</v>
      </c>
      <c r="G2992" t="s">
        <v>351</v>
      </c>
      <c r="H2992">
        <f>electric_vehicles_dataset[[#This Row],[Battery_Capacity_kWh]]/electric_vehicles_dataset[[#This Row],[Range_km]]</f>
        <v>0.28546255506607926</v>
      </c>
      <c r="I2992">
        <v>227</v>
      </c>
      <c r="J2992" t="s">
        <v>359</v>
      </c>
      <c r="K2992">
        <v>12</v>
      </c>
      <c r="L2992" s="1">
        <v>129135.71</v>
      </c>
      <c r="M2992" s="1" t="str" cm="1">
        <f t="array" ref="M299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92" t="s">
        <v>114</v>
      </c>
      <c r="O2992" t="s">
        <v>86</v>
      </c>
      <c r="P2992" s="2" t="s">
        <v>389</v>
      </c>
      <c r="Q2992">
        <v>3</v>
      </c>
      <c r="R2992" t="s">
        <v>397</v>
      </c>
      <c r="S2992" s="1">
        <f>electric_vehicles_dataset[[#This Row],[Units_Sold_2024]]*electric_vehicles_dataset[[#This Row],[Price_USD]]</f>
        <v>1511533485.5500002</v>
      </c>
      <c r="T2992">
        <v>4</v>
      </c>
      <c r="U2992">
        <v>11705</v>
      </c>
      <c r="V2992">
        <v>4</v>
      </c>
    </row>
    <row r="2993" spans="1:22" x14ac:dyDescent="0.35">
      <c r="A2993">
        <v>2992</v>
      </c>
      <c r="B2993" t="s">
        <v>60</v>
      </c>
      <c r="C2993" t="s">
        <v>166</v>
      </c>
      <c r="D2993">
        <v>2023</v>
      </c>
      <c r="E2993" t="s">
        <v>42</v>
      </c>
      <c r="F2993">
        <v>92.5</v>
      </c>
      <c r="G2993" t="s">
        <v>350</v>
      </c>
      <c r="H2993">
        <f>electric_vehicles_dataset[[#This Row],[Battery_Capacity_kWh]]/electric_vehicles_dataset[[#This Row],[Range_km]]</f>
        <v>0.15920826161790017</v>
      </c>
      <c r="I2993">
        <v>581</v>
      </c>
      <c r="J2993" t="s">
        <v>34</v>
      </c>
      <c r="K2993">
        <v>11</v>
      </c>
      <c r="L2993" s="1">
        <v>73210.77</v>
      </c>
      <c r="M2993" s="1" t="str" cm="1">
        <f t="array" ref="M2993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93" t="s">
        <v>254</v>
      </c>
      <c r="O2993" t="s">
        <v>199</v>
      </c>
      <c r="P2993" s="2" t="s">
        <v>394</v>
      </c>
      <c r="Q2993">
        <v>2</v>
      </c>
      <c r="R2993" t="s">
        <v>391</v>
      </c>
      <c r="S2993" s="1">
        <f>electric_vehicles_dataset[[#This Row],[Units_Sold_2024]]*electric_vehicles_dataset[[#This Row],[Price_USD]]</f>
        <v>402512813.46000004</v>
      </c>
      <c r="T2993">
        <v>5</v>
      </c>
      <c r="U2993">
        <v>5498</v>
      </c>
      <c r="V2993">
        <v>5</v>
      </c>
    </row>
    <row r="2994" spans="1:22" x14ac:dyDescent="0.35">
      <c r="A2994">
        <v>2993</v>
      </c>
      <c r="B2994" t="s">
        <v>36</v>
      </c>
      <c r="C2994" t="s">
        <v>37</v>
      </c>
      <c r="D2994">
        <v>2023</v>
      </c>
      <c r="E2994" t="s">
        <v>130</v>
      </c>
      <c r="F2994">
        <v>34.5</v>
      </c>
      <c r="G2994" t="s">
        <v>357</v>
      </c>
      <c r="H2994">
        <f>electric_vehicles_dataset[[#This Row],[Battery_Capacity_kWh]]/electric_vehicles_dataset[[#This Row],[Range_km]]</f>
        <v>0.28048780487804881</v>
      </c>
      <c r="I2994">
        <v>123</v>
      </c>
      <c r="J2994" t="s">
        <v>27</v>
      </c>
      <c r="K2994">
        <v>1</v>
      </c>
      <c r="L2994" s="1">
        <v>71208.539999999994</v>
      </c>
      <c r="M2994" s="1" t="str" cm="1">
        <f t="array" ref="M2994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2994" t="s">
        <v>189</v>
      </c>
      <c r="O2994" t="s">
        <v>164</v>
      </c>
      <c r="P2994" s="2" t="s">
        <v>394</v>
      </c>
      <c r="Q2994">
        <v>2</v>
      </c>
      <c r="R2994" t="s">
        <v>391</v>
      </c>
      <c r="S2994" s="1">
        <f>electric_vehicles_dataset[[#This Row],[Units_Sold_2024]]*electric_vehicles_dataset[[#This Row],[Price_USD]]</f>
        <v>1189325035.0799999</v>
      </c>
      <c r="T2994">
        <v>4</v>
      </c>
      <c r="U2994">
        <v>16702</v>
      </c>
      <c r="V2994">
        <v>4</v>
      </c>
    </row>
    <row r="2995" spans="1:22" x14ac:dyDescent="0.35">
      <c r="A2995">
        <v>2994</v>
      </c>
      <c r="B2995" t="s">
        <v>60</v>
      </c>
      <c r="C2995" t="s">
        <v>248</v>
      </c>
      <c r="D2995">
        <v>2019</v>
      </c>
      <c r="E2995" t="s">
        <v>73</v>
      </c>
      <c r="F2995">
        <v>101.5</v>
      </c>
      <c r="G2995" t="s">
        <v>361</v>
      </c>
      <c r="H2995">
        <f>electric_vehicles_dataset[[#This Row],[Battery_Capacity_kWh]]/electric_vehicles_dataset[[#This Row],[Range_km]]</f>
        <v>0.28194444444444444</v>
      </c>
      <c r="I2995">
        <v>360</v>
      </c>
      <c r="J2995" t="s">
        <v>54</v>
      </c>
      <c r="K2995">
        <v>4</v>
      </c>
      <c r="L2995" s="1">
        <v>30726.36</v>
      </c>
      <c r="M2995" s="1" t="str" cm="1">
        <f t="array" ref="M2995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95" t="s">
        <v>257</v>
      </c>
      <c r="O2995" t="s">
        <v>147</v>
      </c>
      <c r="P2995" s="2" t="s">
        <v>396</v>
      </c>
      <c r="Q2995">
        <v>2</v>
      </c>
      <c r="R2995" t="s">
        <v>391</v>
      </c>
      <c r="S2995" s="1">
        <f>electric_vehicles_dataset[[#This Row],[Units_Sold_2024]]*electric_vehicles_dataset[[#This Row],[Price_USD]]</f>
        <v>388258284.95999998</v>
      </c>
      <c r="T2995">
        <v>5</v>
      </c>
      <c r="U2995">
        <v>12636</v>
      </c>
      <c r="V2995">
        <v>3</v>
      </c>
    </row>
    <row r="2996" spans="1:22" x14ac:dyDescent="0.35">
      <c r="A2996">
        <v>2995</v>
      </c>
      <c r="B2996" t="s">
        <v>51</v>
      </c>
      <c r="C2996" t="s">
        <v>52</v>
      </c>
      <c r="D2996">
        <v>2022</v>
      </c>
      <c r="E2996" t="s">
        <v>84</v>
      </c>
      <c r="F2996">
        <v>75.599999999999994</v>
      </c>
      <c r="G2996" t="s">
        <v>351</v>
      </c>
      <c r="H2996">
        <f>electric_vehicles_dataset[[#This Row],[Battery_Capacity_kWh]]/electric_vehicles_dataset[[#This Row],[Range_km]]</f>
        <v>0.13380530973451327</v>
      </c>
      <c r="I2996">
        <v>565</v>
      </c>
      <c r="J2996" t="s">
        <v>38</v>
      </c>
      <c r="K2996">
        <v>8</v>
      </c>
      <c r="L2996" s="1">
        <v>132330.01</v>
      </c>
      <c r="M2996" s="1" t="str" cm="1">
        <f t="array" ref="M299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96" t="s">
        <v>212</v>
      </c>
      <c r="O2996" t="s">
        <v>93</v>
      </c>
      <c r="P2996" s="2" t="s">
        <v>389</v>
      </c>
      <c r="Q2996">
        <v>5</v>
      </c>
      <c r="R2996" t="s">
        <v>392</v>
      </c>
      <c r="S2996" s="1">
        <f>electric_vehicles_dataset[[#This Row],[Units_Sold_2024]]*electric_vehicles_dataset[[#This Row],[Price_USD]]</f>
        <v>1578167699.2600002</v>
      </c>
      <c r="T2996">
        <v>4</v>
      </c>
      <c r="U2996">
        <v>11926</v>
      </c>
      <c r="V2996">
        <v>5</v>
      </c>
    </row>
    <row r="2997" spans="1:22" x14ac:dyDescent="0.35">
      <c r="A2997">
        <v>2996</v>
      </c>
      <c r="B2997" t="s">
        <v>155</v>
      </c>
      <c r="C2997" t="s">
        <v>190</v>
      </c>
      <c r="D2997">
        <v>2020</v>
      </c>
      <c r="E2997" t="s">
        <v>90</v>
      </c>
      <c r="F2997">
        <v>56.3</v>
      </c>
      <c r="G2997" t="s">
        <v>348</v>
      </c>
      <c r="H2997">
        <f>electric_vehicles_dataset[[#This Row],[Battery_Capacity_kWh]]/electric_vehicles_dataset[[#This Row],[Range_km]]</f>
        <v>0.29476439790575915</v>
      </c>
      <c r="I2997">
        <v>191</v>
      </c>
      <c r="J2997" t="s">
        <v>48</v>
      </c>
      <c r="K2997">
        <v>8</v>
      </c>
      <c r="L2997" s="1">
        <v>59538.11</v>
      </c>
      <c r="M2997" s="1" t="str" cm="1">
        <f t="array" ref="M299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97" t="s">
        <v>39</v>
      </c>
      <c r="O2997" t="s">
        <v>44</v>
      </c>
      <c r="P2997" s="2" t="s">
        <v>389</v>
      </c>
      <c r="Q2997">
        <v>4</v>
      </c>
      <c r="R2997" t="s">
        <v>392</v>
      </c>
      <c r="S2997" s="1">
        <f>electric_vehicles_dataset[[#This Row],[Units_Sold_2024]]*electric_vehicles_dataset[[#This Row],[Price_USD]]</f>
        <v>169921765.94</v>
      </c>
      <c r="T2997">
        <v>4</v>
      </c>
      <c r="U2997">
        <v>2854</v>
      </c>
      <c r="V2997">
        <v>3</v>
      </c>
    </row>
    <row r="2998" spans="1:22" x14ac:dyDescent="0.35">
      <c r="A2998">
        <v>2997</v>
      </c>
      <c r="B2998" t="s">
        <v>207</v>
      </c>
      <c r="C2998" t="s">
        <v>304</v>
      </c>
      <c r="D2998">
        <v>2016</v>
      </c>
      <c r="E2998" t="s">
        <v>17</v>
      </c>
      <c r="F2998">
        <v>110.2</v>
      </c>
      <c r="G2998" t="s">
        <v>361</v>
      </c>
      <c r="H2998">
        <f>electric_vehicles_dataset[[#This Row],[Battery_Capacity_kWh]]/electric_vehicles_dataset[[#This Row],[Range_km]]</f>
        <v>0.33803680981595091</v>
      </c>
      <c r="I2998">
        <v>326</v>
      </c>
      <c r="J2998" t="s">
        <v>345</v>
      </c>
      <c r="K2998">
        <v>4</v>
      </c>
      <c r="L2998" s="1">
        <v>128150.81</v>
      </c>
      <c r="M2998" s="1" t="str" cm="1">
        <f t="array" ref="M299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2998" t="s">
        <v>28</v>
      </c>
      <c r="O2998" t="s">
        <v>67</v>
      </c>
      <c r="P2998" s="2" t="s">
        <v>394</v>
      </c>
      <c r="Q2998">
        <v>4</v>
      </c>
      <c r="R2998" t="s">
        <v>392</v>
      </c>
      <c r="S2998" s="1">
        <f>electric_vehicles_dataset[[#This Row],[Units_Sold_2024]]*electric_vehicles_dataset[[#This Row],[Price_USD]]</f>
        <v>2490610992.3499999</v>
      </c>
      <c r="T2998">
        <v>4</v>
      </c>
      <c r="U2998">
        <v>19435</v>
      </c>
      <c r="V2998">
        <v>5</v>
      </c>
    </row>
    <row r="2999" spans="1:22" x14ac:dyDescent="0.35">
      <c r="A2999">
        <v>2998</v>
      </c>
      <c r="B2999" t="s">
        <v>313</v>
      </c>
      <c r="C2999" t="s">
        <v>314</v>
      </c>
      <c r="D2999">
        <v>2022</v>
      </c>
      <c r="E2999" t="s">
        <v>58</v>
      </c>
      <c r="F2999">
        <v>149.30000000000001</v>
      </c>
      <c r="G2999" t="s">
        <v>386</v>
      </c>
      <c r="H2999">
        <f>electric_vehicles_dataset[[#This Row],[Battery_Capacity_kWh]]/electric_vehicles_dataset[[#This Row],[Range_km]]</f>
        <v>0.6976635514018692</v>
      </c>
      <c r="I2999">
        <v>214</v>
      </c>
      <c r="J2999" t="s">
        <v>358</v>
      </c>
      <c r="K2999">
        <v>7</v>
      </c>
      <c r="L2999" s="1">
        <v>62556.49</v>
      </c>
      <c r="M2999" s="1" t="str" cm="1">
        <f t="array" ref="M299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2999" t="s">
        <v>189</v>
      </c>
      <c r="O2999" t="s">
        <v>139</v>
      </c>
      <c r="P2999" s="2" t="s">
        <v>389</v>
      </c>
      <c r="Q2999">
        <v>5</v>
      </c>
      <c r="R2999" t="s">
        <v>392</v>
      </c>
      <c r="S2999" s="1">
        <f>electric_vehicles_dataset[[#This Row],[Units_Sold_2024]]*electric_vehicles_dataset[[#This Row],[Price_USD]]</f>
        <v>1059269045.17</v>
      </c>
      <c r="T2999">
        <v>5</v>
      </c>
      <c r="U2999">
        <v>16933</v>
      </c>
      <c r="V2999">
        <v>5</v>
      </c>
    </row>
    <row r="3000" spans="1:22" x14ac:dyDescent="0.35">
      <c r="A3000">
        <v>2999</v>
      </c>
      <c r="B3000" t="s">
        <v>41</v>
      </c>
      <c r="C3000" t="s">
        <v>374</v>
      </c>
      <c r="D3000">
        <v>2023</v>
      </c>
      <c r="E3000" t="s">
        <v>42</v>
      </c>
      <c r="F3000">
        <v>30.6</v>
      </c>
      <c r="G3000" t="s">
        <v>357</v>
      </c>
      <c r="H3000">
        <f>electric_vehicles_dataset[[#This Row],[Battery_Capacity_kWh]]/electric_vehicles_dataset[[#This Row],[Range_km]]</f>
        <v>7.2340425531914901E-2</v>
      </c>
      <c r="I3000">
        <v>423</v>
      </c>
      <c r="J3000" t="s">
        <v>364</v>
      </c>
      <c r="K3000">
        <v>9</v>
      </c>
      <c r="L3000" s="1">
        <v>93173.32</v>
      </c>
      <c r="M3000" s="1" t="str" cm="1">
        <f t="array" ref="M3000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000" t="s">
        <v>152</v>
      </c>
      <c r="O3000" t="s">
        <v>40</v>
      </c>
      <c r="P3000" s="2" t="s">
        <v>395</v>
      </c>
      <c r="Q3000">
        <v>5</v>
      </c>
      <c r="R3000" t="s">
        <v>392</v>
      </c>
      <c r="S3000" s="1">
        <f>electric_vehicles_dataset[[#This Row],[Units_Sold_2024]]*electric_vehicles_dataset[[#This Row],[Price_USD]]</f>
        <v>894277525.36000001</v>
      </c>
      <c r="T3000">
        <v>5</v>
      </c>
      <c r="U3000">
        <v>9598</v>
      </c>
      <c r="V3000">
        <v>3</v>
      </c>
    </row>
    <row r="3001" spans="1:22" x14ac:dyDescent="0.35">
      <c r="A3001">
        <v>3000</v>
      </c>
      <c r="B3001" t="s">
        <v>200</v>
      </c>
      <c r="C3001" t="s">
        <v>368</v>
      </c>
      <c r="D3001">
        <v>2025</v>
      </c>
      <c r="E3001" t="s">
        <v>104</v>
      </c>
      <c r="F3001">
        <v>41.1</v>
      </c>
      <c r="G3001" t="s">
        <v>348</v>
      </c>
      <c r="H3001">
        <f>electric_vehicles_dataset[[#This Row],[Battery_Capacity_kWh]]/electric_vehicles_dataset[[#This Row],[Range_km]]</f>
        <v>0.30671641791044779</v>
      </c>
      <c r="I3001">
        <v>134</v>
      </c>
      <c r="J3001" t="s">
        <v>345</v>
      </c>
      <c r="K3001">
        <v>10</v>
      </c>
      <c r="L3001" s="1">
        <v>118326.64</v>
      </c>
      <c r="M3001" s="1" t="str" cm="1">
        <f t="array" ref="M3001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01" t="s">
        <v>238</v>
      </c>
      <c r="O3001" t="s">
        <v>135</v>
      </c>
      <c r="P3001" s="2" t="s">
        <v>389</v>
      </c>
      <c r="Q3001">
        <v>1</v>
      </c>
      <c r="R3001" t="s">
        <v>391</v>
      </c>
      <c r="S3001" s="1">
        <f>electric_vehicles_dataset[[#This Row],[Units_Sold_2024]]*electric_vehicles_dataset[[#This Row],[Price_USD]]</f>
        <v>76912316</v>
      </c>
      <c r="T3001">
        <v>4</v>
      </c>
      <c r="U3001">
        <v>650</v>
      </c>
      <c r="V3001">
        <v>4</v>
      </c>
    </row>
    <row r="3002" spans="1:22" x14ac:dyDescent="0.35">
      <c r="A3002">
        <v>3001</v>
      </c>
      <c r="B3002" t="s">
        <v>56</v>
      </c>
      <c r="C3002" t="s">
        <v>57</v>
      </c>
      <c r="D3002">
        <v>2019</v>
      </c>
      <c r="E3002" t="s">
        <v>84</v>
      </c>
      <c r="F3002">
        <v>38.200000000000003</v>
      </c>
      <c r="G3002" t="s">
        <v>357</v>
      </c>
      <c r="H3002">
        <f>electric_vehicles_dataset[[#This Row],[Battery_Capacity_kWh]]/electric_vehicles_dataset[[#This Row],[Range_km]]</f>
        <v>9.0736342042755352E-2</v>
      </c>
      <c r="I3002">
        <v>421</v>
      </c>
      <c r="J3002" t="s">
        <v>54</v>
      </c>
      <c r="K3002">
        <v>11</v>
      </c>
      <c r="L3002" s="1">
        <v>104540.55</v>
      </c>
      <c r="M3002" s="1" t="str" cm="1">
        <f t="array" ref="M3002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002" t="s">
        <v>19</v>
      </c>
      <c r="O3002" t="s">
        <v>236</v>
      </c>
      <c r="P3002" s="2" t="s">
        <v>394</v>
      </c>
      <c r="Q3002">
        <v>2</v>
      </c>
      <c r="R3002" t="s">
        <v>391</v>
      </c>
      <c r="S3002" s="1">
        <f>electric_vehicles_dataset[[#This Row],[Units_Sold_2024]]*electric_vehicles_dataset[[#This Row],[Price_USD]]</f>
        <v>584277133.95000005</v>
      </c>
      <c r="T3002">
        <v>3</v>
      </c>
      <c r="U3002">
        <v>5589</v>
      </c>
      <c r="V3002">
        <v>4</v>
      </c>
    </row>
    <row r="3003" spans="1:22" x14ac:dyDescent="0.35">
      <c r="A3003">
        <v>3002</v>
      </c>
      <c r="B3003" t="s">
        <v>207</v>
      </c>
      <c r="C3003" t="s">
        <v>304</v>
      </c>
      <c r="D3003">
        <v>2018</v>
      </c>
      <c r="E3003" t="s">
        <v>84</v>
      </c>
      <c r="F3003">
        <v>84.5</v>
      </c>
      <c r="G3003" t="s">
        <v>350</v>
      </c>
      <c r="H3003">
        <f>electric_vehicles_dataset[[#This Row],[Battery_Capacity_kWh]]/electric_vehicles_dataset[[#This Row],[Range_km]]</f>
        <v>0.37892376681614348</v>
      </c>
      <c r="I3003">
        <v>223</v>
      </c>
      <c r="J3003" t="s">
        <v>345</v>
      </c>
      <c r="K3003">
        <v>11</v>
      </c>
      <c r="L3003" s="1">
        <v>43103.48</v>
      </c>
      <c r="M3003" s="1" t="str" cm="1">
        <f t="array" ref="M300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003" t="s">
        <v>212</v>
      </c>
      <c r="O3003" t="s">
        <v>78</v>
      </c>
      <c r="P3003" s="2" t="s">
        <v>389</v>
      </c>
      <c r="Q3003">
        <v>2</v>
      </c>
      <c r="R3003" t="s">
        <v>391</v>
      </c>
      <c r="S3003" s="1">
        <f>electric_vehicles_dataset[[#This Row],[Units_Sold_2024]]*electric_vehicles_dataset[[#This Row],[Price_USD]]</f>
        <v>369569237.52000004</v>
      </c>
      <c r="T3003">
        <v>5</v>
      </c>
      <c r="U3003">
        <v>8574</v>
      </c>
      <c r="V3003">
        <v>4</v>
      </c>
    </row>
    <row r="3004" spans="1:22" x14ac:dyDescent="0.35">
      <c r="A3004">
        <v>3003</v>
      </c>
      <c r="B3004" t="s">
        <v>41</v>
      </c>
      <c r="C3004" t="s">
        <v>374</v>
      </c>
      <c r="D3004">
        <v>2018</v>
      </c>
      <c r="E3004" t="s">
        <v>101</v>
      </c>
      <c r="F3004">
        <v>125.4</v>
      </c>
      <c r="G3004" t="s">
        <v>352</v>
      </c>
      <c r="H3004">
        <f>electric_vehicles_dataset[[#This Row],[Battery_Capacity_kWh]]/electric_vehicles_dataset[[#This Row],[Range_km]]</f>
        <v>0.27621145374449341</v>
      </c>
      <c r="I3004">
        <v>454</v>
      </c>
      <c r="J3004" t="s">
        <v>27</v>
      </c>
      <c r="K3004">
        <v>12</v>
      </c>
      <c r="L3004" s="1">
        <v>51734.97</v>
      </c>
      <c r="M3004" s="1" t="str" cm="1">
        <f t="array" ref="M300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004" t="s">
        <v>91</v>
      </c>
      <c r="O3004" t="s">
        <v>89</v>
      </c>
      <c r="P3004" s="2" t="s">
        <v>389</v>
      </c>
      <c r="Q3004">
        <v>0</v>
      </c>
      <c r="R3004" t="s">
        <v>390</v>
      </c>
      <c r="S3004" s="1">
        <f>electric_vehicles_dataset[[#This Row],[Units_Sold_2024]]*electric_vehicles_dataset[[#This Row],[Price_USD]]</f>
        <v>788647882.68000007</v>
      </c>
      <c r="T3004">
        <v>3</v>
      </c>
      <c r="U3004">
        <v>15244</v>
      </c>
      <c r="V3004">
        <v>4</v>
      </c>
    </row>
    <row r="3005" spans="1:22" x14ac:dyDescent="0.35">
      <c r="A3005">
        <v>3004</v>
      </c>
      <c r="B3005" t="s">
        <v>193</v>
      </c>
      <c r="C3005" t="s">
        <v>194</v>
      </c>
      <c r="D3005">
        <v>2020</v>
      </c>
      <c r="E3005" t="s">
        <v>58</v>
      </c>
      <c r="F3005">
        <v>138.4</v>
      </c>
      <c r="G3005" t="s">
        <v>352</v>
      </c>
      <c r="H3005">
        <f>electric_vehicles_dataset[[#This Row],[Battery_Capacity_kWh]]/electric_vehicles_dataset[[#This Row],[Range_km]]</f>
        <v>0.56721311475409841</v>
      </c>
      <c r="I3005">
        <v>244</v>
      </c>
      <c r="J3005" t="s">
        <v>18</v>
      </c>
      <c r="K3005">
        <v>6</v>
      </c>
      <c r="L3005" s="1">
        <v>79398.55</v>
      </c>
      <c r="M3005" s="1" t="str" cm="1">
        <f t="array" ref="M300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005" t="s">
        <v>131</v>
      </c>
      <c r="O3005" t="s">
        <v>230</v>
      </c>
      <c r="P3005" s="2" t="s">
        <v>389</v>
      </c>
      <c r="Q3005">
        <v>1</v>
      </c>
      <c r="R3005" t="s">
        <v>391</v>
      </c>
      <c r="S3005" s="1">
        <f>electric_vehicles_dataset[[#This Row],[Units_Sold_2024]]*electric_vehicles_dataset[[#This Row],[Price_USD]]</f>
        <v>86623818.049999997</v>
      </c>
      <c r="T3005">
        <v>5</v>
      </c>
      <c r="U3005">
        <v>1091</v>
      </c>
      <c r="V3005">
        <v>3</v>
      </c>
    </row>
    <row r="3006" spans="1:22" x14ac:dyDescent="0.35">
      <c r="A3006">
        <v>3005</v>
      </c>
      <c r="B3006" t="s">
        <v>207</v>
      </c>
      <c r="C3006" t="s">
        <v>208</v>
      </c>
      <c r="D3006">
        <v>2016</v>
      </c>
      <c r="E3006" t="s">
        <v>84</v>
      </c>
      <c r="F3006">
        <v>145.1</v>
      </c>
      <c r="G3006" t="s">
        <v>386</v>
      </c>
      <c r="H3006">
        <f>electric_vehicles_dataset[[#This Row],[Battery_Capacity_kWh]]/electric_vehicles_dataset[[#This Row],[Range_km]]</f>
        <v>1.4366336633663366</v>
      </c>
      <c r="I3006">
        <v>101</v>
      </c>
      <c r="J3006" t="s">
        <v>356</v>
      </c>
      <c r="K3006">
        <v>5</v>
      </c>
      <c r="L3006" s="1">
        <v>129649.85</v>
      </c>
      <c r="M3006" s="1" t="str" cm="1">
        <f t="array" ref="M3006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06" t="s">
        <v>49</v>
      </c>
      <c r="O3006" t="s">
        <v>124</v>
      </c>
      <c r="P3006" s="2" t="s">
        <v>389</v>
      </c>
      <c r="Q3006">
        <v>5</v>
      </c>
      <c r="R3006" t="s">
        <v>392</v>
      </c>
      <c r="S3006" s="1">
        <f>electric_vehicles_dataset[[#This Row],[Units_Sold_2024]]*electric_vehicles_dataset[[#This Row],[Price_USD]]</f>
        <v>1594563505.1500001</v>
      </c>
      <c r="T3006">
        <v>5</v>
      </c>
      <c r="U3006">
        <v>12299</v>
      </c>
      <c r="V3006">
        <v>3</v>
      </c>
    </row>
    <row r="3007" spans="1:22" x14ac:dyDescent="0.35">
      <c r="A3007">
        <v>3006</v>
      </c>
      <c r="B3007" t="s">
        <v>87</v>
      </c>
      <c r="C3007" t="s">
        <v>305</v>
      </c>
      <c r="D3007">
        <v>2021</v>
      </c>
      <c r="E3007" t="s">
        <v>133</v>
      </c>
      <c r="F3007">
        <v>29.6</v>
      </c>
      <c r="G3007" t="s">
        <v>357</v>
      </c>
      <c r="H3007">
        <f>electric_vehicles_dataset[[#This Row],[Battery_Capacity_kWh]]/electric_vehicles_dataset[[#This Row],[Range_km]]</f>
        <v>9.6732026143790853E-2</v>
      </c>
      <c r="I3007">
        <v>306</v>
      </c>
      <c r="J3007" t="s">
        <v>85</v>
      </c>
      <c r="K3007">
        <v>7</v>
      </c>
      <c r="L3007" s="1">
        <v>95673.93</v>
      </c>
      <c r="M3007" s="1" t="str" cm="1">
        <f t="array" ref="M3007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007" t="s">
        <v>214</v>
      </c>
      <c r="O3007" t="s">
        <v>95</v>
      </c>
      <c r="P3007" s="2" t="s">
        <v>394</v>
      </c>
      <c r="Q3007">
        <v>2</v>
      </c>
      <c r="R3007" t="s">
        <v>391</v>
      </c>
      <c r="S3007" s="1">
        <f>electric_vehicles_dataset[[#This Row],[Units_Sold_2024]]*electric_vehicles_dataset[[#This Row],[Price_USD]]</f>
        <v>276306309.83999997</v>
      </c>
      <c r="T3007">
        <v>5</v>
      </c>
      <c r="U3007">
        <v>2888</v>
      </c>
      <c r="V3007">
        <v>4</v>
      </c>
    </row>
    <row r="3008" spans="1:22" x14ac:dyDescent="0.35">
      <c r="A3008">
        <v>3007</v>
      </c>
      <c r="B3008" t="s">
        <v>94</v>
      </c>
      <c r="C3008" t="s">
        <v>360</v>
      </c>
      <c r="D3008">
        <v>2018</v>
      </c>
      <c r="E3008" t="s">
        <v>104</v>
      </c>
      <c r="F3008">
        <v>131.1</v>
      </c>
      <c r="G3008" t="s">
        <v>352</v>
      </c>
      <c r="H3008">
        <f>electric_vehicles_dataset[[#This Row],[Battery_Capacity_kWh]]/electric_vehicles_dataset[[#This Row],[Range_km]]</f>
        <v>0.88581081081081081</v>
      </c>
      <c r="I3008">
        <v>148</v>
      </c>
      <c r="J3008" t="s">
        <v>356</v>
      </c>
      <c r="K3008">
        <v>2</v>
      </c>
      <c r="L3008" s="1">
        <v>53758.94</v>
      </c>
      <c r="M3008" s="1" t="str" cm="1">
        <f t="array" ref="M3008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008" t="s">
        <v>28</v>
      </c>
      <c r="O3008" t="s">
        <v>206</v>
      </c>
      <c r="P3008" s="2" t="s">
        <v>394</v>
      </c>
      <c r="Q3008">
        <v>2</v>
      </c>
      <c r="R3008" t="s">
        <v>391</v>
      </c>
      <c r="S3008" s="1">
        <f>electric_vehicles_dataset[[#This Row],[Units_Sold_2024]]*electric_vehicles_dataset[[#This Row],[Price_USD]]</f>
        <v>944168263.22000003</v>
      </c>
      <c r="T3008">
        <v>4</v>
      </c>
      <c r="U3008">
        <v>17563</v>
      </c>
      <c r="V3008">
        <v>4</v>
      </c>
    </row>
    <row r="3009" spans="1:22" x14ac:dyDescent="0.35">
      <c r="A3009">
        <v>3008</v>
      </c>
      <c r="B3009" t="s">
        <v>220</v>
      </c>
      <c r="C3009" t="s">
        <v>274</v>
      </c>
      <c r="D3009">
        <v>2015</v>
      </c>
      <c r="E3009" t="s">
        <v>73</v>
      </c>
      <c r="F3009">
        <v>134.9</v>
      </c>
      <c r="G3009" t="s">
        <v>352</v>
      </c>
      <c r="H3009">
        <f>electric_vehicles_dataset[[#This Row],[Battery_Capacity_kWh]]/electric_vehicles_dataset[[#This Row],[Range_km]]</f>
        <v>0.78430232558139534</v>
      </c>
      <c r="I3009">
        <v>172</v>
      </c>
      <c r="J3009" t="s">
        <v>353</v>
      </c>
      <c r="K3009">
        <v>4</v>
      </c>
      <c r="L3009" s="1">
        <v>108616.56</v>
      </c>
      <c r="M3009" s="1" t="str" cm="1">
        <f t="array" ref="M3009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009" t="s">
        <v>240</v>
      </c>
      <c r="O3009" t="s">
        <v>23</v>
      </c>
      <c r="P3009" s="2" t="s">
        <v>389</v>
      </c>
      <c r="Q3009">
        <v>2</v>
      </c>
      <c r="R3009" t="s">
        <v>391</v>
      </c>
      <c r="S3009" s="1">
        <f>electric_vehicles_dataset[[#This Row],[Units_Sold_2024]]*electric_vehicles_dataset[[#This Row],[Price_USD]]</f>
        <v>161730057.84</v>
      </c>
      <c r="T3009">
        <v>3</v>
      </c>
      <c r="U3009">
        <v>1489</v>
      </c>
      <c r="V3009">
        <v>4</v>
      </c>
    </row>
    <row r="3010" spans="1:22" x14ac:dyDescent="0.35">
      <c r="A3010">
        <v>3009</v>
      </c>
      <c r="B3010" t="s">
        <v>29</v>
      </c>
      <c r="C3010" t="s">
        <v>30</v>
      </c>
      <c r="D3010">
        <v>2018</v>
      </c>
      <c r="E3010" t="s">
        <v>90</v>
      </c>
      <c r="F3010">
        <v>22.2</v>
      </c>
      <c r="G3010" t="s">
        <v>357</v>
      </c>
      <c r="H3010">
        <f>electric_vehicles_dataset[[#This Row],[Battery_Capacity_kWh]]/electric_vehicles_dataset[[#This Row],[Range_km]]</f>
        <v>9.4067796610169493E-2</v>
      </c>
      <c r="I3010">
        <v>236</v>
      </c>
      <c r="J3010" t="s">
        <v>149</v>
      </c>
      <c r="K3010">
        <v>8</v>
      </c>
      <c r="L3010" s="1">
        <v>139528.87</v>
      </c>
      <c r="M3010" s="1" t="str" cm="1">
        <f t="array" ref="M301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10" t="s">
        <v>131</v>
      </c>
      <c r="O3010" t="s">
        <v>226</v>
      </c>
      <c r="P3010" s="2" t="s">
        <v>395</v>
      </c>
      <c r="Q3010">
        <v>5</v>
      </c>
      <c r="R3010" t="s">
        <v>392</v>
      </c>
      <c r="S3010" s="1">
        <f>electric_vehicles_dataset[[#This Row],[Units_Sold_2024]]*electric_vehicles_dataset[[#This Row],[Price_USD]]</f>
        <v>2248507740.0499997</v>
      </c>
      <c r="T3010">
        <v>5</v>
      </c>
      <c r="U3010">
        <v>16115</v>
      </c>
      <c r="V3010">
        <v>3</v>
      </c>
    </row>
    <row r="3011" spans="1:22" x14ac:dyDescent="0.35">
      <c r="A3011">
        <v>3010</v>
      </c>
      <c r="B3011" t="s">
        <v>51</v>
      </c>
      <c r="C3011" t="s">
        <v>239</v>
      </c>
      <c r="D3011">
        <v>2021</v>
      </c>
      <c r="E3011" t="s">
        <v>47</v>
      </c>
      <c r="F3011">
        <v>123.3</v>
      </c>
      <c r="G3011" t="s">
        <v>352</v>
      </c>
      <c r="H3011">
        <f>electric_vehicles_dataset[[#This Row],[Battery_Capacity_kWh]]/electric_vehicles_dataset[[#This Row],[Range_km]]</f>
        <v>0.28022727272727271</v>
      </c>
      <c r="I3011">
        <v>440</v>
      </c>
      <c r="J3011" t="s">
        <v>353</v>
      </c>
      <c r="K3011">
        <v>3</v>
      </c>
      <c r="L3011" s="1">
        <v>73917.98</v>
      </c>
      <c r="M3011" s="1" t="str" cm="1">
        <f t="array" ref="M301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011" t="s">
        <v>91</v>
      </c>
      <c r="O3011" t="s">
        <v>164</v>
      </c>
      <c r="P3011" s="2" t="s">
        <v>394</v>
      </c>
      <c r="Q3011">
        <v>2</v>
      </c>
      <c r="R3011" t="s">
        <v>391</v>
      </c>
      <c r="S3011" s="1">
        <f>electric_vehicles_dataset[[#This Row],[Units_Sold_2024]]*electric_vehicles_dataset[[#This Row],[Price_USD]]</f>
        <v>372620537.18000001</v>
      </c>
      <c r="T3011">
        <v>4</v>
      </c>
      <c r="U3011">
        <v>5041</v>
      </c>
      <c r="V3011">
        <v>5</v>
      </c>
    </row>
    <row r="3012" spans="1:22" x14ac:dyDescent="0.35">
      <c r="A3012">
        <v>3011</v>
      </c>
      <c r="B3012" t="s">
        <v>180</v>
      </c>
      <c r="C3012" t="s">
        <v>285</v>
      </c>
      <c r="D3012">
        <v>2024</v>
      </c>
      <c r="E3012" t="s">
        <v>90</v>
      </c>
      <c r="F3012">
        <v>121.1</v>
      </c>
      <c r="G3012" t="s">
        <v>352</v>
      </c>
      <c r="H3012">
        <f>electric_vehicles_dataset[[#This Row],[Battery_Capacity_kWh]]/electric_vehicles_dataset[[#This Row],[Range_km]]</f>
        <v>0.48055555555555551</v>
      </c>
      <c r="I3012">
        <v>252</v>
      </c>
      <c r="J3012" t="s">
        <v>34</v>
      </c>
      <c r="K3012">
        <v>7</v>
      </c>
      <c r="L3012" s="1">
        <v>35081.17</v>
      </c>
      <c r="M3012" s="1" t="str" cm="1">
        <f t="array" ref="M3012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012" t="s">
        <v>91</v>
      </c>
      <c r="O3012" t="s">
        <v>33</v>
      </c>
      <c r="P3012" s="2" t="s">
        <v>393</v>
      </c>
      <c r="Q3012">
        <v>1</v>
      </c>
      <c r="R3012" t="s">
        <v>391</v>
      </c>
      <c r="S3012" s="1">
        <f>electric_vehicles_dataset[[#This Row],[Units_Sold_2024]]*electric_vehicles_dataset[[#This Row],[Price_USD]]</f>
        <v>3788766.36</v>
      </c>
      <c r="T3012">
        <v>5</v>
      </c>
      <c r="U3012">
        <v>108</v>
      </c>
      <c r="V3012">
        <v>4</v>
      </c>
    </row>
    <row r="3013" spans="1:22" x14ac:dyDescent="0.35">
      <c r="A3013">
        <v>3012</v>
      </c>
      <c r="B3013" t="s">
        <v>155</v>
      </c>
      <c r="C3013" t="s">
        <v>156</v>
      </c>
      <c r="D3013">
        <v>2021</v>
      </c>
      <c r="E3013" t="s">
        <v>73</v>
      </c>
      <c r="F3013">
        <v>70.5</v>
      </c>
      <c r="G3013" t="s">
        <v>351</v>
      </c>
      <c r="H3013">
        <f>electric_vehicles_dataset[[#This Row],[Battery_Capacity_kWh]]/electric_vehicles_dataset[[#This Row],[Range_km]]</f>
        <v>0.17848101265822786</v>
      </c>
      <c r="I3013">
        <v>395</v>
      </c>
      <c r="J3013" t="s">
        <v>54</v>
      </c>
      <c r="K3013">
        <v>1</v>
      </c>
      <c r="L3013" s="1">
        <v>60224.23</v>
      </c>
      <c r="M3013" s="1" t="str" cm="1">
        <f t="array" ref="M3013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013" t="s">
        <v>165</v>
      </c>
      <c r="O3013" t="s">
        <v>135</v>
      </c>
      <c r="P3013" s="2" t="s">
        <v>389</v>
      </c>
      <c r="Q3013">
        <v>1</v>
      </c>
      <c r="R3013" t="s">
        <v>391</v>
      </c>
      <c r="S3013" s="1">
        <f>electric_vehicles_dataset[[#This Row],[Units_Sold_2024]]*electric_vehicles_dataset[[#This Row],[Price_USD]]</f>
        <v>813749795.75999999</v>
      </c>
      <c r="T3013">
        <v>4</v>
      </c>
      <c r="U3013">
        <v>13512</v>
      </c>
      <c r="V3013">
        <v>5</v>
      </c>
    </row>
    <row r="3014" spans="1:22" x14ac:dyDescent="0.35">
      <c r="A3014">
        <v>3013</v>
      </c>
      <c r="B3014" t="s">
        <v>36</v>
      </c>
      <c r="C3014" t="s">
        <v>37</v>
      </c>
      <c r="D3014">
        <v>2020</v>
      </c>
      <c r="E3014" t="s">
        <v>47</v>
      </c>
      <c r="F3014">
        <v>97.4</v>
      </c>
      <c r="G3014" t="s">
        <v>350</v>
      </c>
      <c r="H3014">
        <f>electric_vehicles_dataset[[#This Row],[Battery_Capacity_kWh]]/electric_vehicles_dataset[[#This Row],[Range_km]]</f>
        <v>0.23583535108958839</v>
      </c>
      <c r="I3014">
        <v>413</v>
      </c>
      <c r="J3014" t="s">
        <v>27</v>
      </c>
      <c r="K3014">
        <v>8</v>
      </c>
      <c r="L3014" s="1">
        <v>68768.97</v>
      </c>
      <c r="M3014" s="1" t="str" cm="1">
        <f t="array" ref="M3014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014" t="s">
        <v>253</v>
      </c>
      <c r="O3014" t="s">
        <v>167</v>
      </c>
      <c r="P3014" s="2" t="s">
        <v>394</v>
      </c>
      <c r="Q3014">
        <v>5</v>
      </c>
      <c r="R3014" t="s">
        <v>392</v>
      </c>
      <c r="S3014" s="1">
        <f>electric_vehicles_dataset[[#This Row],[Units_Sold_2024]]*electric_vehicles_dataset[[#This Row],[Price_USD]]</f>
        <v>381323938.65000004</v>
      </c>
      <c r="T3014">
        <v>3</v>
      </c>
      <c r="U3014">
        <v>5545</v>
      </c>
      <c r="V3014">
        <v>4</v>
      </c>
    </row>
    <row r="3015" spans="1:22" x14ac:dyDescent="0.35">
      <c r="A3015">
        <v>3014</v>
      </c>
      <c r="B3015" t="s">
        <v>120</v>
      </c>
      <c r="C3015" t="s">
        <v>252</v>
      </c>
      <c r="D3015">
        <v>2019</v>
      </c>
      <c r="E3015" t="s">
        <v>31</v>
      </c>
      <c r="F3015">
        <v>22.4</v>
      </c>
      <c r="G3015" t="s">
        <v>357</v>
      </c>
      <c r="H3015">
        <f>electric_vehicles_dataset[[#This Row],[Battery_Capacity_kWh]]/electric_vehicles_dataset[[#This Row],[Range_km]]</f>
        <v>7.3684210526315783E-2</v>
      </c>
      <c r="I3015">
        <v>304</v>
      </c>
      <c r="J3015" t="s">
        <v>353</v>
      </c>
      <c r="K3015">
        <v>8</v>
      </c>
      <c r="L3015" s="1">
        <v>98898.46</v>
      </c>
      <c r="M3015" s="1" t="str" cm="1">
        <f t="array" ref="M3015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015" t="s">
        <v>210</v>
      </c>
      <c r="O3015" t="s">
        <v>199</v>
      </c>
      <c r="P3015" s="2" t="s">
        <v>394</v>
      </c>
      <c r="Q3015">
        <v>3</v>
      </c>
      <c r="R3015" t="s">
        <v>397</v>
      </c>
      <c r="S3015" s="1">
        <f>electric_vehicles_dataset[[#This Row],[Units_Sold_2024]]*electric_vehicles_dataset[[#This Row],[Price_USD]]</f>
        <v>1237219734.6000001</v>
      </c>
      <c r="T3015">
        <v>3</v>
      </c>
      <c r="U3015">
        <v>12510</v>
      </c>
      <c r="V3015">
        <v>3</v>
      </c>
    </row>
    <row r="3016" spans="1:22" x14ac:dyDescent="0.35">
      <c r="A3016">
        <v>3015</v>
      </c>
      <c r="B3016" t="s">
        <v>313</v>
      </c>
      <c r="C3016" t="s">
        <v>314</v>
      </c>
      <c r="D3016">
        <v>2025</v>
      </c>
      <c r="E3016" t="s">
        <v>183</v>
      </c>
      <c r="F3016">
        <v>124.4</v>
      </c>
      <c r="G3016" t="s">
        <v>352</v>
      </c>
      <c r="H3016">
        <f>electric_vehicles_dataset[[#This Row],[Battery_Capacity_kWh]]/electric_vehicles_dataset[[#This Row],[Range_km]]</f>
        <v>0.23383458646616542</v>
      </c>
      <c r="I3016">
        <v>532</v>
      </c>
      <c r="J3016" t="s">
        <v>54</v>
      </c>
      <c r="K3016">
        <v>12</v>
      </c>
      <c r="L3016" s="1">
        <v>47638.19</v>
      </c>
      <c r="M3016" s="1" t="str" cm="1">
        <f t="array" ref="M3016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016" t="s">
        <v>279</v>
      </c>
      <c r="O3016" t="s">
        <v>44</v>
      </c>
      <c r="P3016" s="2" t="s">
        <v>389</v>
      </c>
      <c r="Q3016">
        <v>0</v>
      </c>
      <c r="R3016" t="s">
        <v>390</v>
      </c>
      <c r="S3016" s="1">
        <f>electric_vehicles_dataset[[#This Row],[Units_Sold_2024]]*electric_vehicles_dataset[[#This Row],[Price_USD]]</f>
        <v>864442595.74000001</v>
      </c>
      <c r="T3016">
        <v>3</v>
      </c>
      <c r="U3016">
        <v>18146</v>
      </c>
      <c r="V3016">
        <v>4</v>
      </c>
    </row>
    <row r="3017" spans="1:22" x14ac:dyDescent="0.35">
      <c r="A3017">
        <v>3016</v>
      </c>
      <c r="B3017" t="s">
        <v>94</v>
      </c>
      <c r="C3017" t="s">
        <v>99</v>
      </c>
      <c r="D3017">
        <v>2019</v>
      </c>
      <c r="E3017" t="s">
        <v>84</v>
      </c>
      <c r="F3017">
        <v>113.1</v>
      </c>
      <c r="G3017" t="s">
        <v>361</v>
      </c>
      <c r="H3017">
        <f>electric_vehicles_dataset[[#This Row],[Battery_Capacity_kWh]]/electric_vehicles_dataset[[#This Row],[Range_km]]</f>
        <v>0.67724550898203595</v>
      </c>
      <c r="I3017">
        <v>167</v>
      </c>
      <c r="J3017" t="s">
        <v>54</v>
      </c>
      <c r="K3017">
        <v>11</v>
      </c>
      <c r="L3017" s="1">
        <v>65753.59</v>
      </c>
      <c r="M3017" s="1" t="str" cm="1">
        <f t="array" ref="M3017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017" t="s">
        <v>240</v>
      </c>
      <c r="O3017" t="s">
        <v>161</v>
      </c>
      <c r="P3017" s="2" t="s">
        <v>389</v>
      </c>
      <c r="Q3017">
        <v>1</v>
      </c>
      <c r="R3017" t="s">
        <v>391</v>
      </c>
      <c r="S3017" s="1">
        <f>electric_vehicles_dataset[[#This Row],[Units_Sold_2024]]*electric_vehicles_dataset[[#This Row],[Price_USD]]</f>
        <v>498609472.96999997</v>
      </c>
      <c r="T3017">
        <v>3</v>
      </c>
      <c r="U3017">
        <v>7583</v>
      </c>
      <c r="V3017">
        <v>5</v>
      </c>
    </row>
    <row r="3018" spans="1:22" x14ac:dyDescent="0.35">
      <c r="A3018">
        <v>3017</v>
      </c>
      <c r="B3018" t="s">
        <v>60</v>
      </c>
      <c r="C3018" t="s">
        <v>233</v>
      </c>
      <c r="D3018">
        <v>2015</v>
      </c>
      <c r="E3018" t="s">
        <v>84</v>
      </c>
      <c r="F3018">
        <v>23.5</v>
      </c>
      <c r="G3018" t="s">
        <v>357</v>
      </c>
      <c r="H3018">
        <f>electric_vehicles_dataset[[#This Row],[Battery_Capacity_kWh]]/electric_vehicles_dataset[[#This Row],[Range_km]]</f>
        <v>0.11928934010152284</v>
      </c>
      <c r="I3018">
        <v>197</v>
      </c>
      <c r="J3018" t="s">
        <v>18</v>
      </c>
      <c r="K3018">
        <v>6</v>
      </c>
      <c r="L3018" s="1">
        <v>142589.43</v>
      </c>
      <c r="M3018" s="1" t="str" cm="1">
        <f t="array" ref="M3018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18" t="s">
        <v>177</v>
      </c>
      <c r="O3018" t="s">
        <v>107</v>
      </c>
      <c r="P3018" s="2" t="s">
        <v>394</v>
      </c>
      <c r="Q3018">
        <v>1</v>
      </c>
      <c r="R3018" t="s">
        <v>391</v>
      </c>
      <c r="S3018" s="1">
        <f>electric_vehicles_dataset[[#This Row],[Units_Sold_2024]]*electric_vehicles_dataset[[#This Row],[Price_USD]]</f>
        <v>2738144824.29</v>
      </c>
      <c r="T3018">
        <v>3</v>
      </c>
      <c r="U3018">
        <v>19203</v>
      </c>
      <c r="V3018">
        <v>4</v>
      </c>
    </row>
    <row r="3019" spans="1:22" x14ac:dyDescent="0.35">
      <c r="A3019">
        <v>3018</v>
      </c>
      <c r="B3019" t="s">
        <v>261</v>
      </c>
      <c r="C3019" t="s">
        <v>372</v>
      </c>
      <c r="D3019">
        <v>2018</v>
      </c>
      <c r="E3019" t="s">
        <v>104</v>
      </c>
      <c r="F3019">
        <v>49.9</v>
      </c>
      <c r="G3019" t="s">
        <v>348</v>
      </c>
      <c r="H3019">
        <f>electric_vehicles_dataset[[#This Row],[Battery_Capacity_kWh]]/electric_vehicles_dataset[[#This Row],[Range_km]]</f>
        <v>0.27417582417582415</v>
      </c>
      <c r="I3019">
        <v>182</v>
      </c>
      <c r="J3019" t="s">
        <v>38</v>
      </c>
      <c r="K3019">
        <v>12</v>
      </c>
      <c r="L3019" s="1">
        <v>43988.9</v>
      </c>
      <c r="M3019" s="1" t="str" cm="1">
        <f t="array" ref="M3019">_xlfn.IFS(electric_vehicles_dataset[[#This Row],[Price_USD]]&lt;70000,"Entry level",electric_vehicles_dataset[[#This Row],[Price_USD]]&lt;110000,"Mid range",electric_vehicles_dataset[[#This Row],[Price_USD]]&lt;150000,"Premium")</f>
        <v>Entry level</v>
      </c>
      <c r="N3019" t="s">
        <v>214</v>
      </c>
      <c r="O3019" t="s">
        <v>169</v>
      </c>
      <c r="P3019" s="2" t="s">
        <v>394</v>
      </c>
      <c r="Q3019">
        <v>2</v>
      </c>
      <c r="R3019" t="s">
        <v>391</v>
      </c>
      <c r="S3019" s="1">
        <f>electric_vehicles_dataset[[#This Row],[Units_Sold_2024]]*electric_vehicles_dataset[[#This Row],[Price_USD]]</f>
        <v>587955637.39999998</v>
      </c>
      <c r="T3019">
        <v>4</v>
      </c>
      <c r="U3019">
        <v>13366</v>
      </c>
      <c r="V3019">
        <v>5</v>
      </c>
    </row>
    <row r="3020" spans="1:22" x14ac:dyDescent="0.35">
      <c r="A3020">
        <v>3019</v>
      </c>
      <c r="B3020" t="s">
        <v>262</v>
      </c>
      <c r="C3020" t="s">
        <v>373</v>
      </c>
      <c r="D3020">
        <v>2019</v>
      </c>
      <c r="E3020" t="s">
        <v>84</v>
      </c>
      <c r="F3020">
        <v>136.9</v>
      </c>
      <c r="G3020" t="s">
        <v>352</v>
      </c>
      <c r="H3020">
        <f>electric_vehicles_dataset[[#This Row],[Battery_Capacity_kWh]]/electric_vehicles_dataset[[#This Row],[Range_km]]</f>
        <v>0.36506666666666671</v>
      </c>
      <c r="I3020">
        <v>375</v>
      </c>
      <c r="J3020" t="s">
        <v>345</v>
      </c>
      <c r="K3020">
        <v>6</v>
      </c>
      <c r="L3020" s="1">
        <v>142072.84</v>
      </c>
      <c r="M3020" s="1" t="str" cm="1">
        <f t="array" ref="M3020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20" t="s">
        <v>205</v>
      </c>
      <c r="O3020" t="s">
        <v>110</v>
      </c>
      <c r="P3020" s="2" t="s">
        <v>394</v>
      </c>
      <c r="Q3020">
        <v>2</v>
      </c>
      <c r="R3020" t="s">
        <v>391</v>
      </c>
      <c r="S3020" s="1">
        <f>electric_vehicles_dataset[[#This Row],[Units_Sold_2024]]*electric_vehicles_dataset[[#This Row],[Price_USD]]</f>
        <v>2164479717.4000001</v>
      </c>
      <c r="T3020">
        <v>3</v>
      </c>
      <c r="U3020">
        <v>15235</v>
      </c>
      <c r="V3020">
        <v>3</v>
      </c>
    </row>
    <row r="3021" spans="1:22" x14ac:dyDescent="0.35">
      <c r="A3021">
        <v>3020</v>
      </c>
      <c r="B3021" t="s">
        <v>157</v>
      </c>
      <c r="C3021" t="s">
        <v>296</v>
      </c>
      <c r="D3021">
        <v>2021</v>
      </c>
      <c r="E3021" t="s">
        <v>31</v>
      </c>
      <c r="F3021">
        <v>136.5</v>
      </c>
      <c r="G3021" t="s">
        <v>352</v>
      </c>
      <c r="H3021">
        <f>electric_vehicles_dataset[[#This Row],[Battery_Capacity_kWh]]/electric_vehicles_dataset[[#This Row],[Range_km]]</f>
        <v>0.61764705882352944</v>
      </c>
      <c r="I3021">
        <v>221</v>
      </c>
      <c r="J3021" t="s">
        <v>34</v>
      </c>
      <c r="K3021">
        <v>1</v>
      </c>
      <c r="L3021" s="1">
        <v>88218.53</v>
      </c>
      <c r="M3021" s="1" t="str" cm="1">
        <f t="array" ref="M3021">_xlfn.IFS(electric_vehicles_dataset[[#This Row],[Price_USD]]&lt;70000,"Entry level",electric_vehicles_dataset[[#This Row],[Price_USD]]&lt;110000,"Mid range",electric_vehicles_dataset[[#This Row],[Price_USD]]&lt;150000,"Premium")</f>
        <v>Mid range</v>
      </c>
      <c r="N3021" t="s">
        <v>55</v>
      </c>
      <c r="O3021" t="s">
        <v>147</v>
      </c>
      <c r="P3021" s="2" t="s">
        <v>396</v>
      </c>
      <c r="Q3021">
        <v>2</v>
      </c>
      <c r="R3021" t="s">
        <v>391</v>
      </c>
      <c r="S3021" s="1">
        <f>electric_vehicles_dataset[[#This Row],[Units_Sold_2024]]*electric_vehicles_dataset[[#This Row],[Price_USD]]</f>
        <v>1218121462.24</v>
      </c>
      <c r="T3021">
        <v>3</v>
      </c>
      <c r="U3021">
        <v>13808</v>
      </c>
      <c r="V3021">
        <v>3</v>
      </c>
    </row>
    <row r="3022" spans="1:22" x14ac:dyDescent="0.35">
      <c r="A3022">
        <v>3021</v>
      </c>
      <c r="B3022" t="s">
        <v>262</v>
      </c>
      <c r="C3022" t="s">
        <v>263</v>
      </c>
      <c r="D3022">
        <v>2021</v>
      </c>
      <c r="E3022" t="s">
        <v>101</v>
      </c>
      <c r="F3022">
        <v>96.4</v>
      </c>
      <c r="G3022" t="s">
        <v>350</v>
      </c>
      <c r="H3022">
        <f>electric_vehicles_dataset[[#This Row],[Battery_Capacity_kWh]]/electric_vehicles_dataset[[#This Row],[Range_km]]</f>
        <v>0.38714859437751004</v>
      </c>
      <c r="I3022">
        <v>249</v>
      </c>
      <c r="J3022" t="s">
        <v>38</v>
      </c>
      <c r="K3022">
        <v>10</v>
      </c>
      <c r="L3022" s="1">
        <v>110221.3</v>
      </c>
      <c r="M3022" s="1" t="str" cm="1">
        <f t="array" ref="M3022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22" t="s">
        <v>59</v>
      </c>
      <c r="O3022" t="s">
        <v>226</v>
      </c>
      <c r="P3022" s="2" t="s">
        <v>395</v>
      </c>
      <c r="Q3022">
        <v>3</v>
      </c>
      <c r="R3022" t="s">
        <v>397</v>
      </c>
      <c r="S3022" s="1">
        <f>electric_vehicles_dataset[[#This Row],[Units_Sold_2024]]*electric_vehicles_dataset[[#This Row],[Price_USD]]</f>
        <v>1086120690.2</v>
      </c>
      <c r="T3022">
        <v>3</v>
      </c>
      <c r="U3022">
        <v>9854</v>
      </c>
      <c r="V3022">
        <v>3</v>
      </c>
    </row>
    <row r="3023" spans="1:22" x14ac:dyDescent="0.35">
      <c r="A3023">
        <v>3022</v>
      </c>
      <c r="B3023" t="s">
        <v>140</v>
      </c>
      <c r="C3023" t="s">
        <v>227</v>
      </c>
      <c r="D3023">
        <v>2016</v>
      </c>
      <c r="E3023" t="s">
        <v>133</v>
      </c>
      <c r="F3023">
        <v>76.2</v>
      </c>
      <c r="G3023" t="s">
        <v>351</v>
      </c>
      <c r="H3023">
        <f>electric_vehicles_dataset[[#This Row],[Battery_Capacity_kWh]]/electric_vehicles_dataset[[#This Row],[Range_km]]</f>
        <v>0.18861386138613861</v>
      </c>
      <c r="I3023">
        <v>404</v>
      </c>
      <c r="J3023" t="s">
        <v>85</v>
      </c>
      <c r="K3023">
        <v>2</v>
      </c>
      <c r="L3023" s="1">
        <v>148993.26</v>
      </c>
      <c r="M3023" s="1" t="str" cm="1">
        <f t="array" ref="M3023">_xlfn.IFS(electric_vehicles_dataset[[#This Row],[Price_USD]]&lt;70000,"Entry level",electric_vehicles_dataset[[#This Row],[Price_USD]]&lt;110000,"Mid range",electric_vehicles_dataset[[#This Row],[Price_USD]]&lt;150000,"Premium")</f>
        <v>Premium</v>
      </c>
      <c r="N3023" t="s">
        <v>212</v>
      </c>
      <c r="O3023" t="s">
        <v>159</v>
      </c>
      <c r="P3023" s="2" t="s">
        <v>389</v>
      </c>
      <c r="Q3023">
        <v>5</v>
      </c>
      <c r="R3023" t="s">
        <v>392</v>
      </c>
      <c r="S3023" s="1">
        <f>electric_vehicles_dataset[[#This Row],[Units_Sold_2024]]*electric_vehicles_dataset[[#This Row],[Price_USD]]</f>
        <v>862075002.36000001</v>
      </c>
      <c r="T3023">
        <v>4</v>
      </c>
      <c r="U3023">
        <v>5786</v>
      </c>
      <c r="V3023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9E0E7D-605B-4238-BB1F-5A7CC55444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electric_vehicles_dataset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SREERAG KP</dc:creator>
  <cp:lastModifiedBy>SREERAG KP</cp:lastModifiedBy>
  <dcterms:created xsi:type="dcterms:W3CDTF">2026-04-03T06:43:27Z</dcterms:created>
  <dcterms:modified xsi:type="dcterms:W3CDTF">2026-04-07T17:22:47Z</dcterms:modified>
</cp:coreProperties>
</file>